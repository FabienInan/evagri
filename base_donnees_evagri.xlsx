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Simon\Downloads\"/>
    </mc:Choice>
  </mc:AlternateContent>
  <xr:revisionPtr revIDLastSave="0" documentId="13_ncr:1_{3858CF90-F046-4469-A526-84E1D4E38464}" xr6:coauthVersionLast="47" xr6:coauthVersionMax="47" xr10:uidLastSave="{00000000-0000-0000-0000-000000000000}"/>
  <bookViews>
    <workbookView xWindow="-120" yWindow="-120" windowWidth="29040" windowHeight="15720" xr2:uid="{CD97033A-28F9-4770-B88A-AF5B2057E176}"/>
  </bookViews>
  <sheets>
    <sheet name="Bois" sheetId="2" r:id="rId1"/>
    <sheet name="Terre" sheetId="1" r:id="rId2"/>
    <sheet name="Feuil1" sheetId="3" r:id="rId3"/>
    <sheet name="Registre des recherches" sheetId="4" r:id="rId4"/>
  </sheets>
  <definedNames>
    <definedName name="_xlnm._FilterDatabase" localSheetId="0" hidden="1">Bois!$A$1:$AJ$275</definedName>
    <definedName name="_xlnm._FilterDatabase" localSheetId="3" hidden="1">'Registre des recherches'!$A$1:$L$221</definedName>
    <definedName name="cfRep" localSheetId="0">INDEX(#REF!,1,Bois!Mun_col_num) : INDEX(#REF!,COUNTA(Mun_col),Bois!Mun_col_num)</definedName>
    <definedName name="cfRep">INDEX(#REF!,1,Mun_col_num) : INDEX(#REF!,COUNTA(Mun_col),Mun_col_num)</definedName>
    <definedName name="choix_affichage">#REF!</definedName>
    <definedName name="Mun_col_num" localSheetId="0">MATCH(Ville,Municipalite,0)</definedName>
    <definedName name="Mun_col_num">MATCH(Ville,Municipalite,0)</definedName>
    <definedName name="Municipalite">#REF!</definedName>
    <definedName name="revenu" localSheetId="0" hidden="1">{#N/A,#N/A,FALSE,"P_1";#N/A,#N/A,FALSE,"PAGE_COUT";#N/A,#N/A,FALSE,"PAGE_MARCHÉ";#N/A,#N/A,FALSE,"CROQUIS";#N/A,#N/A,FALSE,"RECOUVR"}</definedName>
    <definedName name="revenu" localSheetId="1" hidden="1">{#N/A,#N/A,FALSE,"P_1";#N/A,#N/A,FALSE,"PAGE_COUT";#N/A,#N/A,FALSE,"PAGE_MARCHÉ";#N/A,#N/A,FALSE,"CROQUIS";#N/A,#N/A,FALSE,"RECOUVR"}</definedName>
    <definedName name="revenu" hidden="1">{#N/A,#N/A,FALSE,"P_1";#N/A,#N/A,FALSE,"PAGE_COUT";#N/A,#N/A,FALSE,"PAGE_MARCHÉ";#N/A,#N/A,FALSE,"CROQUIS";#N/A,#N/A,FALSE,"RECOUVR"}</definedName>
    <definedName name="Ville">#REF!</definedName>
    <definedName name="wrn.RAPPORT_NORMAL." localSheetId="0" hidden="1">{#N/A,#N/A,FALSE,"P_1";#N/A,#N/A,FALSE,"PAGE_COUT";#N/A,#N/A,FALSE,"PAGE_MARCHÉ";#N/A,#N/A,FALSE,"CROQUIS"}</definedName>
    <definedName name="wrn.RAPPORT_NORMAL." localSheetId="1" hidden="1">{#N/A,#N/A,FALSE,"P_1";#N/A,#N/A,FALSE,"PAGE_COUT";#N/A,#N/A,FALSE,"PAGE_MARCHÉ";#N/A,#N/A,FALSE,"CROQUIS"}</definedName>
    <definedName name="wrn.RAPPORT_NORMAL." hidden="1">{#N/A,#N/A,FALSE,"P_1";#N/A,#N/A,FALSE,"PAGE_COUT";#N/A,#N/A,FALSE,"PAGE_MARCHÉ";#N/A,#N/A,FALSE,"CROQUIS"}</definedName>
    <definedName name="wrn.RAPPORT_RECOUVREMENT." localSheetId="0" hidden="1">{#N/A,#N/A,FALSE,"P_1";#N/A,#N/A,FALSE,"PAGE_COUT";#N/A,#N/A,FALSE,"PAGE_MARCHÉ";#N/A,#N/A,FALSE,"CROQUIS";#N/A,#N/A,FALSE,"RECOUVR"}</definedName>
    <definedName name="wrn.RAPPORT_RECOUVREMENT." localSheetId="1" hidden="1">{#N/A,#N/A,FALSE,"P_1";#N/A,#N/A,FALSE,"PAGE_COUT";#N/A,#N/A,FALSE,"PAGE_MARCHÉ";#N/A,#N/A,FALSE,"CROQUIS";#N/A,#N/A,FALSE,"RECOUVR"}</definedName>
    <definedName name="wrn.RAPPORT_RECOUVREMENT." hidden="1">{#N/A,#N/A,FALSE,"P_1";#N/A,#N/A,FALSE,"PAGE_COUT";#N/A,#N/A,FALSE,"PAGE_MARCHÉ";#N/A,#N/A,FALSE,"CROQUIS";#N/A,#N/A,FALSE,"RECOUVR"}</definedName>
  </definedNames>
  <calcPr calcId="191028"/>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5" i="2" l="1"/>
  <c r="AH909" i="2"/>
  <c r="AH910" i="2"/>
  <c r="AH911" i="2"/>
  <c r="AH912" i="2"/>
  <c r="AH913" i="2"/>
  <c r="AH914" i="2"/>
  <c r="AH915" i="2"/>
  <c r="AH916" i="2"/>
  <c r="AH917" i="2"/>
  <c r="AH918" i="2"/>
  <c r="AH919" i="2"/>
  <c r="AH920" i="2"/>
  <c r="AH921" i="2"/>
  <c r="AH922" i="2"/>
  <c r="AH923" i="2"/>
  <c r="AH924" i="2"/>
  <c r="AH925" i="2"/>
  <c r="AH926" i="2"/>
  <c r="AH927" i="2"/>
  <c r="AH928" i="2"/>
  <c r="AH929" i="2"/>
  <c r="AH930" i="2"/>
  <c r="AH931" i="2"/>
  <c r="AM872" i="1"/>
  <c r="AM871" i="1"/>
  <c r="AM870" i="1"/>
  <c r="AM869" i="1"/>
  <c r="AM868" i="1"/>
  <c r="AM867" i="1"/>
  <c r="AM866" i="1"/>
  <c r="AM865" i="1"/>
  <c r="AM864" i="1"/>
  <c r="AM863" i="1"/>
  <c r="AM862" i="1"/>
  <c r="AM861" i="1"/>
  <c r="AM860" i="1"/>
  <c r="AM859" i="1"/>
  <c r="AM858" i="1"/>
  <c r="AM857" i="1"/>
  <c r="AM856" i="1"/>
  <c r="AM855" i="1"/>
  <c r="AM854" i="1"/>
  <c r="AM853" i="1"/>
  <c r="AM852" i="1"/>
  <c r="AM851" i="1"/>
  <c r="AM850" i="1"/>
  <c r="AM849" i="1"/>
  <c r="AM848" i="1"/>
  <c r="AM847" i="1"/>
  <c r="AM846" i="1"/>
  <c r="AM845" i="1"/>
  <c r="AM844" i="1"/>
  <c r="AM843" i="1"/>
  <c r="AM842" i="1"/>
  <c r="AM841" i="1"/>
  <c r="AM840" i="1"/>
  <c r="AM839" i="1"/>
  <c r="AM838" i="1"/>
  <c r="AM837" i="1"/>
  <c r="AM836" i="1"/>
  <c r="AM835" i="1"/>
  <c r="AM834" i="1"/>
  <c r="AM833" i="1"/>
  <c r="AM832" i="1"/>
  <c r="AM831" i="1"/>
  <c r="AM830" i="1"/>
  <c r="AM829" i="1"/>
  <c r="AM828" i="1"/>
  <c r="AM827" i="1"/>
  <c r="AM826" i="1"/>
  <c r="AM825" i="1"/>
  <c r="AM824" i="1"/>
  <c r="AM823" i="1"/>
  <c r="AM817" i="1"/>
  <c r="AM818" i="1"/>
  <c r="AM819" i="1"/>
  <c r="AM820" i="1"/>
  <c r="AM821" i="1"/>
  <c r="AM822" i="1"/>
  <c r="Q904" i="2"/>
  <c r="AH906" i="2"/>
  <c r="AH907" i="2"/>
  <c r="AH908" i="2"/>
  <c r="AH898" i="2"/>
  <c r="AH899" i="2"/>
  <c r="AH900" i="2"/>
  <c r="AH901" i="2"/>
  <c r="AH902" i="2"/>
  <c r="AH903" i="2"/>
  <c r="AH893" i="2"/>
  <c r="AH894" i="2"/>
  <c r="AH895" i="2"/>
  <c r="AH896" i="2"/>
  <c r="AH897" i="2"/>
  <c r="AH886" i="2"/>
  <c r="AH887" i="2"/>
  <c r="AH888" i="2"/>
  <c r="AH889" i="2"/>
  <c r="AH890" i="2"/>
  <c r="AH880" i="2"/>
  <c r="AH881" i="2"/>
  <c r="AH882" i="2"/>
  <c r="AH883" i="2"/>
  <c r="AH884" i="2"/>
  <c r="AH885" i="2"/>
  <c r="AM232" i="1"/>
  <c r="Y232" i="1"/>
  <c r="AM733" i="1"/>
  <c r="Y685" i="1"/>
  <c r="Y672" i="1"/>
  <c r="Y658" i="1"/>
  <c r="S735" i="1"/>
  <c r="N735" i="1"/>
  <c r="Y737" i="1"/>
  <c r="Y701" i="1"/>
  <c r="AM816" i="1"/>
  <c r="AM752" i="1"/>
  <c r="AM744" i="1"/>
  <c r="AM755" i="1"/>
  <c r="AM754" i="1"/>
  <c r="AM753" i="1"/>
  <c r="AM750" i="1"/>
  <c r="AM880" i="1"/>
  <c r="AM879" i="1"/>
  <c r="AM878" i="1"/>
  <c r="AM877" i="1"/>
  <c r="AM876" i="1"/>
  <c r="AM875" i="1"/>
  <c r="AM874" i="1"/>
  <c r="AM873" i="1"/>
  <c r="AM748" i="1"/>
  <c r="AM736" i="1"/>
  <c r="AM727" i="1"/>
  <c r="AM717" i="1"/>
  <c r="AM677" i="1"/>
  <c r="AM655" i="1"/>
  <c r="AM815" i="1"/>
  <c r="AM814" i="1"/>
  <c r="AM26" i="1"/>
  <c r="AM685" i="1"/>
  <c r="AM672" i="1"/>
  <c r="AM658" i="1"/>
  <c r="AM737" i="1"/>
  <c r="AM701" i="1"/>
  <c r="AM435" i="1"/>
  <c r="AM295" i="1"/>
  <c r="AM393" i="1"/>
  <c r="AM813" i="1"/>
  <c r="Q875" i="2"/>
  <c r="N726" i="1"/>
  <c r="AM726" i="1" s="1"/>
  <c r="AH560" i="2"/>
  <c r="AH606" i="2"/>
  <c r="AH695" i="2"/>
  <c r="AH4" i="2"/>
  <c r="AH713" i="2"/>
  <c r="AH700" i="2"/>
  <c r="AH694" i="2"/>
  <c r="AH680" i="2"/>
  <c r="AH706" i="2"/>
  <c r="N734" i="1"/>
  <c r="AM734" i="1" s="1"/>
  <c r="N718" i="2"/>
  <c r="S731" i="1"/>
  <c r="U690" i="1"/>
  <c r="Y690" i="1"/>
  <c r="S690" i="1"/>
  <c r="N690" i="1"/>
  <c r="AM690" i="1" s="1"/>
  <c r="S656" i="1"/>
  <c r="U656" i="1" s="1"/>
  <c r="S519" i="1"/>
  <c r="N702" i="2"/>
  <c r="N568" i="2"/>
  <c r="Q568" i="2" s="1"/>
  <c r="Q705" i="2"/>
  <c r="Y742" i="1"/>
  <c r="U742" i="1"/>
  <c r="S742" i="1"/>
  <c r="N742" i="1"/>
  <c r="AM742" i="1" s="1"/>
  <c r="N688" i="2"/>
  <c r="AO854" i="2"/>
  <c r="Y724" i="1"/>
  <c r="AM798" i="1"/>
  <c r="AM702" i="1"/>
  <c r="AM721" i="1"/>
  <c r="AM724" i="1"/>
  <c r="AM800" i="1"/>
  <c r="AM801" i="1"/>
  <c r="AM802" i="1"/>
  <c r="AM803" i="1"/>
  <c r="AM557" i="1"/>
  <c r="AM656" i="1"/>
  <c r="AM576" i="1"/>
  <c r="AM749" i="1"/>
  <c r="AM562" i="1"/>
  <c r="AM741" i="1"/>
  <c r="AM649" i="1"/>
  <c r="AM530" i="1"/>
  <c r="AM751" i="1"/>
  <c r="AM519" i="1"/>
  <c r="AM747" i="1"/>
  <c r="AM731" i="1"/>
  <c r="AM670" i="1"/>
  <c r="AM698" i="1"/>
  <c r="AM610" i="1"/>
  <c r="AM725" i="1"/>
  <c r="AM319" i="1"/>
  <c r="AM804" i="1"/>
  <c r="AM805" i="1"/>
  <c r="AM807" i="1"/>
  <c r="AM808" i="1"/>
  <c r="AM809" i="1"/>
  <c r="AM810" i="1"/>
  <c r="AM659" i="1"/>
  <c r="AM811" i="1"/>
  <c r="AM661" i="1"/>
  <c r="AM812" i="1"/>
  <c r="AH905" i="2"/>
  <c r="AH904" i="2"/>
  <c r="AH892" i="2"/>
  <c r="AH891" i="2"/>
  <c r="AH879" i="2"/>
  <c r="AH878" i="2"/>
  <c r="AH714" i="2"/>
  <c r="AH624" i="2"/>
  <c r="AH869" i="2"/>
  <c r="AH868" i="2"/>
  <c r="AH862" i="2"/>
  <c r="G568" i="2"/>
  <c r="Q682" i="2"/>
  <c r="AM474" i="1"/>
  <c r="S739" i="1"/>
  <c r="Y729" i="1"/>
  <c r="S723" i="1"/>
  <c r="S713" i="1"/>
  <c r="S708" i="1"/>
  <c r="N739" i="1"/>
  <c r="N729" i="1"/>
  <c r="N723" i="1"/>
  <c r="N713" i="1"/>
  <c r="N708" i="1"/>
  <c r="N640" i="2"/>
  <c r="AH640" i="2" s="1"/>
  <c r="N663" i="2"/>
  <c r="AH663" i="2" s="1"/>
  <c r="AH790" i="2"/>
  <c r="AH712" i="2"/>
  <c r="AH791" i="2"/>
  <c r="AH792" i="2"/>
  <c r="AH793" i="2"/>
  <c r="AH794" i="2"/>
  <c r="AH795" i="2"/>
  <c r="AH707" i="2"/>
  <c r="AH418" i="2"/>
  <c r="AH409" i="2"/>
  <c r="AH840" i="2"/>
  <c r="AH841" i="2"/>
  <c r="AH240" i="2"/>
  <c r="AH485" i="2"/>
  <c r="AH564" i="2"/>
  <c r="AH354" i="2"/>
  <c r="AH443" i="2"/>
  <c r="AH392" i="2"/>
  <c r="AH470" i="2"/>
  <c r="AH491" i="2"/>
  <c r="AH561" i="2"/>
  <c r="AH577" i="2"/>
  <c r="AH639" i="2"/>
  <c r="AH703" i="2"/>
  <c r="AH708" i="2"/>
  <c r="AC248" i="2"/>
  <c r="N446" i="2"/>
  <c r="Y735" i="1" l="1"/>
  <c r="AM735" i="1"/>
  <c r="Q688" i="2"/>
  <c r="AH688" i="2"/>
  <c r="AH718" i="2"/>
  <c r="Q718" i="2"/>
  <c r="G367" i="2"/>
  <c r="AC597" i="2"/>
  <c r="AC124" i="2"/>
  <c r="AM234" i="1"/>
  <c r="AM374" i="1"/>
  <c r="AM262" i="1"/>
  <c r="N104" i="2"/>
  <c r="N192" i="2"/>
  <c r="N346" i="2"/>
  <c r="N365" i="2"/>
  <c r="N789" i="2"/>
  <c r="G789" i="2"/>
  <c r="N567" i="1"/>
  <c r="AH603" i="2"/>
  <c r="AH626" i="2"/>
  <c r="AH649" i="2"/>
  <c r="AH661" i="2"/>
  <c r="AH701" i="2"/>
  <c r="AH704" i="2"/>
  <c r="AH513" i="2"/>
  <c r="AH570" i="2"/>
  <c r="AH597" i="2"/>
  <c r="AH611" i="2"/>
  <c r="AH620" i="2"/>
  <c r="AH682" i="2"/>
  <c r="AH613" i="2"/>
  <c r="AH614" i="2"/>
  <c r="AH616" i="2"/>
  <c r="AH618" i="2"/>
  <c r="AH648" i="2"/>
  <c r="AH655" i="2"/>
  <c r="AH676" i="2"/>
  <c r="AH687" i="2"/>
  <c r="AH691" i="2"/>
  <c r="AH696" i="2"/>
  <c r="AH698" i="2"/>
  <c r="AH520" i="2"/>
  <c r="AH528" i="2"/>
  <c r="AH543" i="2"/>
  <c r="AH581" i="2"/>
  <c r="Q656" i="2"/>
  <c r="N656" i="2"/>
  <c r="AC656" i="2" s="1"/>
  <c r="S715" i="1"/>
  <c r="R629" i="2"/>
  <c r="AC629" i="2"/>
  <c r="N629" i="2"/>
  <c r="AH629" i="2" s="1"/>
  <c r="AM493" i="1"/>
  <c r="AM377" i="1"/>
  <c r="Y228" i="1"/>
  <c r="AH677" i="2"/>
  <c r="AH699" i="2"/>
  <c r="AH784" i="2"/>
  <c r="AH645" i="2"/>
  <c r="AH785" i="2"/>
  <c r="AH786" i="2"/>
  <c r="AH787" i="2"/>
  <c r="AH788" i="2"/>
  <c r="AH585" i="2"/>
  <c r="AH789" i="2" l="1"/>
  <c r="AH656" i="2"/>
  <c r="AC654" i="2"/>
  <c r="N654" i="2"/>
  <c r="Y643" i="1"/>
  <c r="Y272" i="1"/>
  <c r="Y267" i="1"/>
  <c r="R600" i="2"/>
  <c r="N600" i="2"/>
  <c r="N601" i="2"/>
  <c r="AC523" i="2"/>
  <c r="N523" i="2"/>
  <c r="AC556" i="2"/>
  <c r="N556" i="2"/>
  <c r="N344" i="2"/>
  <c r="N416" i="2"/>
  <c r="N540" i="2"/>
  <c r="Q540" i="2"/>
  <c r="AC540" i="2"/>
  <c r="N662" i="2"/>
  <c r="Q662" i="2" s="1"/>
  <c r="Q469" i="2"/>
  <c r="N469" i="2"/>
  <c r="Q406" i="2"/>
  <c r="N406" i="2"/>
  <c r="N502" i="2"/>
  <c r="Q502" i="2" s="1"/>
  <c r="N499" i="2"/>
  <c r="Q499" i="2"/>
  <c r="N679" i="2"/>
  <c r="AC537" i="2"/>
  <c r="N494" i="2"/>
  <c r="AH494" i="2" s="1"/>
  <c r="N283" i="2"/>
  <c r="AH758" i="2"/>
  <c r="AM439" i="1"/>
  <c r="Q673" i="2"/>
  <c r="Q669" i="2"/>
  <c r="N595" i="2"/>
  <c r="Q595" i="2" s="1"/>
  <c r="S404" i="1"/>
  <c r="S532" i="1"/>
  <c r="Y492" i="1"/>
  <c r="N492" i="1"/>
  <c r="S492" i="1"/>
  <c r="AM694" i="1"/>
  <c r="Y430" i="1"/>
  <c r="Y418" i="1"/>
  <c r="Y743" i="1"/>
  <c r="Y668" i="1"/>
  <c r="V245" i="1"/>
  <c r="N245" i="1"/>
  <c r="N324" i="1"/>
  <c r="G324" i="1"/>
  <c r="V325" i="1"/>
  <c r="N325" i="1"/>
  <c r="AM545" i="1"/>
  <c r="U423" i="1"/>
  <c r="AM428" i="1"/>
  <c r="AM328" i="1"/>
  <c r="U448" i="1"/>
  <c r="U347" i="1"/>
  <c r="U285" i="1" l="1"/>
  <c r="U628" i="1"/>
  <c r="U401" i="1"/>
  <c r="U369" i="1"/>
  <c r="U544" i="1"/>
  <c r="AM221" i="1"/>
  <c r="AM236" i="1"/>
  <c r="AM347" i="1"/>
  <c r="AM448" i="1"/>
  <c r="AM512" i="1"/>
  <c r="AM579" i="1"/>
  <c r="AM676" i="1"/>
  <c r="AM679" i="1"/>
  <c r="AM692" i="1"/>
  <c r="AM693" i="1"/>
  <c r="AM325" i="1"/>
  <c r="AM300" i="1"/>
  <c r="AM324" i="1"/>
  <c r="AM245" i="1"/>
  <c r="AM281" i="1"/>
  <c r="AM258" i="1"/>
  <c r="AM472" i="1"/>
  <c r="AM681" i="1"/>
  <c r="AM500" i="1"/>
  <c r="AM668" i="1"/>
  <c r="AM743" i="1"/>
  <c r="AM418" i="1"/>
  <c r="AM430" i="1"/>
  <c r="AM239" i="1"/>
  <c r="AM274" i="1"/>
  <c r="AM444" i="1"/>
  <c r="AM492" i="1"/>
  <c r="AM532" i="1"/>
  <c r="AM404" i="1"/>
  <c r="AM664" i="1"/>
  <c r="AM590" i="1"/>
  <c r="AM498" i="1"/>
  <c r="AM215" i="1"/>
  <c r="AM637" i="1"/>
  <c r="AM689" i="1"/>
  <c r="AM357" i="1"/>
  <c r="AM398" i="1"/>
  <c r="AM543" i="1"/>
  <c r="AM246" i="1"/>
  <c r="AM259" i="1"/>
  <c r="AM290" i="1"/>
  <c r="AM302" i="1"/>
  <c r="AM318" i="1"/>
  <c r="AM214" i="1"/>
  <c r="AM222" i="1"/>
  <c r="AM622" i="1"/>
  <c r="AM643" i="1"/>
  <c r="AM697" i="1"/>
  <c r="AM480" i="1"/>
  <c r="AM482" i="1"/>
  <c r="AM541" i="1"/>
  <c r="AM353" i="1"/>
  <c r="AM443" i="1"/>
  <c r="AM267" i="1"/>
  <c r="AM272" i="1"/>
  <c r="AM294" i="1"/>
  <c r="AM340" i="1"/>
  <c r="AM711" i="1"/>
  <c r="AM346" i="1"/>
  <c r="AM673" i="1"/>
  <c r="AM386" i="1"/>
  <c r="AM766" i="1"/>
  <c r="AM767" i="1"/>
  <c r="AM768" i="1"/>
  <c r="AM769" i="1"/>
  <c r="AM770" i="1"/>
  <c r="AM771" i="1"/>
  <c r="AM772" i="1"/>
  <c r="AM773" i="1"/>
  <c r="AM774" i="1"/>
  <c r="AM775" i="1"/>
  <c r="AM776" i="1"/>
  <c r="AM777" i="1"/>
  <c r="AM778" i="1"/>
  <c r="AM779" i="1"/>
  <c r="AM780" i="1"/>
  <c r="AM781" i="1"/>
  <c r="AM782" i="1"/>
  <c r="AM783" i="1"/>
  <c r="AM784" i="1"/>
  <c r="AM785" i="1"/>
  <c r="AM786" i="1"/>
  <c r="AM787" i="1"/>
  <c r="AM788" i="1"/>
  <c r="AM789" i="1"/>
  <c r="AM790" i="1"/>
  <c r="AM715" i="1"/>
  <c r="AM791" i="1"/>
  <c r="AM792" i="1"/>
  <c r="AM630" i="1"/>
  <c r="AM634" i="1"/>
  <c r="AM682" i="1"/>
  <c r="AM696" i="1"/>
  <c r="AM716" i="1"/>
  <c r="AM740" i="1"/>
  <c r="AM720" i="1"/>
  <c r="AM722" i="1"/>
  <c r="AM718" i="1"/>
  <c r="AM714" i="1"/>
  <c r="AM633" i="1"/>
  <c r="AM646" i="1"/>
  <c r="AM674" i="1"/>
  <c r="AM675" i="1"/>
  <c r="AM703" i="1"/>
  <c r="AM704" i="1"/>
  <c r="AM709" i="1"/>
  <c r="AM710" i="1"/>
  <c r="AM556" i="1"/>
  <c r="AM567" i="1"/>
  <c r="AM583" i="1"/>
  <c r="AM621" i="1"/>
  <c r="AM624" i="1"/>
  <c r="AM793" i="1"/>
  <c r="AM794" i="1"/>
  <c r="AM795" i="1"/>
  <c r="AM796" i="1"/>
  <c r="AM797" i="1"/>
  <c r="AM666" i="1"/>
  <c r="AM699" i="1"/>
  <c r="AM594" i="1"/>
  <c r="AM558" i="1"/>
  <c r="AM599" i="1"/>
  <c r="AM665" i="1"/>
  <c r="AM691" i="1"/>
  <c r="AM355" i="1"/>
  <c r="AM364" i="1"/>
  <c r="AM395" i="1"/>
  <c r="AM434" i="1"/>
  <c r="AM445" i="1"/>
  <c r="AM462" i="1"/>
  <c r="AM494" i="1"/>
  <c r="AM513" i="1"/>
  <c r="AM642" i="1"/>
  <c r="AM663" i="1"/>
  <c r="AM705" i="1"/>
  <c r="AM552" i="1"/>
  <c r="AM559" i="1"/>
  <c r="AM560" i="1"/>
  <c r="AM575" i="1"/>
  <c r="AM587" i="1"/>
  <c r="AM588" i="1"/>
  <c r="AM589" i="1"/>
  <c r="AM619" i="1"/>
  <c r="AM651" i="1"/>
  <c r="AM657" i="1"/>
  <c r="AM660" i="1"/>
  <c r="AM687" i="1"/>
  <c r="AM695" i="1"/>
  <c r="AM706" i="1"/>
  <c r="AM707" i="1"/>
  <c r="AM712" i="1"/>
  <c r="AM738" i="1"/>
  <c r="AM745" i="1"/>
  <c r="AM746" i="1"/>
  <c r="AM359" i="1"/>
  <c r="AM380" i="1"/>
  <c r="AM408" i="1"/>
  <c r="AM424" i="1"/>
  <c r="AM455" i="1"/>
  <c r="AM507" i="1"/>
  <c r="AM528" i="1"/>
  <c r="AM226" i="1"/>
  <c r="AM271" i="1"/>
  <c r="AM306" i="1"/>
  <c r="AM308" i="1"/>
  <c r="AM313" i="1"/>
  <c r="AM553" i="1"/>
  <c r="AM563" i="1"/>
  <c r="AM580" i="1"/>
  <c r="AM620" i="1"/>
  <c r="AM635" i="1"/>
  <c r="AM653" i="1"/>
  <c r="AM678" i="1"/>
  <c r="AM683" i="1"/>
  <c r="AM684" i="1"/>
  <c r="AM686" i="1"/>
  <c r="AM700" i="1"/>
  <c r="AM732" i="1"/>
  <c r="AM708" i="1"/>
  <c r="AM713" i="1"/>
  <c r="AM723" i="1"/>
  <c r="AM719" i="1"/>
  <c r="Y347" i="1"/>
  <c r="N245" i="2"/>
  <c r="N284" i="2"/>
  <c r="N296" i="2"/>
  <c r="N323" i="2"/>
  <c r="N330" i="2"/>
  <c r="N73" i="2"/>
  <c r="AC193" i="2"/>
  <c r="Y427" i="1"/>
  <c r="S427" i="1"/>
  <c r="S652" i="1"/>
  <c r="AM169" i="1"/>
  <c r="N448" i="2"/>
  <c r="N486" i="2"/>
  <c r="N415" i="2"/>
  <c r="N583" i="2" l="1"/>
  <c r="N572" i="2"/>
  <c r="N725" i="2"/>
  <c r="N496" i="2"/>
  <c r="Y611" i="1"/>
  <c r="Q535" i="2"/>
  <c r="AC535" i="2"/>
  <c r="AC515" i="2"/>
  <c r="Y493" i="1"/>
  <c r="Y377" i="1"/>
  <c r="Y671" i="1" l="1"/>
  <c r="Y639" i="1"/>
  <c r="N639" i="1"/>
  <c r="Y612" i="1"/>
  <c r="AC546" i="2"/>
  <c r="Q522" i="2"/>
  <c r="Y654" i="1"/>
  <c r="S650" i="1"/>
  <c r="Y650" i="1" s="1"/>
  <c r="Y632" i="1"/>
  <c r="Y618" i="1"/>
  <c r="S554" i="1"/>
  <c r="Y554" i="1" s="1"/>
  <c r="S95" i="1"/>
  <c r="N51" i="1"/>
  <c r="S51" i="1"/>
  <c r="N44" i="2" l="1"/>
  <c r="N423" i="1"/>
  <c r="S451" i="1"/>
  <c r="N413" i="1"/>
  <c r="N367" i="1"/>
  <c r="Q619" i="2"/>
  <c r="N619" i="2"/>
  <c r="AC550" i="2"/>
  <c r="Q634" i="2"/>
  <c r="N21" i="1" l="1"/>
  <c r="N52" i="1"/>
  <c r="N45" i="1"/>
  <c r="N57" i="1"/>
  <c r="AM361" i="1" s="1"/>
  <c r="AM441" i="1"/>
  <c r="AM442" i="1"/>
  <c r="Y593" i="1"/>
  <c r="Y638" i="1"/>
  <c r="Y623" i="1"/>
  <c r="Y148" i="1"/>
  <c r="S148" i="1"/>
  <c r="S669" i="1"/>
  <c r="S593" i="1"/>
  <c r="N572" i="1"/>
  <c r="S572" i="1"/>
  <c r="S568" i="1"/>
  <c r="S598" i="1"/>
  <c r="S638" i="1"/>
  <c r="S623" i="1"/>
  <c r="N593" i="1"/>
  <c r="N598" i="1"/>
  <c r="N638" i="1"/>
  <c r="N623" i="1"/>
  <c r="N43" i="2"/>
  <c r="V617" i="1"/>
  <c r="V636" i="1"/>
  <c r="V425" i="1"/>
  <c r="U403" i="1"/>
  <c r="U363" i="1"/>
  <c r="U88" i="1"/>
  <c r="U97" i="1"/>
  <c r="U136" i="1"/>
  <c r="U72" i="1"/>
  <c r="U50" i="1"/>
  <c r="U79" i="1"/>
  <c r="U48" i="1"/>
  <c r="U23" i="1"/>
  <c r="U19" i="1"/>
  <c r="S667" i="1"/>
  <c r="V667" i="1" s="1"/>
  <c r="N667" i="1"/>
  <c r="S648" i="1"/>
  <c r="V648" i="1" s="1"/>
  <c r="N648" i="1"/>
  <c r="S603" i="1"/>
  <c r="V603" i="1" s="1"/>
  <c r="S626" i="1"/>
  <c r="N626" i="1"/>
  <c r="S644" i="1"/>
  <c r="S584" i="1"/>
  <c r="V584" i="1" s="1"/>
  <c r="S471" i="1"/>
  <c r="V471" i="1" s="1"/>
  <c r="S501" i="1"/>
  <c r="V501" i="1" s="1"/>
  <c r="N501" i="1"/>
  <c r="S499" i="1"/>
  <c r="V499" i="1" s="1"/>
  <c r="N499" i="1"/>
  <c r="S577" i="1"/>
  <c r="V577" i="1" s="1"/>
  <c r="N549" i="1"/>
  <c r="S549" i="1" s="1"/>
  <c r="V549" i="1" s="1"/>
  <c r="S550" i="1"/>
  <c r="V550" i="1" s="1"/>
  <c r="N550" i="1"/>
  <c r="S446" i="1"/>
  <c r="V446" i="1" s="1"/>
  <c r="N446" i="1"/>
  <c r="AM431" i="1"/>
  <c r="S433" i="1"/>
  <c r="N433" i="1"/>
  <c r="S370" i="1"/>
  <c r="U370" i="1" s="1"/>
  <c r="N370" i="1"/>
  <c r="N365" i="1"/>
  <c r="N363" i="1"/>
  <c r="S396" i="1"/>
  <c r="N396" i="1"/>
  <c r="S123" i="1"/>
  <c r="U123" i="1" s="1"/>
  <c r="N123" i="1"/>
  <c r="N88" i="1"/>
  <c r="S97" i="1"/>
  <c r="S136" i="1"/>
  <c r="N136" i="1"/>
  <c r="S150" i="1"/>
  <c r="N203" i="1"/>
  <c r="S333" i="1"/>
  <c r="U333" i="1" s="1"/>
  <c r="N333" i="1"/>
  <c r="S72" i="1"/>
  <c r="N54" i="1"/>
  <c r="S59" i="1"/>
  <c r="N59" i="1"/>
  <c r="S82" i="1"/>
  <c r="N82" i="1"/>
  <c r="N85" i="1"/>
  <c r="S28" i="1" l="1"/>
  <c r="N28" i="1"/>
  <c r="S20" i="1"/>
  <c r="N20" i="1"/>
  <c r="S11" i="1"/>
  <c r="U11" i="1" s="1"/>
  <c r="N11" i="1"/>
  <c r="S280" i="1"/>
  <c r="N280" i="1"/>
  <c r="N471" i="1"/>
  <c r="G363" i="1"/>
  <c r="N150" i="1"/>
  <c r="N146" i="1"/>
  <c r="N320" i="1"/>
  <c r="S32" i="1"/>
  <c r="S520" i="1" l="1"/>
  <c r="U520" i="1" s="1"/>
  <c r="S509" i="1"/>
  <c r="U509" i="1" s="1"/>
  <c r="N509" i="1"/>
  <c r="N524" i="1"/>
  <c r="S515" i="1"/>
  <c r="N515" i="1"/>
  <c r="Q306" i="2"/>
  <c r="Q357" i="2"/>
  <c r="N459" i="2"/>
  <c r="Q459" i="2" s="1"/>
  <c r="G459" i="2"/>
  <c r="N372" i="2"/>
  <c r="Q372" i="2" s="1"/>
  <c r="Q479" i="2"/>
  <c r="N434" i="2" l="1"/>
  <c r="Q434" i="2" s="1"/>
  <c r="Q592" i="2"/>
  <c r="N553" i="2"/>
  <c r="Q553" i="2" s="1"/>
  <c r="Q398" i="2"/>
  <c r="S151" i="1"/>
  <c r="S235" i="1"/>
  <c r="S485" i="1"/>
  <c r="Y485" i="1" s="1"/>
  <c r="U279" i="1"/>
  <c r="S371" i="1"/>
  <c r="N371" i="1"/>
  <c r="S426" i="1"/>
  <c r="N419" i="1"/>
  <c r="S419" i="1"/>
  <c r="Y454" i="1"/>
  <c r="S454" i="1"/>
  <c r="N454" i="1"/>
  <c r="Y566" i="1"/>
  <c r="Y573" i="1"/>
  <c r="Y555" i="1"/>
  <c r="S555" i="1"/>
  <c r="N444" i="2"/>
  <c r="AM66" i="1"/>
  <c r="Q547" i="2" l="1"/>
  <c r="N351" i="2"/>
  <c r="Q351" i="2" s="1"/>
  <c r="N471" i="2"/>
  <c r="Q471" i="2" s="1"/>
  <c r="Q516" i="2"/>
  <c r="Q526" i="2"/>
  <c r="AC361" i="2"/>
  <c r="Q361" i="2"/>
  <c r="Q343" i="2"/>
  <c r="AH343" i="2"/>
  <c r="AC257" i="2"/>
  <c r="Q257" i="2"/>
  <c r="AC200" i="2"/>
  <c r="N200" i="2"/>
  <c r="Q200" i="2" s="1"/>
  <c r="AC252" i="2"/>
  <c r="N252" i="2"/>
  <c r="Q252" i="2" s="1"/>
  <c r="N422" i="2"/>
  <c r="Q422" i="2" s="1"/>
  <c r="U505" i="1" l="1"/>
  <c r="U409" i="1"/>
  <c r="N505" i="1"/>
  <c r="AM447" i="1"/>
  <c r="AM409" i="1"/>
  <c r="S629" i="1" l="1"/>
  <c r="U629" i="1" s="1"/>
  <c r="S627" i="1"/>
  <c r="U627" i="1" s="1"/>
  <c r="S586" i="1"/>
  <c r="N586" i="1"/>
  <c r="S607" i="1"/>
  <c r="U607" i="1" s="1"/>
  <c r="S551" i="1"/>
  <c r="N551" i="1"/>
  <c r="AM551" i="1" s="1"/>
  <c r="S585" i="1"/>
  <c r="N585" i="1"/>
  <c r="AM585" i="1" s="1"/>
  <c r="Q430" i="2"/>
  <c r="AM470" i="1"/>
  <c r="AM606" i="1"/>
  <c r="N532" i="2"/>
  <c r="S354" i="1"/>
  <c r="N354" i="1"/>
  <c r="S571" i="1"/>
  <c r="N571" i="1"/>
  <c r="S489" i="1"/>
  <c r="N489" i="1"/>
  <c r="Y417" i="1"/>
  <c r="S496" i="1" l="1"/>
  <c r="N496" i="1"/>
  <c r="Y569" i="1"/>
  <c r="N569" i="1"/>
  <c r="AM569" i="1" s="1"/>
  <c r="N578" i="1"/>
  <c r="AM578" i="1" s="1"/>
  <c r="Y344" i="1"/>
  <c r="S344" i="1"/>
  <c r="N344" i="1"/>
  <c r="AM344" i="1" s="1"/>
  <c r="AM68" i="1"/>
  <c r="AM81" i="1"/>
  <c r="AM228" i="1"/>
  <c r="AM496" i="1"/>
  <c r="AM250" i="1"/>
  <c r="AM417" i="1"/>
  <c r="AM489" i="1"/>
  <c r="AM571" i="1"/>
  <c r="AM350" i="1"/>
  <c r="AM354" i="1"/>
  <c r="AM613" i="1"/>
  <c r="AM479" i="1"/>
  <c r="AM570" i="1"/>
  <c r="AM581" i="1"/>
  <c r="AM604" i="1"/>
  <c r="AM464" i="1"/>
  <c r="AM561" i="1"/>
  <c r="AM510" i="1"/>
  <c r="AM548" i="1"/>
  <c r="AM542" i="1"/>
  <c r="AM595" i="1"/>
  <c r="AM477" i="1"/>
  <c r="AM596" i="1"/>
  <c r="AM458" i="1"/>
  <c r="AM607" i="1"/>
  <c r="AM586" i="1"/>
  <c r="AM627" i="1"/>
  <c r="AM629" i="1"/>
  <c r="AM505" i="1"/>
  <c r="AM65" i="1"/>
  <c r="AM77" i="1"/>
  <c r="AM436" i="1"/>
  <c r="AM465" i="1"/>
  <c r="AM645" i="1"/>
  <c r="AM647" i="1"/>
  <c r="AM640" i="1"/>
  <c r="AM555" i="1"/>
  <c r="AM573" i="1"/>
  <c r="AM597" i="1"/>
  <c r="AM566" i="1"/>
  <c r="AM485" i="1"/>
  <c r="AM235" i="1"/>
  <c r="AM151" i="1"/>
  <c r="AM756" i="1"/>
  <c r="AM538" i="1"/>
  <c r="AM546" i="1"/>
  <c r="AM591" i="1"/>
  <c r="AM592" i="1"/>
  <c r="AM609" i="1"/>
  <c r="AM515" i="1"/>
  <c r="AM524" i="1"/>
  <c r="AM509" i="1"/>
  <c r="AM614" i="1"/>
  <c r="AM520" i="1"/>
  <c r="AM32" i="1"/>
  <c r="AM145" i="1"/>
  <c r="AM280" i="1"/>
  <c r="AM320" i="1"/>
  <c r="AM146" i="1"/>
  <c r="AM11" i="1"/>
  <c r="AM20" i="1"/>
  <c r="AM19" i="1"/>
  <c r="AM18" i="1"/>
  <c r="AM16" i="1"/>
  <c r="AM14" i="1"/>
  <c r="AM23" i="1"/>
  <c r="AM28" i="1"/>
  <c r="AM48" i="1"/>
  <c r="AM79" i="1"/>
  <c r="AM85" i="1"/>
  <c r="AM82" i="1"/>
  <c r="AM61" i="1"/>
  <c r="AM59" i="1"/>
  <c r="AM54" i="1"/>
  <c r="AM50" i="1"/>
  <c r="AM72" i="1"/>
  <c r="AM333" i="1"/>
  <c r="AM203" i="1"/>
  <c r="AM150" i="1"/>
  <c r="AM136" i="1"/>
  <c r="AM97" i="1"/>
  <c r="AM88" i="1"/>
  <c r="AM123" i="1"/>
  <c r="AM396" i="1"/>
  <c r="AM363" i="1"/>
  <c r="AM365" i="1"/>
  <c r="AM370" i="1"/>
  <c r="AM403" i="1"/>
  <c r="AM433" i="1"/>
  <c r="AM425" i="1"/>
  <c r="AM446" i="1"/>
  <c r="AM550" i="1"/>
  <c r="AM549" i="1"/>
  <c r="AM577" i="1"/>
  <c r="AM499" i="1"/>
  <c r="AM501" i="1"/>
  <c r="AM471" i="1"/>
  <c r="AM584" i="1"/>
  <c r="AM600" i="1"/>
  <c r="AM636" i="1"/>
  <c r="AM644" i="1"/>
  <c r="AM626" i="1"/>
  <c r="AM603" i="1"/>
  <c r="AM631" i="1"/>
  <c r="AM648" i="1"/>
  <c r="AM667" i="1"/>
  <c r="AM617" i="1"/>
  <c r="AM623" i="1"/>
  <c r="AM662" i="1"/>
  <c r="AM638" i="1"/>
  <c r="AM598" i="1"/>
  <c r="AM568" i="1"/>
  <c r="AM572" i="1"/>
  <c r="AM593" i="1"/>
  <c r="AM669" i="1"/>
  <c r="AM148" i="1"/>
  <c r="AM60" i="1"/>
  <c r="AM57" i="1"/>
  <c r="AM757" i="1"/>
  <c r="AM42" i="1"/>
  <c r="AM45" i="1"/>
  <c r="AM52" i="1"/>
  <c r="AM21" i="1"/>
  <c r="AM41" i="1"/>
  <c r="AM367" i="1"/>
  <c r="AM413" i="1"/>
  <c r="AM602" i="1"/>
  <c r="AM451" i="1"/>
  <c r="AM758" i="1"/>
  <c r="AM423" i="1"/>
  <c r="AM416" i="1"/>
  <c r="AM641" i="1"/>
  <c r="AM554" i="1"/>
  <c r="AM608" i="1"/>
  <c r="AM618" i="1"/>
  <c r="AM632" i="1"/>
  <c r="AM650" i="1"/>
  <c r="AM654" i="1"/>
  <c r="AM51" i="1"/>
  <c r="AM95" i="1"/>
  <c r="AM612" i="1"/>
  <c r="AM639" i="1"/>
  <c r="AM671" i="1"/>
  <c r="AM517" i="1"/>
  <c r="AM611" i="1"/>
  <c r="AM616" i="1"/>
  <c r="AM759" i="1"/>
  <c r="AM760" i="1"/>
  <c r="AM761" i="1"/>
  <c r="AM762" i="1"/>
  <c r="AM763" i="1"/>
  <c r="AM764" i="1"/>
  <c r="AM765" i="1"/>
  <c r="AM652" i="1"/>
  <c r="AM680" i="1"/>
  <c r="AM427" i="1"/>
  <c r="AM275" i="1"/>
  <c r="AM285" i="1"/>
  <c r="AM369" i="1"/>
  <c r="AM401" i="1"/>
  <c r="AM544" i="1"/>
  <c r="AM615" i="1"/>
  <c r="AM628" i="1"/>
  <c r="S27" i="1"/>
  <c r="N334" i="2" l="1"/>
  <c r="N548" i="2"/>
  <c r="N477" i="2"/>
  <c r="G477" i="2"/>
  <c r="Y348" i="1"/>
  <c r="S348" i="1"/>
  <c r="N348" i="1"/>
  <c r="Q105" i="2"/>
  <c r="N432" i="2"/>
  <c r="S301" i="1" l="1"/>
  <c r="N301" i="1"/>
  <c r="AM301" i="1" s="1"/>
  <c r="S483" i="1"/>
  <c r="S601" i="1"/>
  <c r="N601" i="1"/>
  <c r="AM601" i="1" s="1"/>
  <c r="AM27" i="1"/>
  <c r="AM478" i="1"/>
  <c r="AM534" i="1"/>
  <c r="AM483" i="1"/>
  <c r="AM58" i="1"/>
  <c r="AM348" i="1"/>
  <c r="AM582" i="1"/>
  <c r="AM605" i="1"/>
  <c r="S523" i="1"/>
  <c r="N523" i="1"/>
  <c r="AM523" i="1" s="1"/>
  <c r="N432" i="1"/>
  <c r="AM432" i="1" s="1"/>
  <c r="N521" i="1"/>
  <c r="AM521" i="1" s="1"/>
  <c r="AM96" i="1"/>
  <c r="AM257" i="1"/>
  <c r="N491" i="1"/>
  <c r="AM491" i="1" s="1"/>
  <c r="AM315" i="1"/>
  <c r="AM282" i="1"/>
  <c r="AM155" i="1"/>
  <c r="AM338" i="1"/>
  <c r="AM195" i="1"/>
  <c r="AM540" i="1"/>
  <c r="AM497" i="1"/>
  <c r="AM525" i="1"/>
  <c r="AM36" i="1"/>
  <c r="AM43" i="1"/>
  <c r="AM168" i="1"/>
  <c r="AM162" i="1"/>
  <c r="AM241" i="1"/>
  <c r="AM132" i="1"/>
  <c r="AM192" i="1"/>
  <c r="AM527" i="1"/>
  <c r="AM114" i="1"/>
  <c r="AM286" i="1"/>
  <c r="AM153" i="1"/>
  <c r="AM139" i="1"/>
  <c r="AM134" i="1"/>
  <c r="AM89" i="1"/>
  <c r="AM90" i="1"/>
  <c r="AM174" i="1"/>
  <c r="AM91" i="1"/>
  <c r="AM371" i="1"/>
  <c r="AM261" i="1"/>
  <c r="AM486" i="1"/>
  <c r="AM414" i="1"/>
  <c r="AM76" i="1"/>
  <c r="AM75" i="1"/>
  <c r="AM171" i="1"/>
  <c r="AM415" i="1"/>
  <c r="AM457" i="1"/>
  <c r="AM121" i="1"/>
  <c r="AM109" i="1"/>
  <c r="AM180" i="1"/>
  <c r="AM92" i="1"/>
  <c r="AM437" i="1"/>
  <c r="AM212" i="1"/>
  <c r="AM49" i="1"/>
  <c r="AM402" i="1"/>
  <c r="AM452" i="1"/>
  <c r="AM504" i="1"/>
  <c r="AM531" i="1"/>
  <c r="AM529" i="1"/>
  <c r="AM263" i="1"/>
  <c r="AM279" i="1"/>
  <c r="AM106" i="1"/>
  <c r="AM10" i="1"/>
  <c r="AM351" i="1"/>
  <c r="AM206" i="1"/>
  <c r="AM385" i="1"/>
  <c r="AM110" i="1"/>
  <c r="AM547" i="1"/>
  <c r="AM188" i="1"/>
  <c r="AM175" i="1"/>
  <c r="AM181" i="1"/>
  <c r="AM502" i="1"/>
  <c r="AM200" i="1"/>
  <c r="AM454" i="1"/>
  <c r="AM419" i="1"/>
  <c r="AM358" i="1"/>
  <c r="AM440" i="1"/>
  <c r="AM426" i="1"/>
  <c r="AM508" i="1"/>
  <c r="AM468" i="1"/>
  <c r="AM379" i="1"/>
  <c r="AM336" i="1"/>
  <c r="AM307" i="1"/>
  <c r="AM269" i="1"/>
  <c r="AM161" i="1"/>
  <c r="AM189" i="1"/>
  <c r="AM211" i="1"/>
  <c r="AM381" i="1"/>
  <c r="AM535" i="1"/>
  <c r="AM284" i="1"/>
  <c r="AM108" i="1"/>
  <c r="AM104" i="1"/>
  <c r="AM154" i="1"/>
  <c r="AM142" i="1"/>
  <c r="AM141" i="1"/>
  <c r="AM296" i="1"/>
  <c r="AM429" i="1"/>
  <c r="AM484" i="1"/>
  <c r="AM287" i="1"/>
  <c r="AM345" i="1"/>
  <c r="AM288" i="1"/>
  <c r="AM166" i="1"/>
  <c r="AM173" i="1"/>
  <c r="AM405" i="1"/>
  <c r="AM539" i="1"/>
  <c r="AM144" i="1"/>
  <c r="AM67" i="1"/>
  <c r="AM138" i="1"/>
  <c r="AM537" i="1"/>
  <c r="AM514" i="1"/>
  <c r="AM407" i="1"/>
  <c r="AM356" i="1"/>
  <c r="AM349" i="1"/>
  <c r="AM421" i="1"/>
  <c r="AM411" i="1"/>
  <c r="AM389" i="1"/>
  <c r="AM330" i="1"/>
  <c r="AM326" i="1"/>
  <c r="Q342" i="2"/>
  <c r="N298" i="2"/>
  <c r="AM912" i="1"/>
  <c r="AM911" i="1"/>
  <c r="AM910" i="1"/>
  <c r="AM909" i="1"/>
  <c r="AM908" i="1"/>
  <c r="AM907" i="1"/>
  <c r="AM906" i="1"/>
  <c r="AM905" i="1"/>
  <c r="AM904" i="1"/>
  <c r="AM903" i="1"/>
  <c r="AM902" i="1"/>
  <c r="AM901" i="1"/>
  <c r="AM900" i="1"/>
  <c r="AM899" i="1"/>
  <c r="AM898" i="1"/>
  <c r="AM897" i="1"/>
  <c r="AM896" i="1"/>
  <c r="AM895" i="1"/>
  <c r="AM894" i="1"/>
  <c r="AM893" i="1"/>
  <c r="AM892" i="1"/>
  <c r="AM891" i="1"/>
  <c r="AM890" i="1"/>
  <c r="AM889" i="1"/>
  <c r="AM888" i="1"/>
  <c r="AM887" i="1"/>
  <c r="AM886" i="1"/>
  <c r="AM885" i="1"/>
  <c r="AM884" i="1"/>
  <c r="AM883" i="1"/>
  <c r="AM882" i="1"/>
  <c r="AM881" i="1"/>
  <c r="AM533" i="1"/>
  <c r="AM129" i="1"/>
  <c r="AM182" i="1"/>
  <c r="AM335" i="1"/>
  <c r="AM270" i="1"/>
  <c r="AM240" i="1"/>
  <c r="AM276" i="1"/>
  <c r="AM373" i="1"/>
  <c r="AM481" i="1"/>
  <c r="AM488" i="1"/>
  <c r="AM487" i="1"/>
  <c r="AM522" i="1"/>
  <c r="AM207" i="1"/>
  <c r="AM277" i="1"/>
  <c r="AM298" i="1"/>
  <c r="AM305" i="1"/>
  <c r="AM327" i="1"/>
  <c r="AM368" i="1"/>
  <c r="AM63" i="1"/>
  <c r="AM202" i="1"/>
  <c r="AM248" i="1"/>
  <c r="AM503" i="1"/>
  <c r="AM536" i="1"/>
  <c r="AM352" i="1"/>
  <c r="AM406" i="1"/>
  <c r="AM394" i="1"/>
  <c r="AM511" i="1"/>
  <c r="AM213" i="1"/>
  <c r="AM297" i="1"/>
  <c r="AM399" i="1"/>
  <c r="AM273" i="1"/>
  <c r="AM366" i="1"/>
  <c r="AM574" i="1"/>
  <c r="AM526" i="1"/>
  <c r="AM495" i="1"/>
  <c r="AM372" i="1"/>
  <c r="AM467" i="1"/>
  <c r="AM360" i="1"/>
  <c r="AM473" i="1"/>
  <c r="AM490" i="1"/>
  <c r="AM564" i="1"/>
  <c r="AM249" i="1"/>
  <c r="AM127" i="1"/>
  <c r="Y518" i="1"/>
  <c r="Y406" i="1"/>
  <c r="Y352" i="1"/>
  <c r="Y536" i="1"/>
  <c r="S432" i="1" l="1"/>
  <c r="S63" i="1"/>
  <c r="AM422" i="1"/>
  <c r="AM156" i="1"/>
  <c r="AM244" i="1"/>
  <c r="AM412" i="1"/>
  <c r="AM392" i="1"/>
  <c r="AM64" i="1"/>
  <c r="AM331" i="1"/>
  <c r="AM316" i="1"/>
  <c r="AM283" i="1"/>
  <c r="AM112" i="1"/>
  <c r="AM323" i="1"/>
  <c r="AM400" i="1"/>
  <c r="AM242" i="1"/>
  <c r="AM506" i="1"/>
  <c r="AM217" i="1"/>
  <c r="AM518" i="1"/>
  <c r="AM113" i="1"/>
  <c r="AM80" i="1"/>
  <c r="AM329" i="1"/>
  <c r="AM179" i="1"/>
  <c r="AM133" i="1"/>
  <c r="AM516" i="1"/>
  <c r="S491" i="1"/>
  <c r="Y491" i="1"/>
  <c r="S476" i="1"/>
  <c r="S474" i="1"/>
  <c r="N461" i="1"/>
  <c r="S461" i="1"/>
  <c r="S450" i="1"/>
  <c r="S438" i="1"/>
  <c r="AM438" i="1"/>
  <c r="S420" i="1"/>
  <c r="Y488" i="1" l="1"/>
  <c r="AH30" i="2"/>
  <c r="AH288" i="2"/>
  <c r="AH316" i="2"/>
  <c r="AH405" i="2"/>
  <c r="AH195" i="2"/>
  <c r="AH254" i="2"/>
  <c r="AH338" i="2"/>
  <c r="AH103" i="2"/>
  <c r="AH62" i="2"/>
  <c r="AH293" i="2"/>
  <c r="AH138" i="2"/>
  <c r="AH37" i="2"/>
  <c r="AH9" i="2"/>
  <c r="AH5" i="2"/>
  <c r="AH3" i="2"/>
  <c r="AH423" i="2"/>
  <c r="AH335" i="2"/>
  <c r="AH181" i="2"/>
  <c r="AH408" i="2"/>
  <c r="AH35" i="2"/>
  <c r="AH404" i="2"/>
  <c r="AH247" i="2"/>
  <c r="AH146" i="2"/>
  <c r="AH281" i="2"/>
  <c r="AH59" i="2"/>
  <c r="AH51" i="2"/>
  <c r="AH348" i="2"/>
  <c r="AH162" i="2"/>
  <c r="AH82" i="2"/>
  <c r="AH292" i="2"/>
  <c r="AH114" i="2"/>
  <c r="AH45" i="2"/>
  <c r="AH194" i="2"/>
  <c r="AH94" i="2"/>
  <c r="AH263" i="2"/>
  <c r="AH439" i="2"/>
  <c r="AH278" i="2"/>
  <c r="AH159" i="2"/>
  <c r="AH377" i="2"/>
  <c r="AH205" i="2"/>
  <c r="AH160" i="2"/>
  <c r="AH76" i="2"/>
  <c r="AH163" i="2"/>
  <c r="AH137" i="2"/>
  <c r="AH88" i="2"/>
  <c r="AH47" i="2"/>
  <c r="AH180" i="2"/>
  <c r="AH154" i="2"/>
  <c r="AH207" i="2"/>
  <c r="AH385" i="2"/>
  <c r="AH339" i="2"/>
  <c r="AH164" i="2"/>
  <c r="AH65" i="2"/>
  <c r="AH269" i="2"/>
  <c r="AH87" i="2"/>
  <c r="AH8" i="2"/>
  <c r="AH36" i="2"/>
  <c r="AH184" i="2"/>
  <c r="AH172" i="2"/>
  <c r="AH122" i="2"/>
  <c r="AH279" i="2"/>
  <c r="AH21" i="2"/>
  <c r="AH250" i="2"/>
  <c r="AH421" i="2"/>
  <c r="AH255" i="2"/>
  <c r="AH376" i="2"/>
  <c r="AH109" i="2"/>
  <c r="AH215" i="2"/>
  <c r="AH53" i="2"/>
  <c r="AH280" i="2"/>
  <c r="AH96" i="2"/>
  <c r="AH322" i="2"/>
  <c r="AH80" i="2"/>
  <c r="AH276" i="2"/>
  <c r="AH341" i="2"/>
  <c r="AH259" i="2"/>
  <c r="AH309" i="2"/>
  <c r="AH188" i="2"/>
  <c r="AH236" i="2"/>
  <c r="AH39" i="2"/>
  <c r="AH219" i="2"/>
  <c r="AH13" i="2"/>
  <c r="AH61" i="2"/>
  <c r="AH230" i="2"/>
  <c r="AH134" i="2"/>
  <c r="AH350" i="2"/>
  <c r="AH136" i="2"/>
  <c r="AH107" i="2"/>
  <c r="AH90" i="2"/>
  <c r="AH70" i="2"/>
  <c r="AH69" i="2"/>
  <c r="AH157" i="2"/>
  <c r="AH135" i="2"/>
  <c r="AH208" i="2"/>
  <c r="AH6" i="2"/>
  <c r="AH119" i="2"/>
  <c r="AH52" i="2"/>
  <c r="AH295" i="2"/>
  <c r="AH420" i="2"/>
  <c r="AH108" i="2"/>
  <c r="AH302" i="2"/>
  <c r="AH49" i="2"/>
  <c r="AH253" i="2"/>
  <c r="AH264" i="2"/>
  <c r="AH249" i="2"/>
  <c r="AH83" i="2"/>
  <c r="AH126" i="2"/>
  <c r="AH152" i="2"/>
  <c r="AH29" i="2"/>
  <c r="AH442" i="2"/>
  <c r="AH381" i="2"/>
  <c r="AH211" i="2"/>
  <c r="AH18" i="2"/>
  <c r="AH198" i="2"/>
  <c r="AH362" i="2"/>
  <c r="AH153" i="2"/>
  <c r="AH371" i="2"/>
  <c r="AH299" i="2"/>
  <c r="AH410" i="2"/>
  <c r="AH97" i="2"/>
  <c r="AH123" i="2"/>
  <c r="AH287" i="2"/>
  <c r="AH328" i="2"/>
  <c r="AH92" i="2"/>
  <c r="AH142" i="2"/>
  <c r="AH156" i="2"/>
  <c r="AH231" i="2"/>
  <c r="AH197" i="2"/>
  <c r="AH394" i="2"/>
  <c r="AH317" i="2"/>
  <c r="AH33" i="2"/>
  <c r="AH389" i="2"/>
  <c r="AH100" i="2"/>
  <c r="AH40" i="2"/>
  <c r="AH60" i="2"/>
  <c r="AH273" i="2"/>
  <c r="AH174" i="2"/>
  <c r="AH358" i="2"/>
  <c r="AH301" i="2"/>
  <c r="AH173" i="2"/>
  <c r="AH275" i="2"/>
  <c r="AH64" i="2"/>
  <c r="AH31" i="2"/>
  <c r="AH77" i="2"/>
  <c r="AH353" i="2"/>
  <c r="AH2" i="2"/>
  <c r="AH199" i="2"/>
  <c r="AH217" i="2"/>
  <c r="AH209" i="2"/>
  <c r="AH124" i="2"/>
  <c r="AH12" i="2"/>
  <c r="AH158" i="2"/>
  <c r="AH228" i="2"/>
  <c r="AH324" i="2"/>
  <c r="AH314" i="2"/>
  <c r="AH369" i="2"/>
  <c r="AH203" i="2"/>
  <c r="AH118" i="2"/>
  <c r="AH166" i="2"/>
  <c r="AH412" i="2"/>
  <c r="AH244" i="2"/>
  <c r="AH133" i="2"/>
  <c r="AH26" i="2"/>
  <c r="AH359" i="2"/>
  <c r="AH66" i="2"/>
  <c r="AH140" i="2"/>
  <c r="AH232" i="2"/>
  <c r="AH265" i="2"/>
  <c r="AH239" i="2"/>
  <c r="AH143" i="2"/>
  <c r="AH379" i="2"/>
  <c r="AH396" i="2"/>
  <c r="AH233" i="2"/>
  <c r="AH68" i="2"/>
  <c r="AH145" i="2"/>
  <c r="AH132" i="2"/>
  <c r="AH310" i="2"/>
  <c r="AH178" i="2"/>
  <c r="AH121" i="2"/>
  <c r="AH313" i="2"/>
  <c r="AH46" i="2"/>
  <c r="AH72" i="2"/>
  <c r="AH321" i="2"/>
  <c r="AH355" i="2"/>
  <c r="AH27" i="2"/>
  <c r="AH304" i="2"/>
  <c r="AH71" i="2"/>
  <c r="AH221" i="2"/>
  <c r="AH457" i="2"/>
  <c r="AH329" i="2"/>
  <c r="AH23" i="2"/>
  <c r="AH99" i="2"/>
  <c r="AH315" i="2"/>
  <c r="AH390" i="2"/>
  <c r="AH28" i="2"/>
  <c r="AH89" i="2"/>
  <c r="AH210" i="2"/>
  <c r="AH206" i="2"/>
  <c r="AH300" i="2"/>
  <c r="AH213" i="2"/>
  <c r="AH128" i="2"/>
  <c r="AH57" i="2"/>
  <c r="AH214" i="2"/>
  <c r="AH58" i="2"/>
  <c r="AH139" i="2"/>
  <c r="AH7" i="2"/>
  <c r="AH237" i="2"/>
  <c r="AH106" i="2"/>
  <c r="AH10" i="2"/>
  <c r="AH78" i="2"/>
  <c r="AH305" i="2"/>
  <c r="AH54" i="2"/>
  <c r="AH127" i="2"/>
  <c r="AH155" i="2"/>
  <c r="AH272" i="2"/>
  <c r="AH168" i="2"/>
  <c r="AH167" i="2"/>
  <c r="AH413" i="2"/>
  <c r="AH32" i="2"/>
  <c r="AH189" i="2"/>
  <c r="AH204" i="2"/>
  <c r="AH14" i="2"/>
  <c r="AH11" i="2"/>
  <c r="AH20" i="2"/>
  <c r="AH86" i="2"/>
  <c r="AH256" i="2"/>
  <c r="AH63" i="2"/>
  <c r="AH332" i="2"/>
  <c r="AH95" i="2"/>
  <c r="AH458" i="2"/>
  <c r="AH297" i="2"/>
  <c r="AH307" i="2"/>
  <c r="AH120" i="2"/>
  <c r="AH483" i="2"/>
  <c r="AH435" i="2"/>
  <c r="AH437" i="2"/>
  <c r="AH438" i="2"/>
  <c r="AH440" i="2"/>
  <c r="AH445" i="2"/>
  <c r="AH449" i="2"/>
  <c r="AH456" i="2"/>
  <c r="AH460" i="2"/>
  <c r="AH462" i="2"/>
  <c r="AH224" i="2"/>
  <c r="AH291" i="2"/>
  <c r="AH492" i="2"/>
  <c r="AH399" i="2"/>
  <c r="AH425" i="2"/>
  <c r="AH428" i="2"/>
  <c r="AH427" i="2"/>
  <c r="AH436" i="2"/>
  <c r="AH453" i="2"/>
  <c r="AH482" i="2"/>
  <c r="AH186" i="2"/>
  <c r="AH262" i="2"/>
  <c r="AH533" i="2"/>
  <c r="AH229" i="2"/>
  <c r="AH271" i="2"/>
  <c r="AH298" i="2"/>
  <c r="AH327" i="2"/>
  <c r="AH342" i="2"/>
  <c r="AH356" i="2"/>
  <c r="AH545" i="2"/>
  <c r="AH318" i="2"/>
  <c r="AH319" i="2"/>
  <c r="AH484" i="2"/>
  <c r="AH498" i="2"/>
  <c r="AH384" i="2"/>
  <c r="AH115" i="2"/>
  <c r="AH129" i="2"/>
  <c r="AH169" i="2"/>
  <c r="AH285" i="2"/>
  <c r="AH325" i="2"/>
  <c r="AH403" i="2"/>
  <c r="AH465" i="2"/>
  <c r="AH468" i="2"/>
  <c r="AH473" i="2"/>
  <c r="AH474" i="2"/>
  <c r="AH475" i="2"/>
  <c r="AH478" i="2"/>
  <c r="AH480" i="2"/>
  <c r="AH493" i="2"/>
  <c r="AH495" i="2"/>
  <c r="AH508" i="2"/>
  <c r="AH517" i="2"/>
  <c r="AH170" i="2"/>
  <c r="AH190" i="2"/>
  <c r="AH227" i="2"/>
  <c r="AH467" i="2"/>
  <c r="AH352" i="2"/>
  <c r="AH380" i="2"/>
  <c r="AH429" i="2"/>
  <c r="AH260" i="2"/>
  <c r="AH238" i="2"/>
  <c r="AH110" i="2"/>
  <c r="AH84" i="2"/>
  <c r="AH67" i="2"/>
  <c r="AH432" i="2"/>
  <c r="AH105" i="2"/>
  <c r="AH337" i="2"/>
  <c r="AH364" i="2"/>
  <c r="AH366" i="2"/>
  <c r="AH378" i="2"/>
  <c r="AH383" i="2"/>
  <c r="AH391" i="2"/>
  <c r="AH402" i="2"/>
  <c r="AH431" i="2"/>
  <c r="AH246" i="2"/>
  <c r="AH426" i="2"/>
  <c r="AH477" i="2"/>
  <c r="AH548" i="2"/>
  <c r="AH289" i="2"/>
  <c r="AH334" i="2"/>
  <c r="AH261" i="2"/>
  <c r="AH177" i="2"/>
  <c r="AH311" i="2"/>
  <c r="AH201" i="2"/>
  <c r="AH461" i="2"/>
  <c r="AH532" i="2"/>
  <c r="AH538" i="2"/>
  <c r="AH549" i="2"/>
  <c r="AH573" i="2"/>
  <c r="AH374" i="2"/>
  <c r="AH320" i="2"/>
  <c r="AH363" i="2"/>
  <c r="AH388" i="2"/>
  <c r="AH481" i="2"/>
  <c r="AH430" i="2"/>
  <c r="AH501" i="2"/>
  <c r="AH551" i="2"/>
  <c r="AH450" i="2"/>
  <c r="AH506" i="2"/>
  <c r="AH373" i="2"/>
  <c r="AH466" i="2"/>
  <c r="AH571" i="2"/>
  <c r="AH400" i="2"/>
  <c r="AH463" i="2"/>
  <c r="AH397" i="2"/>
  <c r="AH574" i="2"/>
  <c r="AH401" i="2"/>
  <c r="AH336" i="2"/>
  <c r="AH222" i="2"/>
  <c r="AH251" i="2"/>
  <c r="AH308" i="2"/>
  <c r="AH422" i="2"/>
  <c r="AH252" i="2"/>
  <c r="AH200" i="2"/>
  <c r="AH257" i="2"/>
  <c r="AH361" i="2"/>
  <c r="AH526" i="2"/>
  <c r="AH516" i="2"/>
  <c r="AH471" i="2"/>
  <c r="AH351" i="2"/>
  <c r="AH547" i="2"/>
  <c r="AH444" i="2"/>
  <c r="AH509" i="2"/>
  <c r="AH555" i="2"/>
  <c r="AH558" i="2"/>
  <c r="AH566" i="2"/>
  <c r="AH579" i="2"/>
  <c r="AH593" i="2"/>
  <c r="AH599" i="2"/>
  <c r="AH398" i="2"/>
  <c r="AH553" i="2"/>
  <c r="AH592" i="2"/>
  <c r="AH434" i="2"/>
  <c r="AH479" i="2"/>
  <c r="AH372" i="2"/>
  <c r="AH459" i="2"/>
  <c r="AH505" i="2"/>
  <c r="AH357" i="2"/>
  <c r="AH488" i="2"/>
  <c r="AH503" i="2"/>
  <c r="AH529" i="2"/>
  <c r="AH617" i="2"/>
  <c r="AH591" i="2"/>
  <c r="AH596" i="2"/>
  <c r="AH598" i="2"/>
  <c r="AH171" i="2"/>
  <c r="AH179" i="2"/>
  <c r="AH185" i="2"/>
  <c r="AH306" i="2"/>
  <c r="AH454" i="2"/>
  <c r="AH622" i="2"/>
  <c r="AH504" i="2"/>
  <c r="AH608" i="2"/>
  <c r="AH43" i="2"/>
  <c r="AH19" i="2"/>
  <c r="AH24" i="2"/>
  <c r="AH22" i="2"/>
  <c r="AH294" i="2"/>
  <c r="AH347" i="2"/>
  <c r="AH326" i="2"/>
  <c r="AH387" i="2"/>
  <c r="AH527" i="2"/>
  <c r="AH534" i="2"/>
  <c r="AH634" i="2"/>
  <c r="AH550" i="2"/>
  <c r="AH605" i="2"/>
  <c r="AH589" i="2"/>
  <c r="AH590" i="2"/>
  <c r="AH607" i="2"/>
  <c r="AH610" i="2"/>
  <c r="AH619" i="2"/>
  <c r="AH44" i="2"/>
  <c r="AH522" i="2"/>
  <c r="AH546" i="2"/>
  <c r="AH563" i="2"/>
  <c r="AH575" i="2"/>
  <c r="AH584" i="2"/>
  <c r="AH515" i="2"/>
  <c r="AH535" i="2"/>
  <c r="AH621" i="2"/>
  <c r="AH519" i="2"/>
  <c r="AH747" i="2"/>
  <c r="AH496" i="2"/>
  <c r="AH567" i="2"/>
  <c r="AH725" i="2"/>
  <c r="AH572" i="2"/>
  <c r="AH583" i="2"/>
  <c r="AH455" i="2"/>
  <c r="AH739" i="2"/>
  <c r="AH370" i="2"/>
  <c r="AH738" i="2"/>
  <c r="AH737" i="2"/>
  <c r="AH393" i="2"/>
  <c r="AH345" i="2"/>
  <c r="AH415" i="2"/>
  <c r="AH743" i="2"/>
  <c r="AH741" i="2"/>
  <c r="AH736" i="2"/>
  <c r="AH745" i="2"/>
  <c r="AH486" i="2"/>
  <c r="AH746" i="2"/>
  <c r="AH452" i="2"/>
  <c r="AH448" i="2"/>
  <c r="AH744" i="2"/>
  <c r="AH650" i="2"/>
  <c r="AH497" i="2"/>
  <c r="AH290" i="2"/>
  <c r="AH183" i="2"/>
  <c r="AH489" i="2"/>
  <c r="AH514" i="2"/>
  <c r="AH565" i="2"/>
  <c r="AH625" i="2"/>
  <c r="AH631" i="2"/>
  <c r="AH627" i="2"/>
  <c r="AH633" i="2"/>
  <c r="AH641" i="2"/>
  <c r="AH643" i="2"/>
  <c r="AH652" i="2"/>
  <c r="AH672" i="2"/>
  <c r="AH731" i="2"/>
  <c r="AH740" i="2"/>
  <c r="AH742" i="2"/>
  <c r="AH735" i="2"/>
  <c r="AH727" i="2"/>
  <c r="AH732" i="2"/>
  <c r="AH733" i="2"/>
  <c r="AH729" i="2"/>
  <c r="AH728" i="2"/>
  <c r="AH730" i="2"/>
  <c r="AH726" i="2"/>
  <c r="AH193" i="2"/>
  <c r="AH191" i="2"/>
  <c r="AH131" i="2"/>
  <c r="AH130" i="2"/>
  <c r="AH73" i="2"/>
  <c r="AH91" i="2"/>
  <c r="AH241" i="2"/>
  <c r="AH330" i="2"/>
  <c r="AH323" i="2"/>
  <c r="AH296" i="2"/>
  <c r="AH284" i="2"/>
  <c r="AH245" i="2"/>
  <c r="AH411" i="2"/>
  <c r="AH267" i="2"/>
  <c r="AH734" i="2"/>
  <c r="AH216" i="2"/>
  <c r="AH258" i="2"/>
  <c r="AH266" i="2"/>
  <c r="AH382" i="2"/>
  <c r="AH668" i="2"/>
  <c r="AH678" i="2"/>
  <c r="AH414" i="2"/>
  <c r="AH724" i="2"/>
  <c r="AH220" i="2"/>
  <c r="AH175" i="2"/>
  <c r="AH748" i="2"/>
  <c r="AH595" i="2"/>
  <c r="AH669" i="2"/>
  <c r="AH673" i="2"/>
  <c r="AH349" i="2"/>
  <c r="AH749" i="2"/>
  <c r="AH750" i="2"/>
  <c r="AH283" i="2"/>
  <c r="AH751" i="2"/>
  <c r="AH752" i="2"/>
  <c r="AH196" i="2"/>
  <c r="AH753" i="2"/>
  <c r="AH754" i="2"/>
  <c r="AH755" i="2"/>
  <c r="AH756" i="2"/>
  <c r="AH312" i="2"/>
  <c r="AH417" i="2"/>
  <c r="AH518" i="2"/>
  <c r="AH757" i="2"/>
  <c r="AH510" i="2"/>
  <c r="AH759" i="2"/>
  <c r="AH630" i="2"/>
  <c r="AH760" i="2"/>
  <c r="AH537" i="2"/>
  <c r="AH761" i="2"/>
  <c r="AH679" i="2"/>
  <c r="AH762" i="2"/>
  <c r="AH681" i="2"/>
  <c r="AH395" i="2"/>
  <c r="AH763" i="2"/>
  <c r="AH764" i="2"/>
  <c r="AH767" i="2"/>
  <c r="AH769" i="2"/>
  <c r="AH765" i="2"/>
  <c r="AH776" i="2"/>
  <c r="AH766" i="2"/>
  <c r="AH476" i="2"/>
  <c r="AH779" i="2"/>
  <c r="AH768" i="2"/>
  <c r="AH441" i="2"/>
  <c r="AH770" i="2"/>
  <c r="AH771" i="2"/>
  <c r="AH772" i="2"/>
  <c r="AH587" i="2"/>
  <c r="AH646" i="2"/>
  <c r="AH773" i="2"/>
  <c r="AH774" i="2"/>
  <c r="AH775" i="2"/>
  <c r="AH654" i="2"/>
  <c r="AH777" i="2"/>
  <c r="AH778" i="2"/>
  <c r="AH781" i="2"/>
  <c r="AH780" i="2"/>
  <c r="AH671" i="2"/>
  <c r="AH689" i="2"/>
  <c r="AH686" i="2"/>
  <c r="AH782" i="2"/>
  <c r="AH693" i="2"/>
  <c r="AH783" i="2"/>
  <c r="AH651" i="2"/>
  <c r="AH664" i="2"/>
  <c r="AH499" i="2"/>
  <c r="AH502" i="2"/>
  <c r="AH623" i="2"/>
  <c r="AH406" i="2"/>
  <c r="AH469" i="2"/>
  <c r="AH636" i="2"/>
  <c r="AH719" i="2"/>
  <c r="AH638" i="2"/>
  <c r="AH720" i="2"/>
  <c r="AH721" i="2"/>
  <c r="AH659" i="2"/>
  <c r="AH722" i="2"/>
  <c r="AH665" i="2"/>
  <c r="AH675" i="2"/>
  <c r="AH683" i="2"/>
  <c r="AH685" i="2"/>
  <c r="AH723" i="2"/>
  <c r="AH690" i="2"/>
  <c r="AH662" i="2"/>
  <c r="AH540" i="2"/>
  <c r="AH569" i="2"/>
  <c r="AH670" i="2"/>
  <c r="AH507" i="2"/>
  <c r="AH416" i="2"/>
  <c r="AH451" i="2"/>
  <c r="AH344" i="2"/>
  <c r="AH615" i="2"/>
  <c r="AH580" i="2"/>
  <c r="AH556" i="2"/>
  <c r="AH523" i="2"/>
  <c r="AH601" i="2"/>
  <c r="AH642" i="2"/>
  <c r="AH530" i="2"/>
  <c r="AH600" i="2"/>
  <c r="AH666" i="2"/>
  <c r="AH594" i="2"/>
  <c r="AH644" i="2"/>
  <c r="AH653" i="2"/>
  <c r="AH692" i="2"/>
  <c r="AH512" i="2"/>
  <c r="AH554" i="2"/>
  <c r="AH562" i="2"/>
  <c r="AH612" i="2"/>
  <c r="AH243" i="2"/>
  <c r="AH628" i="2"/>
  <c r="AH632" i="2"/>
  <c r="AH635" i="2"/>
  <c r="AH637" i="2"/>
  <c r="AH225" i="2"/>
  <c r="AM2" i="1"/>
  <c r="AM102" i="1"/>
  <c r="N266" i="1"/>
  <c r="U266" i="1"/>
  <c r="Y337" i="1"/>
  <c r="S337" i="1"/>
  <c r="AM292" i="1"/>
  <c r="AM159" i="1"/>
  <c r="AM460" i="1"/>
  <c r="AM4" i="1"/>
  <c r="AM6" i="1"/>
  <c r="AM8" i="1"/>
  <c r="AM13" i="1"/>
  <c r="N337" i="1"/>
  <c r="AM15" i="1" s="1"/>
  <c r="N433" i="2"/>
  <c r="AH433" i="2" s="1"/>
  <c r="AM31" i="1"/>
  <c r="AM17" i="1"/>
  <c r="AM22" i="1"/>
  <c r="AM25" i="1"/>
  <c r="AM33" i="1"/>
  <c r="U397" i="1"/>
  <c r="S397" i="1"/>
  <c r="S382" i="1"/>
  <c r="N382" i="1"/>
  <c r="U293" i="1"/>
  <c r="S293" i="1"/>
  <c r="N293" i="1"/>
  <c r="AM37" i="1" s="1"/>
  <c r="AC77" i="2"/>
  <c r="R368" i="2"/>
  <c r="N368" i="2"/>
  <c r="AH368" i="2" s="1"/>
  <c r="AC386" i="2"/>
  <c r="R386" i="2"/>
  <c r="Q386" i="2"/>
  <c r="N386" i="2"/>
  <c r="AH386" i="2" s="1"/>
  <c r="AM38" i="1"/>
  <c r="AM34" i="1"/>
  <c r="AC176" i="2"/>
  <c r="R176" i="2"/>
  <c r="Q176" i="2"/>
  <c r="N176" i="2"/>
  <c r="AH176" i="2" s="1"/>
  <c r="U243" i="1"/>
  <c r="S243" i="1"/>
  <c r="N243" i="1"/>
  <c r="AC125" i="2"/>
  <c r="Q125" i="2"/>
  <c r="N125" i="2"/>
  <c r="AH125" i="2" s="1"/>
  <c r="U152" i="1"/>
  <c r="N152" i="1"/>
  <c r="S152" i="1"/>
  <c r="S390" i="1"/>
  <c r="N390" i="1"/>
  <c r="Y71" i="1"/>
  <c r="S71" i="1"/>
  <c r="AC75" i="2"/>
  <c r="Q75" i="2"/>
  <c r="N75" i="2"/>
  <c r="AH75" i="2" s="1"/>
  <c r="AC102" i="2"/>
  <c r="Q102" i="2"/>
  <c r="N102" i="2"/>
  <c r="AH102" i="2" s="1"/>
  <c r="S147" i="1"/>
  <c r="AC101" i="2"/>
  <c r="N101" i="2"/>
  <c r="AH101" i="2" s="1"/>
  <c r="Q101" i="2"/>
  <c r="AC149" i="2"/>
  <c r="Q149" i="2"/>
  <c r="N149" i="2"/>
  <c r="AH149" i="2" s="1"/>
  <c r="AC286" i="2"/>
  <c r="Q286" i="2"/>
  <c r="N286" i="2"/>
  <c r="AH286" i="2" s="1"/>
  <c r="S116" i="1"/>
  <c r="N165" i="2"/>
  <c r="AH165" i="2" s="1"/>
  <c r="AC82" i="2"/>
  <c r="AC141" i="2"/>
  <c r="N141" i="2"/>
  <c r="AH141" i="2" s="1"/>
  <c r="AC81" i="2"/>
  <c r="N81" i="2"/>
  <c r="AH81" i="2" s="1"/>
  <c r="AC424" i="2"/>
  <c r="Q424" i="2"/>
  <c r="N424" i="2"/>
  <c r="AH424" i="2" s="1"/>
  <c r="S383" i="1"/>
  <c r="S391" i="1"/>
  <c r="Q26" i="2" l="1"/>
  <c r="Q38" i="2"/>
  <c r="N38" i="2"/>
  <c r="AH38" i="2" s="1"/>
  <c r="N144" i="2"/>
  <c r="AH144" i="2" s="1"/>
  <c r="N340" i="2"/>
  <c r="AH340" i="2" s="1"/>
  <c r="N268" i="2"/>
  <c r="AH268" i="2" s="1"/>
  <c r="N235" i="2"/>
  <c r="AH235" i="2" s="1"/>
  <c r="N193" i="1"/>
  <c r="S172" i="1"/>
  <c r="G172" i="1"/>
  <c r="N172" i="1"/>
  <c r="S120" i="1"/>
  <c r="N120" i="1"/>
  <c r="AM39" i="1"/>
  <c r="AM40" i="1"/>
  <c r="AM44" i="1"/>
  <c r="AM46" i="1"/>
  <c r="AM47" i="1"/>
  <c r="AM55" i="1"/>
  <c r="AM56" i="1"/>
  <c r="AM62" i="1"/>
  <c r="AM70" i="1"/>
  <c r="AM71" i="1"/>
  <c r="AM73" i="1"/>
  <c r="AM78" i="1"/>
  <c r="AM83" i="1"/>
  <c r="AM84" i="1"/>
  <c r="AM86" i="1"/>
  <c r="AM74" i="1" l="1"/>
  <c r="Y378" i="1"/>
  <c r="S378" i="1"/>
  <c r="N378" i="1"/>
  <c r="AM94" i="1"/>
  <c r="Y388" i="1"/>
  <c r="S388" i="1"/>
  <c r="N388" i="1"/>
  <c r="AM93" i="1" l="1"/>
  <c r="AM453" i="1"/>
  <c r="AM99" i="1"/>
  <c r="AC16" i="2"/>
  <c r="N16" i="2"/>
  <c r="AH16" i="2" s="1"/>
  <c r="AC161" i="2"/>
  <c r="N161" i="2"/>
  <c r="AH161" i="2" s="1"/>
  <c r="AC231" i="2"/>
  <c r="AC321" i="2"/>
  <c r="S118" i="1" l="1"/>
  <c r="U126" i="1"/>
  <c r="S126" i="1"/>
  <c r="S291" i="1"/>
  <c r="AM122" i="1"/>
  <c r="AM120" i="1"/>
  <c r="AM118" i="1"/>
  <c r="AM117" i="1"/>
  <c r="AM116" i="1"/>
  <c r="AM115" i="1"/>
  <c r="AM111" i="1"/>
  <c r="AM107" i="1"/>
  <c r="AM105" i="1"/>
  <c r="AM100" i="1"/>
  <c r="S311" i="1"/>
  <c r="S99" i="1"/>
  <c r="AM126" i="1"/>
  <c r="U122" i="1"/>
  <c r="Y122" i="1"/>
  <c r="S122" i="1"/>
  <c r="AM128" i="1"/>
  <c r="Q377" i="2"/>
  <c r="AC15" i="2"/>
  <c r="N15" i="2"/>
  <c r="AH15" i="2" s="1"/>
  <c r="N375" i="2"/>
  <c r="AH375" i="2" s="1"/>
  <c r="AM130" i="1"/>
  <c r="AM131" i="1"/>
  <c r="AM135" i="1"/>
  <c r="AM147" i="1"/>
  <c r="S101" i="1"/>
  <c r="N101" i="1"/>
  <c r="S268" i="1"/>
  <c r="N268" i="1"/>
  <c r="AM268" i="1" s="1"/>
  <c r="S98" i="1"/>
  <c r="N98" i="1"/>
  <c r="AM98" i="1" s="1"/>
  <c r="AM101" i="1" l="1"/>
  <c r="AM449" i="1"/>
  <c r="Y29" i="1"/>
  <c r="S29" i="1"/>
  <c r="N29" i="1"/>
  <c r="S12" i="1"/>
  <c r="N12" i="1"/>
  <c r="S13" i="1"/>
  <c r="AM149" i="1"/>
  <c r="AM152" i="1"/>
  <c r="AM157" i="1"/>
  <c r="AM160" i="1"/>
  <c r="AM163" i="1"/>
  <c r="AM164" i="1"/>
  <c r="AM165" i="1"/>
  <c r="AM167" i="1"/>
  <c r="AM170" i="1"/>
  <c r="AM172" i="1"/>
  <c r="AM177" i="1"/>
  <c r="AM178" i="1"/>
  <c r="N331" i="2"/>
  <c r="N274" i="2"/>
  <c r="N150" i="2"/>
  <c r="Q96" i="2"/>
  <c r="Q160" i="2"/>
  <c r="Q45" i="2"/>
  <c r="S93" i="1"/>
  <c r="S86" i="1"/>
  <c r="Y256" i="1"/>
  <c r="S256" i="1"/>
  <c r="AH150" i="2" l="1"/>
  <c r="Q119" i="2"/>
  <c r="AM29" i="1"/>
  <c r="AM420" i="1"/>
  <c r="Q274" i="2"/>
  <c r="AH274" i="2"/>
  <c r="Q331" i="2"/>
  <c r="AH331" i="2"/>
  <c r="AM12" i="1"/>
  <c r="Q150" i="2"/>
  <c r="N233" i="1"/>
  <c r="Y100" i="1" l="1"/>
  <c r="AM190" i="1"/>
  <c r="AM193" i="1"/>
  <c r="AM194" i="1"/>
  <c r="AM196" i="1"/>
  <c r="AM198" i="1"/>
  <c r="AM197" i="1"/>
  <c r="AM199" i="1"/>
  <c r="AM204" i="1"/>
  <c r="AM208" i="1"/>
  <c r="R86" i="2"/>
  <c r="Q86" i="2" s="1"/>
  <c r="N148" i="2"/>
  <c r="N303" i="2"/>
  <c r="AM104" i="2"/>
  <c r="AM218" i="1"/>
  <c r="AM216" i="1"/>
  <c r="S265" i="1"/>
  <c r="S163" i="1"/>
  <c r="S184" i="1"/>
  <c r="N137" i="1"/>
  <c r="N265" i="1"/>
  <c r="N184" i="1"/>
  <c r="AM210" i="1" l="1"/>
  <c r="AM265" i="1"/>
  <c r="Q303" i="2"/>
  <c r="AH303" i="2"/>
  <c r="Q148" i="2"/>
  <c r="AH148" i="2"/>
  <c r="AM219" i="1"/>
  <c r="AM184" i="1"/>
  <c r="AM209" i="1"/>
  <c r="AM137" i="1"/>
  <c r="N187" i="1"/>
  <c r="N93" i="2"/>
  <c r="AH93" i="2" s="1"/>
  <c r="N74" i="2"/>
  <c r="AH74" i="2" s="1"/>
  <c r="N333" i="2"/>
  <c r="AH333" i="2" s="1"/>
  <c r="AC282" i="2"/>
  <c r="N282" i="2"/>
  <c r="AH282" i="2" s="1"/>
  <c r="AC272" i="2"/>
  <c r="N234" i="2"/>
  <c r="AH234" i="2" s="1"/>
  <c r="N224" i="1"/>
  <c r="AM223" i="1" s="1"/>
  <c r="N225" i="1"/>
  <c r="AM476" i="1" s="1"/>
  <c r="AM227" i="1"/>
  <c r="AM224" i="1" l="1"/>
  <c r="AM225" i="1"/>
  <c r="AM220" i="1"/>
  <c r="AM187" i="1"/>
  <c r="AI158" i="2"/>
  <c r="AI83" i="2"/>
  <c r="AI119" i="2"/>
  <c r="AM230" i="1" l="1"/>
  <c r="AM231" i="1"/>
  <c r="AM233" i="1"/>
  <c r="AM237" i="1"/>
  <c r="AM238" i="1"/>
  <c r="AM243" i="1"/>
  <c r="AM247" i="1"/>
  <c r="AM251" i="1"/>
  <c r="AM252" i="1"/>
  <c r="AM253" i="1"/>
  <c r="S37" i="1"/>
  <c r="AM256" i="1" l="1"/>
  <c r="Q280" i="2"/>
  <c r="Q142" i="2"/>
  <c r="AM255" i="1"/>
  <c r="U321" i="1"/>
  <c r="S321" i="1"/>
  <c r="N321" i="1"/>
  <c r="N48" i="2"/>
  <c r="AH48" i="2" s="1"/>
  <c r="N223" i="2"/>
  <c r="AH223" i="2" s="1"/>
  <c r="Q223" i="2"/>
  <c r="Q152" i="2"/>
  <c r="N117" i="2"/>
  <c r="Q135" i="2"/>
  <c r="Q156" i="2"/>
  <c r="Q117" i="2" l="1"/>
  <c r="AH117" i="2"/>
  <c r="Q48" i="2"/>
  <c r="Q162" i="2"/>
  <c r="N242" i="2"/>
  <c r="AH242" i="2" s="1"/>
  <c r="U39" i="1"/>
  <c r="S39" i="1"/>
  <c r="U7" i="1"/>
  <c r="AM260" i="1"/>
  <c r="Q242" i="2" l="1"/>
  <c r="S7" i="1"/>
  <c r="N7" i="1"/>
  <c r="S35" i="1"/>
  <c r="N35" i="1"/>
  <c r="AM461" i="1" s="1"/>
  <c r="S2" i="1"/>
  <c r="Y158" i="1"/>
  <c r="S158" i="1"/>
  <c r="N158" i="1"/>
  <c r="Q204" i="2"/>
  <c r="N85" i="2"/>
  <c r="S299" i="1"/>
  <c r="S334" i="1"/>
  <c r="N334" i="1"/>
  <c r="AM466" i="1" s="1"/>
  <c r="Q65" i="2"/>
  <c r="S183" i="1"/>
  <c r="N183" i="1"/>
  <c r="AM183" i="1" s="1"/>
  <c r="Q237" i="2"/>
  <c r="S253" i="1"/>
  <c r="Q292" i="2"/>
  <c r="S229" i="1"/>
  <c r="N229" i="1"/>
  <c r="AM343" i="1"/>
  <c r="AM311" i="1"/>
  <c r="AM303" i="1"/>
  <c r="AM382" i="1"/>
  <c r="AM390" i="1"/>
  <c r="AM388" i="1"/>
  <c r="AM309" i="1"/>
  <c r="AM362" i="1"/>
  <c r="AM322" i="1"/>
  <c r="AM289" i="1"/>
  <c r="AM339" i="1"/>
  <c r="AM291" i="1"/>
  <c r="AM410" i="1"/>
  <c r="AM293" i="1"/>
  <c r="AM375" i="1"/>
  <c r="AM310" i="1"/>
  <c r="AM384" i="1"/>
  <c r="AM387" i="1"/>
  <c r="Q85" i="2" l="1"/>
  <c r="AH85" i="2"/>
  <c r="AM229" i="1"/>
  <c r="AM391" i="1"/>
  <c r="AM158" i="1"/>
  <c r="AM397" i="1"/>
  <c r="AM35" i="1"/>
  <c r="AM7" i="1"/>
  <c r="R11" i="2"/>
  <c r="Q11" i="2"/>
  <c r="N42" i="2"/>
  <c r="AH42" i="2" s="1"/>
  <c r="S69" i="1" l="1"/>
  <c r="S119" i="1"/>
  <c r="N69" i="1"/>
  <c r="AM314" i="1" s="1"/>
  <c r="Y119" i="1"/>
  <c r="U119" i="1"/>
  <c r="N119" i="1"/>
  <c r="AM456" i="1" s="1"/>
  <c r="Y87" i="1"/>
  <c r="S87" i="1"/>
  <c r="N87" i="1"/>
  <c r="S117" i="1"/>
  <c r="AM334" i="1" l="1"/>
  <c r="AM87" i="1"/>
  <c r="AM119" i="1"/>
  <c r="AM69" i="1"/>
  <c r="Y264" i="1"/>
  <c r="N264" i="1"/>
  <c r="AM278" i="1" s="1"/>
  <c r="S264" i="1"/>
  <c r="Q299" i="2"/>
  <c r="S94" i="1"/>
  <c r="Q145" i="2"/>
  <c r="Q31" i="2"/>
  <c r="AC33" i="2"/>
  <c r="Q33" i="2"/>
  <c r="Q53" i="2"/>
  <c r="Q20" i="2" l="1"/>
  <c r="Q256" i="2"/>
  <c r="N56" i="2"/>
  <c r="AH56" i="2" s="1"/>
  <c r="AI127" i="2"/>
  <c r="AI132" i="2"/>
  <c r="AI204" i="2"/>
  <c r="AI85" i="2"/>
  <c r="AI71" i="2"/>
  <c r="AI139" i="2"/>
  <c r="AI65" i="2"/>
  <c r="AI304" i="2"/>
  <c r="AI237" i="2"/>
  <c r="AI292" i="2"/>
  <c r="AI14" i="2"/>
  <c r="AI11" i="2"/>
  <c r="AI42" i="2"/>
  <c r="AI299" i="2"/>
  <c r="AI145" i="2"/>
  <c r="AI31" i="2"/>
  <c r="AI33" i="2"/>
  <c r="AI53" i="2"/>
  <c r="AI20" i="2"/>
  <c r="AI256" i="2"/>
  <c r="AI56" i="2"/>
  <c r="AI151" i="2"/>
  <c r="N151" i="2"/>
  <c r="AH151" i="2" s="1"/>
  <c r="N112" i="2"/>
  <c r="AC116" i="2"/>
  <c r="N116" i="2"/>
  <c r="G116" i="2"/>
  <c r="AI112" i="2"/>
  <c r="Q112" i="2" l="1"/>
  <c r="AH112" i="2"/>
  <c r="AI116" i="2"/>
  <c r="AH116" i="2"/>
  <c r="Q56" i="2"/>
  <c r="Q151" i="2"/>
  <c r="AC111" i="2"/>
  <c r="N111" i="2"/>
  <c r="AH111" i="2" l="1"/>
  <c r="S124" i="1"/>
  <c r="N124" i="1"/>
  <c r="S201" i="1"/>
  <c r="U201" i="1" s="1"/>
  <c r="N201" i="1"/>
  <c r="AM299" i="1" s="1"/>
  <c r="Q128" i="2"/>
  <c r="S255" i="1"/>
  <c r="U255" i="1" s="1"/>
  <c r="S223" i="1"/>
  <c r="Q207" i="2"/>
  <c r="AC207" i="2"/>
  <c r="U84" i="1"/>
  <c r="Y103" i="1"/>
  <c r="S103" i="1"/>
  <c r="N103" i="1"/>
  <c r="G103" i="1"/>
  <c r="AM450" i="1" s="1"/>
  <c r="N186" i="1"/>
  <c r="AM469" i="1" s="1"/>
  <c r="S176" i="1"/>
  <c r="U176" i="1" s="1"/>
  <c r="N176" i="1"/>
  <c r="S227" i="1"/>
  <c r="U227" i="1" s="1"/>
  <c r="S185" i="1"/>
  <c r="N185" i="1"/>
  <c r="AM463" i="1" s="1"/>
  <c r="Q121" i="2"/>
  <c r="N79" i="2"/>
  <c r="Q178" i="2"/>
  <c r="Q281" i="2"/>
  <c r="Q27" i="2"/>
  <c r="Q51" i="2"/>
  <c r="N34" i="2"/>
  <c r="Q136" i="2" l="1"/>
  <c r="Q143" i="2"/>
  <c r="AM459" i="1"/>
  <c r="AM341" i="1"/>
  <c r="Q79" i="2"/>
  <c r="AH79" i="2"/>
  <c r="Q34" i="2"/>
  <c r="AH34" i="2"/>
  <c r="AM103" i="1"/>
  <c r="AM264" i="1"/>
  <c r="AM185" i="1"/>
  <c r="AM383" i="1"/>
  <c r="AM176" i="1"/>
  <c r="AM186" i="1"/>
  <c r="AM304" i="1"/>
  <c r="AM201" i="1"/>
  <c r="AM124" i="1"/>
  <c r="S186" i="1"/>
  <c r="U186" i="1" s="1"/>
  <c r="Q49" i="2"/>
  <c r="N41" i="2"/>
  <c r="Q61" i="2"/>
  <c r="N55" i="2"/>
  <c r="Q55" i="2"/>
  <c r="N50" i="2"/>
  <c r="Q92" i="2" s="1"/>
  <c r="Q18" i="2"/>
  <c r="N17" i="2"/>
  <c r="Q58" i="2" l="1"/>
  <c r="Q66" i="2"/>
  <c r="AH55" i="2"/>
  <c r="Q225" i="2"/>
  <c r="AH50" i="2"/>
  <c r="Q41" i="2"/>
  <c r="AH41" i="2"/>
  <c r="Q17" i="2"/>
  <c r="AH17" i="2"/>
  <c r="N98" i="2"/>
  <c r="Q212" i="2"/>
  <c r="N212" i="2"/>
  <c r="AH212" i="2" s="1"/>
  <c r="N3" i="1"/>
  <c r="S3" i="1"/>
  <c r="Y4" i="1"/>
  <c r="S4" i="1"/>
  <c r="AH98" i="2" l="1"/>
  <c r="AM3" i="1"/>
  <c r="Y3" i="1"/>
  <c r="N5" i="1"/>
  <c r="S30" i="1"/>
  <c r="U124" i="1" s="1"/>
  <c r="N30" i="1"/>
  <c r="AM475" i="1" s="1"/>
  <c r="Y218" i="1"/>
  <c r="S140" i="1"/>
  <c r="N140" i="1"/>
  <c r="Y125" i="1"/>
  <c r="S125" i="1"/>
  <c r="N125" i="1"/>
  <c r="N24" i="1"/>
  <c r="AM24" i="1" s="1"/>
  <c r="S53" i="1"/>
  <c r="N53" i="1"/>
  <c r="N226" i="2"/>
  <c r="Q209" i="2"/>
  <c r="N182" i="2"/>
  <c r="N25" i="2"/>
  <c r="N205" i="1"/>
  <c r="Q205" i="2"/>
  <c r="Q228" i="2"/>
  <c r="AC147" i="2"/>
  <c r="Q147" i="2"/>
  <c r="N147" i="2"/>
  <c r="AH147" i="2" s="1"/>
  <c r="Q99" i="2" l="1"/>
  <c r="Q111" i="2"/>
  <c r="AM53" i="1"/>
  <c r="AM376" i="1"/>
  <c r="S219" i="1"/>
  <c r="S197" i="1"/>
  <c r="Q226" i="2"/>
  <c r="AH226" i="2"/>
  <c r="Q182" i="2"/>
  <c r="AH182" i="2"/>
  <c r="AH25" i="2"/>
  <c r="AM205" i="1"/>
  <c r="AM266" i="1"/>
  <c r="AO81" i="1" s="1"/>
  <c r="AM125" i="1"/>
  <c r="AM140" i="1"/>
  <c r="AM321" i="1"/>
  <c r="AO175" i="1" s="1"/>
  <c r="AM30" i="1"/>
  <c r="AM337" i="1"/>
  <c r="AM5" i="1"/>
  <c r="U87" i="1"/>
  <c r="U103" i="1"/>
  <c r="Y53" i="1"/>
  <c r="S24" i="1"/>
  <c r="Y334" i="1" s="1"/>
  <c r="S5" i="1"/>
  <c r="Y140" i="1"/>
  <c r="Y30" i="1"/>
  <c r="S254" i="1"/>
  <c r="Y254" i="1"/>
  <c r="S143" i="1"/>
  <c r="N143" i="1"/>
  <c r="S191" i="1"/>
  <c r="N191" i="1"/>
  <c r="Y191" i="1"/>
  <c r="AJ9" i="1"/>
  <c r="AG9" i="1"/>
  <c r="Y9" i="1"/>
  <c r="S9" i="1"/>
  <c r="N9" i="1"/>
  <c r="AM332" i="1" s="1"/>
  <c r="AI146" i="2"/>
  <c r="AI147" i="2"/>
  <c r="AI164" i="2"/>
  <c r="AI208" i="2"/>
  <c r="AI172" i="2"/>
  <c r="AM317" i="1" l="1"/>
  <c r="AM9" i="1"/>
  <c r="AM312" i="1"/>
  <c r="AM191" i="1"/>
  <c r="AM342" i="1"/>
  <c r="AM143" i="1"/>
  <c r="AM378" i="1"/>
  <c r="AM254" i="1"/>
  <c r="AI228" i="2"/>
  <c r="AI167" i="2"/>
  <c r="AI205" i="2"/>
  <c r="AI25" i="2"/>
  <c r="AI182" i="2"/>
  <c r="AI209" i="2"/>
  <c r="AI226" i="2"/>
  <c r="AI124" i="2"/>
  <c r="AI154" i="2"/>
  <c r="AI212" i="2"/>
  <c r="AI98" i="2"/>
  <c r="AI155" i="2"/>
  <c r="AI163" i="2"/>
  <c r="AI17" i="2"/>
  <c r="AI18" i="2"/>
  <c r="AI50" i="2"/>
  <c r="AI54" i="2"/>
  <c r="AI140" i="2"/>
  <c r="AI55" i="2"/>
  <c r="AI40" i="2"/>
  <c r="AI61" i="2"/>
  <c r="AI52" i="2"/>
  <c r="AI36" i="2"/>
  <c r="AI41" i="2"/>
  <c r="AI157" i="2"/>
  <c r="AI49" i="2"/>
  <c r="AI66" i="2"/>
  <c r="AI92" i="2"/>
  <c r="AI34" i="2"/>
  <c r="AI68" i="2"/>
  <c r="AI51" i="2"/>
  <c r="AI168" i="2"/>
  <c r="AI221" i="2"/>
  <c r="AI249" i="2"/>
  <c r="AI27" i="2"/>
  <c r="AI184" i="2"/>
  <c r="AI143" i="2"/>
  <c r="AI281" i="2"/>
  <c r="AI87" i="2"/>
  <c r="AI180" i="2"/>
  <c r="AI178" i="2"/>
  <c r="AI79" i="2"/>
  <c r="AI121" i="2"/>
  <c r="AI225" i="2"/>
  <c r="AI207" i="2"/>
  <c r="AI136" i="2"/>
  <c r="AI99" i="2"/>
  <c r="AI128" i="2"/>
  <c r="AI58" i="2"/>
  <c r="AI111" i="2"/>
  <c r="AI293" i="2"/>
</calcChain>
</file>

<file path=xl/sharedStrings.xml><?xml version="1.0" encoding="utf-8"?>
<sst xmlns="http://schemas.openxmlformats.org/spreadsheetml/2006/main" count="16624" uniqueCount="8661">
  <si>
    <t>Vendeur</t>
  </si>
  <si>
    <t>Acheteur</t>
  </si>
  <si>
    <t>Lots</t>
  </si>
  <si>
    <t>MRC</t>
  </si>
  <si>
    <t>Ville/Municipalité</t>
  </si>
  <si>
    <t>Latitude</t>
  </si>
  <si>
    <t>Longitude</t>
  </si>
  <si>
    <t>Topographie</t>
  </si>
  <si>
    <t>Feuillus/Résineux</t>
  </si>
  <si>
    <t>Proportion feuillus</t>
  </si>
  <si>
    <t>Superficie acéricole (ha)</t>
  </si>
  <si>
    <t>Nombre d'entailles</t>
  </si>
  <si>
    <t>Équipements</t>
  </si>
  <si>
    <t>Observations</t>
  </si>
  <si>
    <t>$/entaille</t>
  </si>
  <si>
    <t>Taux unitaire global ($/ha)</t>
  </si>
  <si>
    <t>Bellechasse</t>
  </si>
  <si>
    <t>Notre-Dame-Auxiliatrice-de-Buckland</t>
  </si>
  <si>
    <t>oui</t>
  </si>
  <si>
    <t>déclivité</t>
  </si>
  <si>
    <t>Feuillus</t>
  </si>
  <si>
    <t>Aucun</t>
  </si>
  <si>
    <t>Mixte</t>
  </si>
  <si>
    <t>9245-4958 QUÉBEC INC</t>
  </si>
  <si>
    <t>Les Etchemins</t>
  </si>
  <si>
    <t>non</t>
  </si>
  <si>
    <t>Légère déclivité</t>
  </si>
  <si>
    <t> Jonathan BISIER, Jean-Michel BISIER</t>
  </si>
  <si>
    <t> LES IMMEUBLES LAVERDIÈRE INC </t>
  </si>
  <si>
    <t>Montmagny</t>
  </si>
  <si>
    <t>Saint-Paul-de-Montminy</t>
  </si>
  <si>
    <t>Enclavé, servitude de passage</t>
  </si>
  <si>
    <t>Saint-Adalbert</t>
  </si>
  <si>
    <t>Résineux</t>
  </si>
  <si>
    <t>Les Maskoutins</t>
  </si>
  <si>
    <t>plane</t>
  </si>
  <si>
    <t>Oui</t>
  </si>
  <si>
    <t>La-Vallée-du-Richelieu</t>
  </si>
  <si>
    <t>Saint-Charles-sur-Richelieu</t>
  </si>
  <si>
    <t>Pierre-De-Saurel</t>
  </si>
  <si>
    <t>Saint-Ours</t>
  </si>
  <si>
    <t>Cabane à sucre</t>
  </si>
  <si>
    <t>Le-Val-Saint-François</t>
  </si>
  <si>
    <t>Enclavé</t>
  </si>
  <si>
    <t>La Haute-Yamaska</t>
  </si>
  <si>
    <t>Saint-Marc-sur-Richelieu</t>
  </si>
  <si>
    <t>Le Haut-Saint-François</t>
  </si>
  <si>
    <t>Cookshire-Eaton</t>
  </si>
  <si>
    <t>Acton</t>
  </si>
  <si>
    <t>Robert-Cliche</t>
  </si>
  <si>
    <t>Beauce-Sartigan</t>
  </si>
  <si>
    <t>Saint-Benoît-Labre</t>
  </si>
  <si>
    <t>oui (majoritairement)</t>
  </si>
  <si>
    <t>Témiscouata</t>
  </si>
  <si>
    <t>Packington</t>
  </si>
  <si>
    <t>Saint-Eusèbe</t>
  </si>
  <si>
    <t>Station de pompage</t>
  </si>
  <si>
    <t>Laurence LEHOULIER</t>
  </si>
  <si>
    <t>Le Granit</t>
  </si>
  <si>
    <t>Nantes</t>
  </si>
  <si>
    <t>Frontenac</t>
  </si>
  <si>
    <t>St-Ludger</t>
  </si>
  <si>
    <t>feuillus</t>
  </si>
  <si>
    <t>Déclivité</t>
  </si>
  <si>
    <t>Saint-Athanase</t>
  </si>
  <si>
    <t>Les Basques</t>
  </si>
  <si>
    <t>Partiel</t>
  </si>
  <si>
    <t>29 155 868</t>
  </si>
  <si>
    <t>9528-3859 QUÉBEC INC Daniel DRAPEAU</t>
  </si>
  <si>
    <t>Rimouski-Neigette</t>
  </si>
  <si>
    <t>Saint-Anaclet-de-Lessard</t>
  </si>
  <si>
    <t>Non</t>
  </si>
  <si>
    <t>Saint-Georges</t>
  </si>
  <si>
    <t>Contingent transféré</t>
  </si>
  <si>
    <t>Les Appalaches</t>
  </si>
  <si>
    <t>Les Chenaux</t>
  </si>
  <si>
    <t>No d'enr.</t>
  </si>
  <si>
    <t>Date de l'acte ou de l'avant contrat</t>
  </si>
  <si>
    <t>Prix de vente ($)</t>
  </si>
  <si>
    <t>Prix de vente redressé au temps ($)</t>
  </si>
  <si>
    <t>Adresse complète</t>
  </si>
  <si>
    <t>Superficie totale (ha)</t>
  </si>
  <si>
    <t>Classe de sol dominante</t>
  </si>
  <si>
    <t>Sous-classe dominante</t>
  </si>
  <si>
    <t>Superficie boisée (ha)</t>
  </si>
  <si>
    <t>Superficie cultivée (ha)</t>
  </si>
  <si>
    <t>Source superficie cultivée</t>
  </si>
  <si>
    <t>Proporition résineux</t>
  </si>
  <si>
    <t>Densité plantation</t>
  </si>
  <si>
    <t>Zones humides (ha)</t>
  </si>
  <si>
    <t>Zones humides types)</t>
  </si>
  <si>
    <t>Bâtiments agricoles</t>
  </si>
  <si>
    <t>Valeur contributive bâtiments agricoles ($)</t>
  </si>
  <si>
    <t>Source valeur constributive bâtiments agricoles</t>
  </si>
  <si>
    <t>Décisions CPTAQ</t>
  </si>
  <si>
    <t>Madeleine Therrien,</t>
  </si>
  <si>
    <t>Alain Paquet, Marlène Plamondon,</t>
  </si>
  <si>
    <t>Jacques-Cartier</t>
  </si>
  <si>
    <t>Stoneham-et-Tewkesbury</t>
  </si>
  <si>
    <t>chemin plante, Stoneham-et-Tewkesbury</t>
  </si>
  <si>
    <t>47.008199</t>
  </si>
  <si>
    <t>-71.439817</t>
  </si>
  <si>
    <t>Resineux</t>
  </si>
  <si>
    <t>enclavé, resineux</t>
  </si>
  <si>
    <t>9319-9644 QUÉBEC INC.,</t>
  </si>
  <si>
    <t>Jean GAGNÉ, Jean-Simon GAGNÉ,</t>
  </si>
  <si>
    <t>Lac-Beauport</t>
  </si>
  <si>
    <t>Chemin de l'Orignal, Lac-Beauport</t>
  </si>
  <si>
    <t>46.974046</t>
  </si>
  <si>
    <t>-71.265846</t>
  </si>
  <si>
    <t>legere declivite</t>
  </si>
  <si>
    <t xml:space="preserve">Feuillus </t>
  </si>
  <si>
    <t>accesible</t>
  </si>
  <si>
    <t>22 661 085</t>
  </si>
  <si>
    <t>5 085 264, 4 913 356</t>
  </si>
  <si>
    <t>Kinnear's Mills</t>
  </si>
  <si>
    <t>5e rang, Kinnear's Mills</t>
  </si>
  <si>
    <t>Louis-Robert COUTURE,</t>
  </si>
  <si>
    <t>chemin du chevreuil, Lac-Beauport</t>
  </si>
  <si>
    <t>46.977771</t>
  </si>
  <si>
    <t>-71.249590</t>
  </si>
  <si>
    <t>Gilles DUMONT,</t>
  </si>
  <si>
    <t>9350-2185 QUÉBEC INC.,</t>
  </si>
  <si>
    <t>Chemin de la Tournée, Lac-Beauport</t>
  </si>
  <si>
    <t>46.994168</t>
  </si>
  <si>
    <t>-71.330368</t>
  </si>
  <si>
    <t>enclavé</t>
  </si>
  <si>
    <t>Sylvain BOUCHARD,</t>
  </si>
  <si>
    <t>Sarah BEAUDRY-MONTMINY, Jonathan CHEVANEL,</t>
  </si>
  <si>
    <t>Chemin de l'Eperon, Lac-Beauport</t>
  </si>
  <si>
    <t>46.970935</t>
  </si>
  <si>
    <t>-71.343376</t>
  </si>
  <si>
    <t xml:space="preserve">non </t>
  </si>
  <si>
    <t>Darlène ANDELY,</t>
  </si>
  <si>
    <t>9350-2185 QUÉBEC INC</t>
  </si>
  <si>
    <t>4 950 989 </t>
  </si>
  <si>
    <t>Chemin de la Grand-ligne, Stoneham-et-Tewkesbury</t>
  </si>
  <si>
    <t>46.976398</t>
  </si>
  <si>
    <t>-71.397325</t>
  </si>
  <si>
    <t>9319-9644 QUÉBEC INC</t>
  </si>
  <si>
    <t>Jean-Jacques LACHANCE</t>
  </si>
  <si>
    <t>46.972937</t>
  </si>
  <si>
    <t>-71.265053</t>
  </si>
  <si>
    <t>Thomas Lepagne,</t>
  </si>
  <si>
    <t>Guy Roberge,</t>
  </si>
  <si>
    <t>Chemin Whalen, Stoneham-et-Tewkesbury</t>
  </si>
  <si>
    <t>47.031558</t>
  </si>
  <si>
    <t>-71.300384</t>
  </si>
  <si>
    <t>106-P, Paroisse St-François et suivants</t>
  </si>
  <si>
    <t>L'Ile-d'Orléans</t>
  </si>
  <si>
    <t>Saint-François-de-l'Île-d'Orléans</t>
  </si>
  <si>
    <t>Chemin Royal
Saint-François-de-l'Île-d'Orléans</t>
  </si>
  <si>
    <t>47.01169928504172</t>
  </si>
  <si>
    <t>-70.8353380495719</t>
  </si>
  <si>
    <t>Légère pente</t>
  </si>
  <si>
    <t>F</t>
  </si>
  <si>
    <t>Peuplement peu dense. Nouveau lot 6 282 149 (?)</t>
  </si>
  <si>
    <t>MARCEL ST-PIERRE</t>
  </si>
  <si>
    <t>LES BLEUETS DU FJORD INC</t>
  </si>
  <si>
    <t>4 307 834, 4 307 833, 4 307 831, 4 307 829</t>
  </si>
  <si>
    <t>L'Érable</t>
  </si>
  <si>
    <t>Princeville</t>
  </si>
  <si>
    <t>3e Rang, Princeville</t>
  </si>
  <si>
    <t>46.255515</t>
  </si>
  <si>
    <t>-71.891197</t>
  </si>
  <si>
    <t>legère déclivité</t>
  </si>
  <si>
    <t>tres grande superficie, enclavé et presence de marècage et de tourbière</t>
  </si>
  <si>
    <t>Frédéric BOUDREAULT</t>
  </si>
  <si>
    <t>Serge GAUTHIER</t>
  </si>
  <si>
    <t xml:space="preserve">5 148 744 </t>
  </si>
  <si>
    <t>Manicouagan</t>
  </si>
  <si>
    <t>Ragueneau</t>
  </si>
  <si>
    <t>2ieme rang,Ragueneau</t>
  </si>
  <si>
    <t>déclivité importante</t>
  </si>
  <si>
    <t>42,48</t>
  </si>
  <si>
    <t>mixte</t>
  </si>
  <si>
    <t>zone humide (tourbière boisé)</t>
  </si>
  <si>
    <t>37-1, 38-1,38-2,39-P,42-1-P</t>
  </si>
  <si>
    <t>47.00677149448989</t>
  </si>
  <si>
    <t>,-70.88060766039577</t>
  </si>
  <si>
    <t>Cabane à sucre équipée</t>
  </si>
  <si>
    <t>JEAN-GUY McCUTCHEON</t>
  </si>
  <si>
    <t>GESTION KATE INC</t>
  </si>
  <si>
    <t>5 135 333, 5 136 091</t>
  </si>
  <si>
    <t>Adstock</t>
  </si>
  <si>
    <t>11 e rang, Adsyock</t>
  </si>
  <si>
    <t>46.092829</t>
  </si>
  <si>
    <t>-71.152622</t>
  </si>
  <si>
    <t>servitude de passage</t>
  </si>
  <si>
    <t>René LEMOYNE, Serge LEMOINE, Jean-Guy LEMOINE</t>
  </si>
  <si>
    <t>Martin RHÉAUME</t>
  </si>
  <si>
    <t>3 698 485, 3 698 524</t>
  </si>
  <si>
    <t>Les Maskoutains</t>
  </si>
  <si>
    <t xml:space="preserve">La Présentation </t>
  </si>
  <si>
    <t>Rue des Bas-Étangs, La présentation</t>
  </si>
  <si>
    <t>45.690941</t>
  </si>
  <si>
    <t>-73.026890</t>
  </si>
  <si>
    <t>enclavé, presence d'un bâtiment</t>
  </si>
  <si>
    <t>Luc DESLAURIERS, Rémy GINGRAS</t>
  </si>
  <si>
    <t>MARC LABARRE MD INC</t>
  </si>
  <si>
    <t>3 055 985, 3 055 990</t>
  </si>
  <si>
    <t>Québec</t>
  </si>
  <si>
    <t>Saint-Augustin-de-Desmaures</t>
  </si>
  <si>
    <t>rang du Petit-Capsa, Saint-Augustin-de-
Desmaures</t>
  </si>
  <si>
    <t>46.771386</t>
  </si>
  <si>
    <t>-71.595172</t>
  </si>
  <si>
    <t>Plane</t>
  </si>
  <si>
    <t>Superficie coupe de 11,6 ha. 2 cours d'eau permanents.</t>
  </si>
  <si>
    <t>JALROU INC (Jacques et Pierre Roussin)</t>
  </si>
  <si>
    <t>Olivier BONNEAU, INITIAL5 INC (Pierre-Luc
GIRARD)</t>
  </si>
  <si>
    <t>46.775839</t>
  </si>
  <si>
    <t>-71.528771</t>
  </si>
  <si>
    <t>Mixte (dominance résineux)</t>
  </si>
  <si>
    <t>Servitude de passage.</t>
  </si>
  <si>
    <t>043813, 234861 (refus construction) et 023486 (refus)</t>
  </si>
  <si>
    <t>9013-0998 QUÉBEC INC Denis LÉVEILLÉ</t>
  </si>
  <si>
    <t>VILLE DE CHAMBLY</t>
  </si>
  <si>
    <t>Chambly</t>
  </si>
  <si>
    <t>45.415208</t>
  </si>
  <si>
    <t>-73.291752</t>
  </si>
  <si>
    <t>80-90 %</t>
  </si>
  <si>
    <t>Bordure Autoroute 10</t>
  </si>
  <si>
    <t>444141 (corridor récréatif)</t>
  </si>
  <si>
    <t>L'Islet</t>
  </si>
  <si>
    <t>281 Route 204 O.
Saint-Adalbert</t>
  </si>
  <si>
    <t>46.832026</t>
  </si>
  <si>
    <t>-69.958992</t>
  </si>
  <si>
    <t>Potentiel 1000 entailles, comprend station de pompage, réservoir 1000 gallons, entrée électrique 200A, relâcheur CDL et
tubulure 3 ans d'usage</t>
  </si>
  <si>
    <t>Élizabeth SAVARD</t>
  </si>
  <si>
    <t>Denis ARSENAULT</t>
  </si>
  <si>
    <t>La côte-de-Beaupré</t>
  </si>
  <si>
    <t>Saint-Joachim</t>
  </si>
  <si>
    <t>Route 138, Saint-Joachim</t>
  </si>
  <si>
    <t>47.087231</t>
  </si>
  <si>
    <t>-70.856026</t>
  </si>
  <si>
    <t>enclavé, pas de potentiel acéricole</t>
  </si>
  <si>
    <t>9266-1024 QUÉBEC INC Paul Miklis</t>
  </si>
  <si>
    <t>François Doucet, Nancy Coulombe</t>
  </si>
  <si>
    <t>2 599 858, 2 599 863</t>
  </si>
  <si>
    <t>Carignan</t>
  </si>
  <si>
    <t>Chemin Bellerive, Carignan</t>
  </si>
  <si>
    <t>45.489065</t>
  </si>
  <si>
    <t>-73.319346</t>
  </si>
  <si>
    <t>80-89%</t>
  </si>
  <si>
    <t>Richard RACINE</t>
  </si>
  <si>
    <t>Alexandre JULIEN</t>
  </si>
  <si>
    <t>Rue de la Miche, Saint-Joachim</t>
  </si>
  <si>
    <t>47.093106</t>
  </si>
  <si>
    <t>-70.846615</t>
  </si>
  <si>
    <t>Michel Bernard Henri KUN, Léopold Christian KUN</t>
  </si>
  <si>
    <t>9418-1286 QUÉBEC INC Minying WU</t>
  </si>
  <si>
    <t>2 601 589, 2 600 785</t>
  </si>
  <si>
    <t>45.417657</t>
  </si>
  <si>
    <t>-73.371157</t>
  </si>
  <si>
    <t>60-69 %</t>
  </si>
  <si>
    <t>FERME BERNARD GAUTHIER INC</t>
  </si>
  <si>
    <t>CHARLES RHÉAUME</t>
  </si>
  <si>
    <t>5719391, 5719402</t>
  </si>
  <si>
    <t>Charlevoix</t>
  </si>
  <si>
    <t>Saint-Hilarion</t>
  </si>
  <si>
    <t>1er rang
Saint-Hilarion</t>
  </si>
  <si>
    <t>47.583581</t>
  </si>
  <si>
    <t>-70.304526</t>
  </si>
  <si>
    <t>Terrain traversé par ligne hydro-Québec</t>
  </si>
  <si>
    <t>Michel CÔTÉ</t>
  </si>
  <si>
    <t>LORD'STACE INC</t>
  </si>
  <si>
    <t>4 582 896, 4 582 898, 4 582 895, 4 582 897</t>
  </si>
  <si>
    <t>Chateau-Richer</t>
  </si>
  <si>
    <t>Chemin de la Mine , Chateau-Richer</t>
  </si>
  <si>
    <t>46.978132</t>
  </si>
  <si>
    <t xml:space="preserve"> -71.082581</t>
  </si>
  <si>
    <t>enclavé, servitude de passage</t>
  </si>
  <si>
    <t>Raymond POMERLEAU</t>
  </si>
  <si>
    <t>Alexandre GUERTIN, Catherine LEBLOND</t>
  </si>
  <si>
    <t>Val-Saint-François</t>
  </si>
  <si>
    <t>Stoke</t>
  </si>
  <si>
    <t>11e rang Est
Stoke</t>
  </si>
  <si>
    <t>45.566664</t>
  </si>
  <si>
    <t>-71.742207</t>
  </si>
  <si>
    <t>Environ 6 hectares terres et friches</t>
  </si>
  <si>
    <t>Serge Lessard</t>
  </si>
  <si>
    <t>Charles Bérubé, Catherine Arnautovitch</t>
  </si>
  <si>
    <t>Saint-Tite-des-Caps</t>
  </si>
  <si>
    <t>Avenue de la Montagne, Saint-Tite-des-Caps</t>
  </si>
  <si>
    <t>47.087242</t>
  </si>
  <si>
    <t>-70.803061</t>
  </si>
  <si>
    <t>enclavé, servitude de passage, tres grand potentiel acéricole</t>
  </si>
  <si>
    <t>INVESTISSEMENT SNDA INC</t>
  </si>
  <si>
    <t>Charles PERRON-GAUVREAU</t>
  </si>
  <si>
    <t>4 582 936, 4 832 455</t>
  </si>
  <si>
    <t>46.972116</t>
  </si>
  <si>
    <t>-71.054997</t>
  </si>
  <si>
    <t> Alain BOUTIN </t>
  </si>
  <si>
    <t> Réjean FONTAINE,  Lucie MARQUIS </t>
  </si>
  <si>
    <t>3 375 232 </t>
  </si>
  <si>
    <t>Saint-Anselme</t>
  </si>
  <si>
    <t>Chemin des Morins, Saint-Anselme</t>
  </si>
  <si>
    <t>46.589837</t>
  </si>
  <si>
    <t>-70.973579</t>
  </si>
  <si>
    <t>Lucien LECLERC</t>
  </si>
  <si>
    <t>Jean-Philippe MORIN</t>
  </si>
  <si>
    <t>Sainte-Louise</t>
  </si>
  <si>
    <t>47.296726</t>
  </si>
  <si>
    <t>-70.034757</t>
  </si>
  <si>
    <t>Yves TREMBLAY</t>
  </si>
  <si>
    <t>Maryse MORNEAU</t>
  </si>
  <si>
    <t>4 917 664</t>
  </si>
  <si>
    <t>Pointe-Lebel</t>
  </si>
  <si>
    <t>Rue Granier, PointeLebel</t>
  </si>
  <si>
    <t xml:space="preserve"> non</t>
  </si>
  <si>
    <t>résineux</t>
  </si>
  <si>
    <t>Zone humide (eau peu profonde)</t>
  </si>
  <si>
    <t>LA FERME PELLERAT (1997) INC (Gervais PELLETIER)</t>
  </si>
  <si>
    <t>Maxine PAQUET LESSARD, Christian MERCIER</t>
  </si>
  <si>
    <t>rang Bonnet
Sainte-Louise</t>
  </si>
  <si>
    <t>47.288848</t>
  </si>
  <si>
    <t>-70.054129</t>
  </si>
  <si>
    <t>Forte déclivité</t>
  </si>
  <si>
    <t>Dominic CLOUTIER, Alexandre CLOUTIER</t>
  </si>
  <si>
    <t>Daniel MUNOZ, Jean-François GAUTHIER,
Jessica LANGLAIS, Tonio BARTOLO</t>
  </si>
  <si>
    <t>3 387 451, 3 387 445, 3 632 106, 3 387 446</t>
  </si>
  <si>
    <t>Lotbinière</t>
  </si>
  <si>
    <t>Saint-Apollinaire</t>
  </si>
  <si>
    <t>rang Saint-Lazare
Saint-Apollinaire</t>
  </si>
  <si>
    <t>46.615412</t>
  </si>
  <si>
    <t>-71.403848</t>
  </si>
  <si>
    <t>Albert BOURDEAU, Dixie ARBUTHNOT</t>
  </si>
  <si>
    <t>FLORIAN ROBERT &amp; FILS INC</t>
  </si>
  <si>
    <t>Papineau</t>
  </si>
  <si>
    <t>Ripon</t>
  </si>
  <si>
    <t>Chemin Viceroy, Ripon</t>
  </si>
  <si>
    <t>45.844299</t>
  </si>
  <si>
    <t>-75.106484</t>
  </si>
  <si>
    <t>presence de batiments, tres accesible</t>
  </si>
  <si>
    <t>DÉBOISEMENT G.C.G. INC (Carl BOULET)</t>
  </si>
  <si>
    <t>Mathieu BERNIÈRE, Isabelle CHABOT</t>
  </si>
  <si>
    <t xml:space="preserve">	6 417 583</t>
  </si>
  <si>
    <t>Dorchester</t>
  </si>
  <si>
    <t>Saint-Luc-de-
Bellechasse</t>
  </si>
  <si>
    <t>12e Rang Saint-Luc-de-
Bellechasse</t>
  </si>
  <si>
    <t>46.523723</t>
  </si>
  <si>
    <t>-70.470488,</t>
  </si>
  <si>
    <t>Densité couvert 90-100%</t>
  </si>
  <si>
    <t>9155-5904 QUÉBEC INC</t>
  </si>
  <si>
    <t>GESTION FRANCOIS ROUSSIN INC</t>
  </si>
  <si>
    <t>3 813 929, 3 815 781</t>
  </si>
  <si>
    <t>Sainte-Anne-de-Beaupré</t>
  </si>
  <si>
    <t>Avenue-Royale, Sainte-Anne-de-Beaupré</t>
  </si>
  <si>
    <t>47.018347</t>
  </si>
  <si>
    <t>-70.961798</t>
  </si>
  <si>
    <t>Roland RACINE</t>
  </si>
  <si>
    <t>J-M Leclerc Excavation inc</t>
  </si>
  <si>
    <t>6 212 177, 6 212 148</t>
  </si>
  <si>
    <t>Route 138, Saint-Tite-des-Caps</t>
  </si>
  <si>
    <t>47.116667</t>
  </si>
  <si>
    <t>-70.809745</t>
  </si>
  <si>
    <t>François ROBERGE</t>
  </si>
  <si>
    <t>Ghislain SÉVIGNY, Danielle LAVOIE</t>
  </si>
  <si>
    <t>chemin du Bruant
Stoneham-et-Tewkesbury</t>
  </si>
  <si>
    <t>46.941059</t>
  </si>
  <si>
    <t>-71.364145</t>
  </si>
  <si>
    <t>pente</t>
  </si>
  <si>
    <t>70-79%</t>
  </si>
  <si>
    <t>Enclavé.</t>
  </si>
  <si>
    <t>LES ENTREPRISES FORESTIÈRES LEBLANC INC</t>
  </si>
  <si>
    <t>Gabriel LEVESQUE-NADEAU, Lory PLANTE-MICHELIN</t>
  </si>
  <si>
    <t>route Laflamme, Saint-Luc-de-Bellechasse</t>
  </si>
  <si>
    <t>46.544574</t>
  </si>
  <si>
    <t>-70.556879</t>
  </si>
  <si>
    <t>Mixte (dominance feuillus)</t>
  </si>
  <si>
    <t>Densité couvert 80-89%</t>
  </si>
  <si>
    <t>Raymond GAGNON</t>
  </si>
  <si>
    <t>Patrick-Emmanuel BOULANGER-NADEAU, Annie FOURNIER</t>
  </si>
  <si>
    <t>3 387 480, 3 387 481</t>
  </si>
  <si>
    <t>Route des Ruisseaux
Saint-Apollinaire</t>
  </si>
  <si>
    <t>46.616752</t>
  </si>
  <si>
    <t>-71.429167</t>
  </si>
  <si>
    <t>Ariane JOLICOEUR, Lucie-Gabrielle JOLICOEUR</t>
  </si>
  <si>
    <t>Érika MILLER-JOLICOEUR, Vincent ARPIN-BÉLANGER</t>
  </si>
  <si>
    <t>6 187 086, 6 186 477</t>
  </si>
  <si>
    <t>Saint-Pierre</t>
  </si>
  <si>
    <t>Chemin Royal
Saint-Pierre</t>
  </si>
  <si>
    <t>46.878592</t>
  </si>
  <si>
    <t>-71.102815</t>
  </si>
  <si>
    <t>Pente</t>
  </si>
  <si>
    <t>Philippe Olivier BOUCHER</t>
  </si>
  <si>
    <t>INVESTISSEMENTS BOUCHER INC Philippe Olivier BOUCHER</t>
  </si>
  <si>
    <t>1 912 387, 2 402 410</t>
  </si>
  <si>
    <t>Boucherville</t>
  </si>
  <si>
    <t>1820 rue Eiffel, Boucherville</t>
  </si>
  <si>
    <t>45.571831</t>
  </si>
  <si>
    <t>-73.365700</t>
  </si>
  <si>
    <t>Bordure Autoroute 20</t>
  </si>
  <si>
    <t>Philippe Olivier BOUCHER, INVESTISSEMENTS BOUCHER INC</t>
  </si>
  <si>
    <t>146993 CANADA INC, Stéphane SAVARIA</t>
  </si>
  <si>
    <t>45.571932</t>
  </si>
  <si>
    <t>-73.365432</t>
  </si>
  <si>
    <t>70-79 %</t>
  </si>
  <si>
    <t>Friche sur 8000 mc</t>
  </si>
  <si>
    <t>188507 (refus nouvel usage golf)</t>
  </si>
  <si>
    <t>Bruno DUMONT, Francis DESJARDINS</t>
  </si>
  <si>
    <t>Jean-Frédéric MONGRAIN</t>
  </si>
  <si>
    <t>La Durantaye</t>
  </si>
  <si>
    <t>46.783304</t>
  </si>
  <si>
    <t>-70.873876</t>
  </si>
  <si>
    <t>Pierre LECLERC, Patricia TREMBLAY</t>
  </si>
  <si>
    <t>SERVICES CONSEILS INFOLITE INC</t>
  </si>
  <si>
    <t>5 892 418,5 893 109</t>
  </si>
  <si>
    <t>Arthabaska</t>
  </si>
  <si>
    <t>Saint-Norbert-d'Arthabaska</t>
  </si>
  <si>
    <t>Rang 1e Ouest, Saint-Norbert-d'Arthabaska</t>
  </si>
  <si>
    <t>46.103700</t>
  </si>
  <si>
    <t>-71.776189</t>
  </si>
  <si>
    <t>Pres d'un cours d'eau, presence de bâtiments</t>
  </si>
  <si>
    <t>CLAUDE DUPONT</t>
  </si>
  <si>
    <t>FRANCOIS ROUSSIN</t>
  </si>
  <si>
    <t>3 813 851, 3 815 921</t>
  </si>
  <si>
    <t>47.021543</t>
  </si>
  <si>
    <t>-70.960850</t>
  </si>
  <si>
    <t>presence de batiment agricole et d'une maison</t>
  </si>
  <si>
    <t>François AUDET</t>
  </si>
  <si>
    <t>Jean-Philippe THOMERSON, Alexandre DUPLAIN-GOSSELIN, Mathieu FERLAND</t>
  </si>
  <si>
    <t>2 110 331, 2 110 330, 1 828 483</t>
  </si>
  <si>
    <t>47.032253</t>
  </si>
  <si>
    <t>-71.365840</t>
  </si>
  <si>
    <t>très forte pente</t>
  </si>
  <si>
    <t>GUY CROTEAU</t>
  </si>
  <si>
    <t>PAYSAGISTE 2000 INC (Clément CÔTÉ)</t>
  </si>
  <si>
    <t>3 383 234, 3 584 385</t>
  </si>
  <si>
    <t>Rang du Bois-Joly
Saint-Apollinaire</t>
  </si>
  <si>
    <t>46.580728</t>
  </si>
  <si>
    <t>-71.517787</t>
  </si>
  <si>
    <t>Nancy PAQUET, Marc BEAUMONT</t>
  </si>
  <si>
    <t>Stéphanie BELISLE, Christian BLANCHETTE</t>
  </si>
  <si>
    <t>3 056 058, 3 056 063, 3 056 066</t>
  </si>
  <si>
    <t>route de
Fossambault, Saint-Augustin-de-Desmaures</t>
  </si>
  <si>
    <t>46.785413</t>
  </si>
  <si>
    <t>-71.515296</t>
  </si>
  <si>
    <t>légère déclivité</t>
  </si>
  <si>
    <t>servitudes de passage, enclavés</t>
  </si>
  <si>
    <t>Bernard GUAY, Mariette LEBEL</t>
  </si>
  <si>
    <t>Josianne GUAY</t>
  </si>
  <si>
    <t>4e rang Ouest
Stoke</t>
  </si>
  <si>
    <t>45.487975</t>
  </si>
  <si>
    <t>-71.849450</t>
  </si>
  <si>
    <t>Traversé par ligne HydroQuébec</t>
  </si>
  <si>
    <t>Gilles GUÉRARD</t>
  </si>
  <si>
    <t>SOGETEL MOBILITÉ INC (Richard BIRON, Audrey
BÉDARD)</t>
  </si>
  <si>
    <t>Rang 9 
Saint-Luc-de-Bellechasse</t>
  </si>
  <si>
    <t>46.520056</t>
  </si>
  <si>
    <t>-70.500239</t>
  </si>
  <si>
    <t>Densité couvert 70-79%</t>
  </si>
  <si>
    <t>FERME GALOUMAR INC (Doris MORNEAU)</t>
  </si>
  <si>
    <t>GESTION MAT-LAU INC (Jean-Pierre HARTON)</t>
  </si>
  <si>
    <t>47.280665</t>
  </si>
  <si>
    <t>-70.074458</t>
  </si>
  <si>
    <t>TRANSPORT LIONEL VACHON &amp; FILS INC</t>
  </si>
  <si>
    <t>Steeve LAFONTAINE et Nadia TANGUAY</t>
  </si>
  <si>
    <t>Route du Dix Saint-Luc-de-
Bellechasse</t>
  </si>
  <si>
    <t>46.515313</t>
  </si>
  <si>
    <t>-70.480309</t>
  </si>
  <si>
    <t>Densité couvert 60-69%</t>
  </si>
  <si>
    <t>Frédéric DION</t>
  </si>
  <si>
    <t>Linda PRATTE</t>
  </si>
  <si>
    <t>6460101, 5 036 859</t>
  </si>
  <si>
    <t>chemin St-Abdon
St-Luc-de-Bellechasse</t>
  </si>
  <si>
    <t>46.487023</t>
  </si>
  <si>
    <t>-70.449910</t>
  </si>
  <si>
    <t>Richard JEAN, Edith MOINEAU</t>
  </si>
  <si>
    <t>Sainte-Euphémie-sur-Rivière-du-Sud</t>
  </si>
  <si>
    <t>Rg Ste-Anne E.
Sainte-Euphémie-sur-Rivière-du-Sud</t>
  </si>
  <si>
    <t>46.768245</t>
  </si>
  <si>
    <t>-70.411357</t>
  </si>
  <si>
    <t>Cabane et remise, tubulure, pas d'équipements</t>
  </si>
  <si>
    <t>Succession Andrei Bella SCHWARZ</t>
  </si>
  <si>
    <t>Jean-Philippe BEAUDET, David BEAUDET</t>
  </si>
  <si>
    <t>Drummond</t>
  </si>
  <si>
    <t>Lefebre</t>
  </si>
  <si>
    <t>Rue Jeanne-d'Arc, Lefevbre</t>
  </si>
  <si>
    <t>45.707763</t>
  </si>
  <si>
    <t>-72.429891</t>
  </si>
  <si>
    <t xml:space="preserve">Pres d'un cours d'eau, resineux </t>
  </si>
  <si>
    <t>Succession Paul-René BERNIER</t>
  </si>
  <si>
    <t>ÉRABLIÈRE CHOUINARD MORNEAU S.E.N.C.,</t>
  </si>
  <si>
    <t>Saint-Aubert</t>
  </si>
  <si>
    <t>47.141669</t>
  </si>
  <si>
    <t>-70.198672</t>
  </si>
  <si>
    <t>Benoit THERRIEN</t>
  </si>
  <si>
    <t>Tommy ALLARD-GAUVREAU</t>
  </si>
  <si>
    <t>Route de Sainte-Sophie, Saint-Norbert-d'Arthabaska</t>
  </si>
  <si>
    <t>46.112592</t>
  </si>
  <si>
    <t>-71.802278</t>
  </si>
  <si>
    <t>presence de cabane à sucre, fort potentiel acericole</t>
  </si>
  <si>
    <t>LES ENTREPRISES RENALD MERCIER LTÉE</t>
  </si>
  <si>
    <t>ÉRABLIÈRES LUCAN INC</t>
  </si>
  <si>
    <t>Saint-Julien</t>
  </si>
  <si>
    <t>4 e rang, Saint-Julien</t>
  </si>
  <si>
    <t>45.983012</t>
  </si>
  <si>
    <t>-71.541817</t>
  </si>
  <si>
    <t>tres accesible, presence probable de cabane á sucre</t>
  </si>
  <si>
    <t>Benoît LAFLAMME</t>
  </si>
  <si>
    <t>46.485808</t>
  </si>
  <si>
    <t>-70.451185</t>
  </si>
  <si>
    <t>Densité couvert 50-59%</t>
  </si>
  <si>
    <t>2968-1608 QUÉBEC INC</t>
  </si>
  <si>
    <t>Éric LAROUCHE</t>
  </si>
  <si>
    <t>Lac-Frontière</t>
  </si>
  <si>
    <t xml:space="preserve">110-116 Route 204 </t>
  </si>
  <si>
    <t>non dispo</t>
  </si>
  <si>
    <t>Potentiel acéricole sur parcelle de la terre 
pas de mention du nombre d'entailles</t>
  </si>
  <si>
    <t>Deschambault-Grondines</t>
  </si>
  <si>
    <t>2e rang Ouest
Deschambault-Grondines</t>
  </si>
  <si>
    <t>Lucien HUOT</t>
  </si>
  <si>
    <t>QUARTIER BEAU-RIVAGE INC</t>
  </si>
  <si>
    <t>3 283 323, 4 090 288</t>
  </si>
  <si>
    <t>Lévis</t>
  </si>
  <si>
    <t>Chemin Petit-Saint Jean, Lévis</t>
  </si>
  <si>
    <t>46.673291</t>
  </si>
  <si>
    <t>-71.303635</t>
  </si>
  <si>
    <t>enclavé,potentiel acéricole</t>
  </si>
  <si>
    <t>Dan Élie LEBEAU</t>
  </si>
  <si>
    <t>Rémi FONTAINE</t>
  </si>
  <si>
    <t>Chaudière-Appalaches</t>
  </si>
  <si>
    <t>Saint-Édouard-de-Lotbinière</t>
  </si>
  <si>
    <t>Rang St-Charles
Saint-Édouard-de-Lotbinière</t>
  </si>
  <si>
    <t>46.592772</t>
  </si>
  <si>
    <t>-71.791071</t>
  </si>
  <si>
    <t>MR</t>
  </si>
  <si>
    <t>50% da la superficie en dénudé humide (peuplement très épars)</t>
  </si>
  <si>
    <t>MICHEL MORIN, MICHELLE LACASSE</t>
  </si>
  <si>
    <t>GESTION HÉLÈNE ET JEAN-PAUL MOREAU INC</t>
  </si>
  <si>
    <t>Rang Gaspé
Saint-Apollinaire</t>
  </si>
  <si>
    <t>46.626610</t>
  </si>
  <si>
    <t>-71.438196</t>
  </si>
  <si>
    <t>9424-1882 QUÉBEC INC.</t>
  </si>
  <si>
    <t>BRUNET &amp; MICHAUDVILLE INC</t>
  </si>
  <si>
    <t>5 090 257, 5 090 267</t>
  </si>
  <si>
    <t>antoine-labelle</t>
  </si>
  <si>
    <t>Ferme-neuve</t>
  </si>
  <si>
    <t>la vente comprend plusieurs terre boisée et agricoles, qui ont été séparées par prix, celle-ci est a ferme-neuve. Potentiel acéricole dans le boisé.</t>
  </si>
  <si>
    <t>Oliver GUGG (liquidateur de la succession de Siegfried Gugg)</t>
  </si>
  <si>
    <t>David HOULE, Mélanie SAVARD</t>
  </si>
  <si>
    <t xml:space="preserve">3 387 707, 3 387 708	</t>
  </si>
  <si>
    <t xml:space="preserve">Lotbinière </t>
  </si>
  <si>
    <t>Saint-Antoine-de-Tilly</t>
  </si>
  <si>
    <t>3351 Ch. Terre-Rouge
Saint-Antoine-de-Tilly</t>
  </si>
  <si>
    <t>46.639558</t>
  </si>
  <si>
    <t>-71.494755</t>
  </si>
  <si>
    <t>GESTION DENIS DUBÉ INC</t>
  </si>
  <si>
    <t>9165-8542 QUÉBEC INC</t>
  </si>
  <si>
    <t>Notre-Dame-des-neiges</t>
  </si>
  <si>
    <t>Rang 3e Oeust, Notre-Dame-des-neiges</t>
  </si>
  <si>
    <t>48.085921</t>
  </si>
  <si>
    <t>-69.142028</t>
  </si>
  <si>
    <t>Gervais GAGNÉ, Kate GAGNÉ</t>
  </si>
  <si>
    <t>Stéphane ROUSSELOT</t>
  </si>
  <si>
    <t>La Haute-Côte-Nord</t>
  </si>
  <si>
    <t>Colombier</t>
  </si>
  <si>
    <t>Rue Principal, Colombier</t>
  </si>
  <si>
    <t>48.860355</t>
  </si>
  <si>
    <t>-68.863390</t>
  </si>
  <si>
    <t>pas en zone agricole</t>
  </si>
  <si>
    <t>René BLAIS</t>
  </si>
  <si>
    <t>Dominique BLAIS, Martin CHAREST</t>
  </si>
  <si>
    <t>Notre-Dame-du-Sacré-Coeur-d'Issoudun</t>
  </si>
  <si>
    <t>Rang de la Plaine
Notre-Dame-du-Sacré-Coeur-d'Issoudun</t>
  </si>
  <si>
    <t>46.593480</t>
  </si>
  <si>
    <t>-71.650882</t>
  </si>
  <si>
    <t>MF</t>
  </si>
  <si>
    <t>Pierre LÉTOURNEAU</t>
  </si>
  <si>
    <t>Michel BOURGOIN</t>
  </si>
  <si>
    <t>6 479 924,5 150 328, 5 150 329, 5 150 330</t>
  </si>
  <si>
    <t>rang 2e Chutes-aux_outardes, Ragueneau</t>
  </si>
  <si>
    <t>Zone humide (tourbière)</t>
  </si>
  <si>
    <t>Amélie PELLETIER</t>
  </si>
  <si>
    <t>ÉRABLIÈRE LA CANOPÉE INC François-Charles alias François GERMAIN</t>
  </si>
  <si>
    <t>5 722 562, 5 405 624</t>
  </si>
  <si>
    <t>Biencourt</t>
  </si>
  <si>
    <t>8e Rang Ouest, Biencourt</t>
  </si>
  <si>
    <t>47.939576</t>
  </si>
  <si>
    <t>-68.583231</t>
  </si>
  <si>
    <t>Accès favorable, chemin parcourant la terre. Rivière séparant les 2 lots</t>
  </si>
  <si>
    <t>Donat PROVENCHER</t>
  </si>
  <si>
    <t>José AGUDELO, 9460-8858 QUEBEC INC, GESTION STELLOU INC.</t>
  </si>
  <si>
    <t>4175729, 4175957</t>
  </si>
  <si>
    <t>Sainte-Anne de la Pérade</t>
  </si>
  <si>
    <t>Rang du Rapide Sud</t>
  </si>
  <si>
    <t>46.627662</t>
  </si>
  <si>
    <t>-72.165625</t>
  </si>
  <si>
    <t>Irrégulière</t>
  </si>
  <si>
    <t>R</t>
  </si>
  <si>
    <t>Rudy VANDERVALK KYLING</t>
  </si>
  <si>
    <t>9458-8159 QUÉBEC INC (Stéphane Daudelin, Brigitte Ouellette)</t>
  </si>
  <si>
    <t>3 980 311, 3 980 312</t>
  </si>
  <si>
    <t>Brome-Missisquoi</t>
  </si>
  <si>
    <t>Dunham</t>
  </si>
  <si>
    <t>rue Principale, Dunham</t>
  </si>
  <si>
    <t>-72.827451</t>
  </si>
  <si>
    <t>45.086077</t>
  </si>
  <si>
    <t>90-100%</t>
  </si>
  <si>
    <t>Christiane MASSE</t>
  </si>
  <si>
    <t>Pierre-Luc BOUCHARD, Audrey BOURGAULT</t>
  </si>
  <si>
    <t>Kamouraska</t>
  </si>
  <si>
    <t>Mont-Carmel</t>
  </si>
  <si>
    <t>rang  5eme Ouest, Mont-Carmel</t>
  </si>
  <si>
    <t>47.406826</t>
  </si>
  <si>
    <t>-69.862191</t>
  </si>
  <si>
    <t>Lucien PARENT</t>
  </si>
  <si>
    <t>CANARDS ILLIMITÉS CANADA (Sébastien RIOUX)</t>
  </si>
  <si>
    <t>5 239 261</t>
  </si>
  <si>
    <t>Montérégie</t>
  </si>
  <si>
    <t>Le Haut-Richelieu</t>
  </si>
  <si>
    <t>rang Victoria, Saint-Georges-de- Clarenceville</t>
  </si>
  <si>
    <t>-73.222697</t>
  </si>
  <si>
    <t>45.073120</t>
  </si>
  <si>
    <t>426105 (Autorisation), 334351 (Autorisation partielle)</t>
  </si>
  <si>
    <t>Thuribe BELZILE</t>
  </si>
  <si>
    <t>9007-9690 QUÉBEC INC</t>
  </si>
  <si>
    <t>5 840 308 </t>
  </si>
  <si>
    <t>Saint-Clément</t>
  </si>
  <si>
    <t>Rang Saint-Isidore, Saint-Clément</t>
  </si>
  <si>
    <t>47.957880</t>
  </si>
  <si>
    <t>-69.086543</t>
  </si>
  <si>
    <t>Partie en zone inondable, pas de potentiel acéricole</t>
  </si>
  <si>
    <t>LES ENTREPRISES FORESTIÈRES J.D. INC (Jacques DUGAS)</t>
  </si>
  <si>
    <t>Julien CAISSY, Jean-Philippe SAVOIE</t>
  </si>
  <si>
    <t>3 887 736 et 3 887 314</t>
  </si>
  <si>
    <t>Avignon</t>
  </si>
  <si>
    <t>Carleton-sur-Mer</t>
  </si>
  <si>
    <t>Route Saint-Louis
Carleton-sur-Mer</t>
  </si>
  <si>
    <t>48.142446</t>
  </si>
  <si>
    <t>-66.242589</t>
  </si>
  <si>
    <t>2 lots séparés par la route Saint-Louis</t>
  </si>
  <si>
    <t>FERME MATHIEU ET PLANTE 2009 (SENC),</t>
  </si>
  <si>
    <t>GESTION J-P FORTIN INC</t>
  </si>
  <si>
    <t>369, 2e Rang, Saint-Georges</t>
  </si>
  <si>
    <t>46.016742</t>
  </si>
  <si>
    <t>-70.695962</t>
  </si>
  <si>
    <t>enclavé, presence de cabane à sucre, Contingent de 3420 LBS entailles présentement +/-1500 érables, possibilité de 1750</t>
  </si>
  <si>
    <t>Guy MARTINEAU</t>
  </si>
  <si>
    <t>Yves BÉRUBÉ</t>
  </si>
  <si>
    <t>5 675 550, 5 673 803</t>
  </si>
  <si>
    <t>Sainte-Françoise</t>
  </si>
  <si>
    <t>Rang 6e, Sainte-Françoise</t>
  </si>
  <si>
    <t>48.088985</t>
  </si>
  <si>
    <t>-68.989344</t>
  </si>
  <si>
    <t>enclavé, bon potentiel acéricole</t>
  </si>
  <si>
    <t>Bertin CARON</t>
  </si>
  <si>
    <t>Rhéaume VEILLEUX</t>
  </si>
  <si>
    <t>Rang Saint-Joseph, Saint-Clément</t>
  </si>
  <si>
    <t>47.933347</t>
  </si>
  <si>
    <t>-69.113946</t>
  </si>
  <si>
    <t>Hugues COUËT, Ginette PAQUET</t>
  </si>
  <si>
    <t>Chantal GAMACHE, Dany TREMBLAY</t>
  </si>
  <si>
    <t>Portneuf</t>
  </si>
  <si>
    <t>46.718696</t>
  </si>
  <si>
    <t>-71.601644</t>
  </si>
  <si>
    <t>Passage d'un gazoduc</t>
  </si>
  <si>
    <t>422523 (aménagement zone travaux, entretien gazoduc)</t>
  </si>
  <si>
    <t>Denis JOLY</t>
  </si>
  <si>
    <t>France PAPINEAU, Lucie PAPINEAU</t>
  </si>
  <si>
    <t>5 091 761</t>
  </si>
  <si>
    <r>
      <t>3</t>
    </r>
    <r>
      <rPr>
        <i/>
        <sz val="7"/>
        <color theme="1"/>
        <rFont val="Helvetica"/>
        <family val="2"/>
      </rPr>
      <t xml:space="preserve">e </t>
    </r>
    <r>
      <rPr>
        <i/>
        <sz val="11"/>
        <color theme="1"/>
        <rFont val="Helvetica"/>
        <family val="2"/>
      </rPr>
      <t>rang de Pope</t>
    </r>
  </si>
  <si>
    <t>grand potentiel acéricole, bonne essence de bois sur le lot</t>
  </si>
  <si>
    <t>5 347 386, 5 347 388, 5 347 389</t>
  </si>
  <si>
    <t>251 Route 204 O.
Saint-Adalbert</t>
  </si>
  <si>
    <t>46.839400</t>
  </si>
  <si>
    <t>-69.941432</t>
  </si>
  <si>
    <t>Séparateur osmose 900 gallons Dominion, tubulure 4 ans, pompe vaccum Delaval 78 avec récupérateur, dumper Bernard
220, réservoir 8000 gallons.</t>
  </si>
  <si>
    <t>Route St-André
Lévis (Les Chutes-de-la-Chaudière-Ouest)</t>
  </si>
  <si>
    <t>46.643314</t>
  </si>
  <si>
    <t>-71.243766</t>
  </si>
  <si>
    <t>Dany DUBÉ</t>
  </si>
  <si>
    <t>Francis DUBÉ DAOUST</t>
  </si>
  <si>
    <t>Rang 2 Nouvelle
Carleton-sur-Mer</t>
  </si>
  <si>
    <t>48.134310</t>
  </si>
  <si>
    <t>-66.245558</t>
  </si>
  <si>
    <t>Claude BRETON, Julie POTVIN</t>
  </si>
  <si>
    <t>Bruno SAUVAGEAU, Marie-Hélène ROBERGE</t>
  </si>
  <si>
    <t>Charlevoix-Est</t>
  </si>
  <si>
    <t>La Malbaie</t>
  </si>
  <si>
    <t>Chemin de Port-au-Persil, La Malbaie</t>
  </si>
  <si>
    <t>47.785870</t>
  </si>
  <si>
    <t>-69.928550</t>
  </si>
  <si>
    <t>resineux, potentiel acéricole</t>
  </si>
  <si>
    <t>SOLIFOR CHARLEVOIX-SAGUENAY, SOCIÉTÉ EN COMMANDITE</t>
  </si>
  <si>
    <t>Guy BÉLISLE</t>
  </si>
  <si>
    <t>5 400 733, 5 400 732, 5 400 734</t>
  </si>
  <si>
    <t>Rang Sainte-Anne, La Malbaie</t>
  </si>
  <si>
    <t>47.792086</t>
  </si>
  <si>
    <t>-69.963342</t>
  </si>
  <si>
    <t>Gérard HAMMOND</t>
  </si>
  <si>
    <t>Abel OUELLET</t>
  </si>
  <si>
    <t>Saint-Mathieu-de-Rioux</t>
  </si>
  <si>
    <t>4è Rang Est, Saint-Mathieu-de-Rioux</t>
  </si>
  <si>
    <t>48.190119</t>
  </si>
  <si>
    <t>-68.937692</t>
  </si>
  <si>
    <t>Resineux, peu de potentiel acéricole</t>
  </si>
  <si>
    <t>Martin SIMARD</t>
  </si>
  <si>
    <t>9126-7815 QUÉBEC INC Gervais BOURQUE, Vicky BELZILE</t>
  </si>
  <si>
    <t>Saint-Guy</t>
  </si>
  <si>
    <t>4e rang, à Saint-Guy</t>
  </si>
  <si>
    <t>48.014836</t>
  </si>
  <si>
    <t>-68.790957</t>
  </si>
  <si>
    <t>Accès par chemin privé. Proximité lac de Saint-Guy</t>
  </si>
  <si>
    <t>Joëlle CROTEAU</t>
  </si>
  <si>
    <t>Martine BOUCHER, Alain CHAREST</t>
  </si>
  <si>
    <t>Route de la Carrière
Saint-Apollinaire</t>
  </si>
  <si>
    <t>46.565892</t>
  </si>
  <si>
    <t>-71.543220</t>
  </si>
  <si>
    <t>9352-8347 QUEBEC INC.</t>
  </si>
  <si>
    <t>Sophie CORMIER-RONDEAU, Charles GOULET</t>
  </si>
  <si>
    <t>3926497, 4176002</t>
  </si>
  <si>
    <t>Rang d'Orvilliers</t>
  </si>
  <si>
    <t>46.602175</t>
  </si>
  <si>
    <t>-72.124923</t>
  </si>
  <si>
    <t>Carl DESBIENS</t>
  </si>
  <si>
    <t>GESTION JACKY SANTERRE INC.</t>
  </si>
  <si>
    <t xml:space="preserve">5 759 753 </t>
  </si>
  <si>
    <t>38,15</t>
  </si>
  <si>
    <t>Raymonde BLANEY</t>
  </si>
  <si>
    <t>FERME DENIS ET LOUISE DION SENC</t>
  </si>
  <si>
    <t>La Nouvelle Beauce</t>
  </si>
  <si>
    <t>Saint-narcisse-de-Beaurivage</t>
  </si>
  <si>
    <t>209 Rang ST-Anne</t>
  </si>
  <si>
    <t>FERME JOSEPH AIMÉ BLAIS INC</t>
  </si>
  <si>
    <t>Jean-François ROY, Karine BLAIS</t>
  </si>
  <si>
    <t>Saint- François-de-la-Rivière-du-Sud</t>
  </si>
  <si>
    <t>chemin des Prairies
Saint-
François-de-la-Rivière-du-Sud</t>
  </si>
  <si>
    <t>46.852547</t>
  </si>
  <si>
    <t>-70.662231</t>
  </si>
  <si>
    <t>Jean-Pierre SYLVAIN, Michel SYLVAIN</t>
  </si>
  <si>
    <t>BOISÉ PELLETIER (2022) S.E.N.C</t>
  </si>
  <si>
    <t>Saint-Louis-de-Gonzague</t>
  </si>
  <si>
    <t>11 e rang, Saint-Louis-de-Gonzague</t>
  </si>
  <si>
    <t>46.229621</t>
  </si>
  <si>
    <t>-70.342551</t>
  </si>
  <si>
    <t>1 100 entailles</t>
  </si>
  <si>
    <t>Marc BEAUMONT</t>
  </si>
  <si>
    <t>Jean-Charles LEPAGE</t>
  </si>
  <si>
    <t>3 055 781, 3 055 819</t>
  </si>
  <si>
    <t>chemin du Cabouron, Saint-Augustin-de-Desmaures</t>
  </si>
  <si>
    <t>46.748576</t>
  </si>
  <si>
    <t>-71.551138</t>
  </si>
  <si>
    <t>Traversé par 2 cours d'eau, 2 lots séparés par une voie ferrée, Accès chemin</t>
  </si>
  <si>
    <t>Sébastien RAJOTTE</t>
  </si>
  <si>
    <t>Jean-Philippe GAGNON SAVARD, Jacob LECLERC</t>
  </si>
  <si>
    <t>Nicolet-Yamaska</t>
  </si>
  <si>
    <t>Saint-Zéphirin-de-Courval</t>
  </si>
  <si>
    <t>rang Saint-Louis
Saint-Zéphirin-de-Courval</t>
  </si>
  <si>
    <t>46.046453</t>
  </si>
  <si>
    <t>-72.581966</t>
  </si>
  <si>
    <t>Langis GAUDREAU</t>
  </si>
  <si>
    <t>Jonathan GROULX</t>
  </si>
  <si>
    <t>Montée Rochon, Ripon</t>
  </si>
  <si>
    <t>45.752149</t>
  </si>
  <si>
    <t xml:space="preserve"> -75.175581</t>
  </si>
  <si>
    <t>Michael ALLNUTT, Karen CRANDALL</t>
  </si>
  <si>
    <t>François BEAUVAIS</t>
  </si>
  <si>
    <t>4 571 354, 4 571 355, 4 571 356, 4 267 166</t>
  </si>
  <si>
    <t>Lac-Brome</t>
  </si>
  <si>
    <t>Draper Road, Brome</t>
  </si>
  <si>
    <t>-72.555342</t>
  </si>
  <si>
    <t>45.174242</t>
  </si>
  <si>
    <t xml:space="preserve">oui </t>
  </si>
  <si>
    <t>432911, 432912</t>
  </si>
  <si>
    <t>Charles E. BERGERON</t>
  </si>
  <si>
    <t>9169-8241 QUÉBEC INC (Marc VANASSE)</t>
  </si>
  <si>
    <t>5 896 334, 5 897 752</t>
  </si>
  <si>
    <t>Frelighsburg</t>
  </si>
  <si>
    <t>Verger-Modèle Road, Frelighsburg</t>
  </si>
  <si>
    <t>-72.838354</t>
  </si>
  <si>
    <t>45.042423</t>
  </si>
  <si>
    <t>85-94%</t>
  </si>
  <si>
    <t> SOCIÉTÉ EN COMMANDITE IMMOBILIÈRE SILVA BOREALIS </t>
  </si>
  <si>
    <t> 3977790 CANADA INC </t>
  </si>
  <si>
    <t>5 697 708,5 943 628</t>
  </si>
  <si>
    <t>Chénéville</t>
  </si>
  <si>
    <t>Montée du 7e rang, Chénéville</t>
  </si>
  <si>
    <t>45.933261</t>
  </si>
  <si>
    <t>-75.003913</t>
  </si>
  <si>
    <t>27 300 698</t>
  </si>
  <si>
    <t>9430-7618 QUÉBEC INC Robert MONTMINY, et Patrick LAVALLÉE</t>
  </si>
  <si>
    <t>9066-4558 QUÉBEC INC Denis THERRIEN,  et Mathieu THERRIEN</t>
  </si>
  <si>
    <t>6 438 733, 6 496 700</t>
  </si>
  <si>
    <t>Sainte-Apolline-de-Patton</t>
  </si>
  <si>
    <t>rang Saint-Joseph, Sainte-Apolline-de-Patton</t>
  </si>
  <si>
    <t>-70.137570</t>
  </si>
  <si>
    <t>Équipements complets (200 000 $ à l'acte)</t>
  </si>
  <si>
    <t>5916 (50 000 $ acte)</t>
  </si>
  <si>
    <t>Robert GINGRAS, Jean-François GAGNON</t>
  </si>
  <si>
    <t>Judith MARCOTTE</t>
  </si>
  <si>
    <t>portneuf</t>
  </si>
  <si>
    <t>Donnacona</t>
  </si>
  <si>
    <t>2e Rang, Donnacona</t>
  </si>
  <si>
    <t>46.702567</t>
  </si>
  <si>
    <t>-71.709770</t>
  </si>
  <si>
    <t>Sylvie BEAUDET</t>
  </si>
  <si>
    <t>René BISSON</t>
  </si>
  <si>
    <t>5 426 569, 5 426 594</t>
  </si>
  <si>
    <t>route 287, Mont-Carmel</t>
  </si>
  <si>
    <t>47.366068</t>
  </si>
  <si>
    <t>-69.750446</t>
  </si>
  <si>
    <t>GENEVIÈRE NORMANDIN, RAPHAEL BENOIT</t>
  </si>
  <si>
    <t>JEAN-FRANCOIS GRANGER, AUDREY LAROCQUE</t>
  </si>
  <si>
    <t>Saint-Edmond-de-Gratham</t>
  </si>
  <si>
    <t>Route 122, Saint-Edmond-de-Gratham</t>
  </si>
  <si>
    <t>45.903684</t>
  </si>
  <si>
    <t>-72.658328</t>
  </si>
  <si>
    <t>5.1</t>
  </si>
  <si>
    <t>Ginette LÉVESQU</t>
  </si>
  <si>
    <t>Yves RICARD, Lyne RIVARD</t>
  </si>
  <si>
    <t>Saint-Siméon</t>
  </si>
  <si>
    <t>Rue de Port-aux-Quilles, Saint Siméon</t>
  </si>
  <si>
    <t>47.865797</t>
  </si>
  <si>
    <t>-69.872758</t>
  </si>
  <si>
    <t>très accessible</t>
  </si>
  <si>
    <t>FERME DU GAMBLEUR SENC</t>
  </si>
  <si>
    <t>ÉRABLIÈRE G. OUELLETTE &amp; FILS INC</t>
  </si>
  <si>
    <t>Tingwick</t>
  </si>
  <si>
    <t>Chemin des radars, Tingwick</t>
  </si>
  <si>
    <t>45.911701</t>
  </si>
  <si>
    <t>-71.941971</t>
  </si>
  <si>
    <t>9087-6822 QUÉBEC INC.</t>
  </si>
  <si>
    <t>Justin COSSETTE-FRENETTE</t>
  </si>
  <si>
    <t>5 608 351, 5 608 352, 5 112 751, 5 608 353</t>
  </si>
  <si>
    <t>potentiel acéricole sur les lots.</t>
  </si>
  <si>
    <t>9262-6175 QUÉBEC INC (Éric LORD)</t>
  </si>
  <si>
    <t>Pierre MERCIER, Rémi MERCIER</t>
  </si>
  <si>
    <t>5 347 017, 5 347 015, 5 347 010</t>
  </si>
  <si>
    <t>Saint-Marcel</t>
  </si>
  <si>
    <t>Route 285 Nord
Saint-Marcel</t>
  </si>
  <si>
    <t>46.929999</t>
  </si>
  <si>
    <t>-70.099579</t>
  </si>
  <si>
    <t>Camp forestier</t>
  </si>
  <si>
    <t>ÉRABLIÈRE BENOÎT BÉLANGER inc</t>
  </si>
  <si>
    <t>Marcel VEILLEUX</t>
  </si>
  <si>
    <t>5 489 590, 5 489 142</t>
  </si>
  <si>
    <t>Sainte-Perpétue</t>
  </si>
  <si>
    <t>rue Principale Sud
Sainte-Perpétue</t>
  </si>
  <si>
    <t>47.014570</t>
  </si>
  <si>
    <t>-69.875144</t>
  </si>
  <si>
    <t>27 418 271</t>
  </si>
  <si>
    <t>EXPLOITATION ASTIGARRAGA INC LAURENT BORTHAYRE</t>
  </si>
  <si>
    <t>OTIRUSSEAU INC Nicolas BIZIER</t>
  </si>
  <si>
    <t>6 046 443</t>
  </si>
  <si>
    <t>Saint-Fabien-de-Panet</t>
  </si>
  <si>
    <t>Route 283 à Saint-Fabien-de-Panet</t>
  </si>
  <si>
    <t>-70.216800</t>
  </si>
  <si>
    <t>Équipements complets (114 000 $ à l'acte)</t>
  </si>
  <si>
    <t>Le vendeur s’engage à faire l’installation de 1 500 entailles</t>
  </si>
  <si>
    <t>Bruno BAILLARGEON, Luc BAILLARGEON</t>
  </si>
  <si>
    <t>Jean-Mathieu LACHAPELLE</t>
  </si>
  <si>
    <t>Rang Saint-Charles, Saint-Benoît-Labre</t>
  </si>
  <si>
    <t>46.063685</t>
  </si>
  <si>
    <t>-70.752304</t>
  </si>
  <si>
    <t>enclavé, pas completement boisée</t>
  </si>
  <si>
    <t>Jean-Paul LACHARITÉ,</t>
  </si>
  <si>
    <t>André HUARD,</t>
  </si>
  <si>
    <t>5 535 373</t>
  </si>
  <si>
    <t>cleveland</t>
  </si>
  <si>
    <t>chemin McLaughlin</t>
  </si>
  <si>
    <t>petit potentiel acéricole, rivière qui passe 
dans le milieu de la terre</t>
  </si>
  <si>
    <t>Bertrand LACHANCE</t>
  </si>
  <si>
    <t>Lorraine DODIER, ÉRABLIÈRE BENOIT BÉLANGER INC</t>
  </si>
  <si>
    <t>6 549 329, 6 045 858, 6 045 877</t>
  </si>
  <si>
    <t>Sainte-
Lucie-de-Beauregard</t>
  </si>
  <si>
    <t>rue Principale
Lucie-de-Beauregard</t>
  </si>
  <si>
    <t>46.744464</t>
  </si>
  <si>
    <t>-70.013214</t>
  </si>
  <si>
    <t>Martine CROZAT</t>
  </si>
  <si>
    <t>Sébastien MORIN, Véronique MÉTHÉ-CROZAT</t>
  </si>
  <si>
    <t>1827447, 2187367</t>
  </si>
  <si>
    <t>1ère Avenue
Stoneham-et-Tewkesbury</t>
  </si>
  <si>
    <t>47.066418</t>
  </si>
  <si>
    <t>-71.414258</t>
  </si>
  <si>
    <t>Marthe POULIOT</t>
  </si>
  <si>
    <t>Jean FECTEAU, Valérie BILODEAU</t>
  </si>
  <si>
    <t>route Norbert-Morin
La Durantaye</t>
  </si>
  <si>
    <t>46.824320</t>
  </si>
  <si>
    <t>-70.841044</t>
  </si>
  <si>
    <t>Gilles GENEST</t>
  </si>
  <si>
    <t>Samuel-Vincent GUAY</t>
  </si>
  <si>
    <t>Neuville</t>
  </si>
  <si>
    <t>421, chemin Lomer, Neuville</t>
  </si>
  <si>
    <t>46.732474</t>
  </si>
  <si>
    <t>-71.595968</t>
  </si>
  <si>
    <t>Léo-Gilles DEMERS</t>
  </si>
  <si>
    <t>GESTION LRL INC.</t>
  </si>
  <si>
    <t>3 838 898</t>
  </si>
  <si>
    <t>Saint-Gilles</t>
  </si>
  <si>
    <t>Rang St-Anne</t>
  </si>
  <si>
    <t>Paul CAVANAGH</t>
  </si>
  <si>
    <t>Maurice SAVOIE</t>
  </si>
  <si>
    <t>48.126873</t>
  </si>
  <si>
    <t>-66.210875</t>
  </si>
  <si>
    <t>Lot enclavé, servitude de passage.</t>
  </si>
  <si>
    <t>Denise LABRIE, Jean-François TREMBLAY</t>
  </si>
  <si>
    <t>Michèle COUTURIER,  François DELAGE</t>
  </si>
  <si>
    <t>48.892020</t>
  </si>
  <si>
    <t> -68.839821</t>
  </si>
  <si>
    <t>Jean-Yves PARADIS</t>
  </si>
  <si>
    <t>Christine ÉMOND</t>
  </si>
  <si>
    <t>Saint-Philippe-de-Néri</t>
  </si>
  <si>
    <t>Route 230, Saint-Philippe-de-Néri</t>
  </si>
  <si>
    <t>47.447767</t>
  </si>
  <si>
    <t>-69.894315</t>
  </si>
  <si>
    <t>Marcel LEJEUNE</t>
  </si>
  <si>
    <t>Claude LETARTE, Caroline FORTIN</t>
  </si>
  <si>
    <t>La-Jacques-Cartier</t>
  </si>
  <si>
    <t>Sainte-Catherine-de-la-Jacques-Cartier</t>
  </si>
  <si>
    <t>46.809597</t>
  </si>
  <si>
    <t>-71.562053</t>
  </si>
  <si>
    <t>Ruisseau traversant</t>
  </si>
  <si>
    <t>André FOUCAULT</t>
  </si>
  <si>
    <t>LA MONTÉE DE MALINES SOCIÉTÉ EN NOM COLLECTIF (Jenny TURBIDE, Charles CARDINAL)</t>
  </si>
  <si>
    <t>4 937 826, 6 332 969</t>
  </si>
  <si>
    <t>route 221, Lacolle</t>
  </si>
  <si>
    <t>-73.392557</t>
  </si>
  <si>
    <t>45.016292</t>
  </si>
  <si>
    <t>IMMEUBLES MARCO BERNIER INC</t>
  </si>
  <si>
    <t>DOMINIQUE DURAND, NANCY VIGNOLA</t>
  </si>
  <si>
    <t>Bécancour</t>
  </si>
  <si>
    <t>Sainte-Sophie-de-Lévrard</t>
  </si>
  <si>
    <t>Rang Sainte-Agathe, Sainte-Sophie-de-Lévrard</t>
  </si>
  <si>
    <t>46.407266</t>
  </si>
  <si>
    <t>72.104856</t>
  </si>
  <si>
    <t>Wolfgang LANGHEIT</t>
  </si>
  <si>
    <t>CANARDS ILLIMITÉS CANADA</t>
  </si>
  <si>
    <t>Pierreville</t>
  </si>
  <si>
    <t>Ile de la Commune
Pierreville</t>
  </si>
  <si>
    <t>46.112075</t>
  </si>
  <si>
    <t>-72.915017</t>
  </si>
  <si>
    <t>Situation sur péninsule</t>
  </si>
  <si>
    <t>Stéphanie GAMELIN</t>
  </si>
  <si>
    <t>ÉRABLIÈRE PROULX INC (Martin PROULX)</t>
  </si>
  <si>
    <t>Saint-Elphège</t>
  </si>
  <si>
    <t>rang de la Grande-Plaine
Saint-Elphège</t>
  </si>
  <si>
    <t>46.082162</t>
  </si>
  <si>
    <t>-72.726974</t>
  </si>
  <si>
    <t>Paul-Aimé Fontaine inc.</t>
  </si>
  <si>
    <t>9441-1295 QUÉBEC INC.</t>
  </si>
  <si>
    <t>6 518 408,6 574 210</t>
  </si>
  <si>
    <t>Chem. Sterrett Mine</t>
  </si>
  <si>
    <t>lot changé de nom- (ancien numéro (6 518 411))</t>
  </si>
  <si>
    <t>Gérald DIONNE</t>
  </si>
  <si>
    <t>9055-3223 QUÉBEC INC Rémi THÉRIAULT, Hugo CARON, Guillaume CARON,</t>
  </si>
  <si>
    <t>47.883894</t>
  </si>
  <si>
    <t>-68.633155</t>
  </si>
  <si>
    <t>Déclivité modérée</t>
  </si>
  <si>
    <t>Achat par le locataire, transfert de contingent acéricole. Accès favorable, chemin parcourant la terre.</t>
  </si>
  <si>
    <t>Bernard LAVOIE</t>
  </si>
  <si>
    <t>8e rang Est, Biencourt</t>
  </si>
  <si>
    <t>47.932471</t>
  </si>
  <si>
    <t>-68.567928</t>
  </si>
  <si>
    <t>Accès favorable, chemin parcourant la terre.</t>
  </si>
  <si>
    <t>Patrice LEMOINE</t>
  </si>
  <si>
    <t>5288102, 5 744 445</t>
  </si>
  <si>
    <t>46.110640</t>
  </si>
  <si>
    <t>-72.913323</t>
  </si>
  <si>
    <t>Michel BRAZEAU, Suzanne BOIVIN</t>
  </si>
  <si>
    <t>Sylvain COUSINEAU</t>
  </si>
  <si>
    <t>Saint-Sixte</t>
  </si>
  <si>
    <t>Montée Robinson, Saint-Sixte</t>
  </si>
  <si>
    <t>45.723284</t>
  </si>
  <si>
    <t>-75.192689</t>
  </si>
  <si>
    <t>GABRIEL GAGNON</t>
  </si>
  <si>
    <t>RENÉ BOLDUC, GUYLAINE BERGERON</t>
  </si>
  <si>
    <t>Rang Saint-Louis, Saint-Edmond-de-Gratham</t>
  </si>
  <si>
    <t>45.878580</t>
  </si>
  <si>
    <t>-72.707149</t>
  </si>
  <si>
    <t>GESTION LES ATELIERS NORDICS INC (Mathieu Roy)</t>
  </si>
  <si>
    <t>Guillaume LÉGARÉ-BRETON</t>
  </si>
  <si>
    <t>47.013385</t>
  </si>
  <si>
    <t>-71.370881</t>
  </si>
  <si>
    <t>Terrain contigu à un secteur développé</t>
  </si>
  <si>
    <t>Gaston MARCOTTE</t>
  </si>
  <si>
    <t>Stéphanie GAMELIN, Gaétan DESMARAIS</t>
  </si>
  <si>
    <t>46.081222</t>
  </si>
  <si>
    <t>-72.723067</t>
  </si>
  <si>
    <t>Claire DESAUTELS, Jean-Claude BOULAY</t>
  </si>
  <si>
    <t>Claude GIRARD</t>
  </si>
  <si>
    <t>Chemin de l'Erablière, Saint-Siméon</t>
  </si>
  <si>
    <t>47.832338</t>
  </si>
  <si>
    <t>-69.950938</t>
  </si>
  <si>
    <t>9087-0890 QUÉBEC INC</t>
  </si>
  <si>
    <t>Jean-Yves ROY, Sébastien ROY</t>
  </si>
  <si>
    <t>Saint-Jean-de-Dieu</t>
  </si>
  <si>
    <t>Rang 8e, Saint-Jean-de-Dieu</t>
  </si>
  <si>
    <t>48.046128</t>
  </si>
  <si>
    <t>-69.026862</t>
  </si>
  <si>
    <t>pas de potentiel acéricole</t>
  </si>
  <si>
    <t>Susie DION</t>
  </si>
  <si>
    <t>9334-0685 QUÉBEC INC (James Robert LEEMING)</t>
  </si>
  <si>
    <t>6e rang Ouest
Notre-Dame-du-Sacré-Coeur-d'Issoudun</t>
  </si>
  <si>
    <t>Mickael NEVEU, Marie Audrey SAUTRON SMITH</t>
  </si>
  <si>
    <t>Stéphane MESQUITA, Jinny GOSSELIN, Steve CARRIER, Judith MARTINEAU</t>
  </si>
  <si>
    <t>12e Rang à Saint-Luc-de-Bellechasse</t>
  </si>
  <si>
    <t>46.527372</t>
  </si>
  <si>
    <t>-70.466010</t>
  </si>
  <si>
    <t> Dany GAGNON </t>
  </si>
  <si>
    <t> Shanti-Lune dite Shanti SARRAZIN, Gaston DESJARDINS</t>
  </si>
  <si>
    <t>5 547 422, 5 547 702, 5 547 518</t>
  </si>
  <si>
    <t>Rang 3e Est, Notre-Dame-des-neiges</t>
  </si>
  <si>
    <t>48.124959</t>
  </si>
  <si>
    <t>-69.072859</t>
  </si>
  <si>
    <t>Johanne MAILLOUX, Denis VERRET</t>
  </si>
  <si>
    <t>FERME ROBERT MORIN INC.</t>
  </si>
  <si>
    <t>3 586 342</t>
  </si>
  <si>
    <t>Saint-Lazare-de-Bellechasse</t>
  </si>
  <si>
    <t>rang Petit-Buckland</t>
  </si>
  <si>
    <t xml:space="preserve">Pente </t>
  </si>
  <si>
    <t>Murielle FRANCOEUR</t>
  </si>
  <si>
    <t>Audrey MORAND, Sylvie MONETTE, Jacques MORAND, Frédéric MORAND, Myriam GOSSELIN</t>
  </si>
  <si>
    <t>Rang 3
Carleton-sur-Mer</t>
  </si>
  <si>
    <t>48.146479</t>
  </si>
  <si>
    <t>-66.136190</t>
  </si>
  <si>
    <t>Servitude HydroQuébec</t>
  </si>
  <si>
    <t>Rosaire ROUSSEL</t>
  </si>
  <si>
    <t>GROUPEMENT FORESTIER GRAND-PORTAGE INC</t>
  </si>
  <si>
    <t>5 426 996, 5 426 994</t>
  </si>
  <si>
    <t>Route  Albert-Lévesque</t>
  </si>
  <si>
    <t>47.442557</t>
  </si>
  <si>
    <t>-69.811761</t>
  </si>
  <si>
    <t>Pascal DUBÉ</t>
  </si>
  <si>
    <t>Ghislain PELLERIN, Serge DUMAS</t>
  </si>
  <si>
    <t>4ième Rang Est
Sainte-Louise</t>
  </si>
  <si>
    <t>47.292776</t>
  </si>
  <si>
    <t>-70.036969</t>
  </si>
  <si>
    <t>Armand JOLY</t>
  </si>
  <si>
    <t>Sébastien DUMONT</t>
  </si>
  <si>
    <t>Saint-Lambert-de-Lauzon</t>
  </si>
  <si>
    <t>chemin Iberville
St-Lambert-de-Lauzon</t>
  </si>
  <si>
    <t>46.539975</t>
  </si>
  <si>
    <t>-71.266386</t>
  </si>
  <si>
    <t>presence de batiments</t>
  </si>
  <si>
    <t>Germain LABBÉ</t>
  </si>
  <si>
    <t>FERME DRABERT INC (Jean-Paul Berthiaume, Lisette Drapeau et Marcel Berthiaume)</t>
  </si>
  <si>
    <t>2720 029, 2720 031</t>
  </si>
  <si>
    <t>Scott</t>
  </si>
  <si>
    <t>rang Saint-Étienne
 Scott</t>
  </si>
  <si>
    <t>46.466918</t>
  </si>
  <si>
    <t>-71.090856</t>
  </si>
  <si>
    <t xml:space="preserve">3387451, 3387445, 3387446, 3632106	</t>
  </si>
  <si>
    <t>Rg St-Lazare
Saint-Apollinaire</t>
  </si>
  <si>
    <t>46.612266</t>
  </si>
  <si>
    <t>-71.398709</t>
  </si>
  <si>
    <t>Marie-Claude SENEY</t>
  </si>
  <si>
    <t>Alain THIBODEAU</t>
  </si>
  <si>
    <t>5 896 977</t>
  </si>
  <si>
    <t>Stanbridge East</t>
  </si>
  <si>
    <t>-72.949869</t>
  </si>
  <si>
    <t>45.145967</t>
  </si>
  <si>
    <t>potentiel acéricole moyen, présence d'un étang d'eau</t>
  </si>
  <si>
    <t>Yves JACOB</t>
  </si>
  <si>
    <t>Jean LEDUC</t>
  </si>
  <si>
    <t>4 176 186, 5 803 514</t>
  </si>
  <si>
    <t>Sainte-Anne-de-la-Pérade et Saint-Prosper-de-Champlain</t>
  </si>
  <si>
    <t>46.695233</t>
  </si>
  <si>
    <t>-72.299190</t>
  </si>
  <si>
    <t>Environ 30% de la superficie en tourbière boisée</t>
  </si>
  <si>
    <t>435729 (autorisation morcellement)</t>
  </si>
  <si>
    <t>LES FERMES R.C.M. INC (René Leclerc)</t>
  </si>
  <si>
    <t>L'ÉRABLIÈRE M.D.F. INC (Doris Dubé)</t>
  </si>
  <si>
    <t>5 347 829, 5 799 528, 5 347 838</t>
  </si>
  <si>
    <t>46.919888</t>
  </si>
  <si>
    <t>-70.111952</t>
  </si>
  <si>
    <t>Ingo BECHTEL</t>
  </si>
  <si>
    <t>9493-8271 QUÉBEC INC (David
Blanchette)</t>
  </si>
  <si>
    <t>chemin de la Vallée
Lac-Beauport</t>
  </si>
  <si>
    <t>46.976421</t>
  </si>
  <si>
    <t>-71.313028</t>
  </si>
  <si>
    <t>Servitude de passage</t>
  </si>
  <si>
    <t>Jean-Claude THÉORÊT, Ginette THÉORÊT, Benoit THÉORÊT</t>
  </si>
  <si>
    <t>Bruno VIENS, Jessica BÉRUBÉ</t>
  </si>
  <si>
    <t>La Vallée-du-Richelieu</t>
  </si>
  <si>
    <t>Rang des Soixantes, Saint-Marc-sur-Richelieu</t>
  </si>
  <si>
    <t>45.740030</t>
  </si>
  <si>
    <t>-73.215469</t>
  </si>
  <si>
    <t>CLAUDE L'HEUREUX</t>
  </si>
  <si>
    <t>THOMAS ROULIN, ISABELLE DURING, ROBERT CINQ-MARS, HÉLÈNE ROY</t>
  </si>
  <si>
    <t>46.808839</t>
  </si>
  <si>
    <t>-71.508993</t>
  </si>
  <si>
    <t>Pas de route à proximité. Chemin parcourant le lot,</t>
  </si>
  <si>
    <t>Yesica HUARD-EMIGDIO</t>
  </si>
  <si>
    <t>Vincent GENOIS, Jessica DUFOUR, Philippe BÉDARD</t>
  </si>
  <si>
    <t>3ième concession, Québec</t>
  </si>
  <si>
    <t>46.818827</t>
  </si>
  <si>
    <t>-71.496524</t>
  </si>
  <si>
    <t>Droit de passage.</t>
  </si>
  <si>
    <t>John MCMARTIN</t>
  </si>
  <si>
    <t>VAUGEOIS INC (David VAUGEOIS)</t>
  </si>
  <si>
    <t>47.031911</t>
  </si>
  <si>
    <t>-71.344643</t>
  </si>
  <si>
    <t>DOMAINE DU ROY HARRIS INC (Steve ROY)</t>
  </si>
  <si>
    <t>46.624816</t>
  </si>
  <si>
    <t>-71.422641</t>
  </si>
  <si>
    <t>Marcel, Lise, Nicole, Danuel, Catherine, Marc, Jean-Yves ANGERS</t>
  </si>
  <si>
    <t>Mathieu GIGUÈRE et Liliane CORRIVEAU</t>
  </si>
  <si>
    <t>670, 2ème Rang, Neuville</t>
  </si>
  <si>
    <t>46.725254</t>
  </si>
  <si>
    <t>-71.619426</t>
  </si>
  <si>
    <t>Accessible par un chemin</t>
  </si>
  <si>
    <t>Caroline DIONNE, Maxime DROLET</t>
  </si>
  <si>
    <t>Doris PICARD, William DOIRON</t>
  </si>
  <si>
    <t>47.419636</t>
  </si>
  <si>
    <t>-69.763227</t>
  </si>
  <si>
    <t xml:space="preserve">Traversé par une riviere et presence d'un lac </t>
  </si>
  <si>
    <t>Christian LAFONTAINE</t>
  </si>
  <si>
    <t>Éric BÉDARD</t>
  </si>
  <si>
    <t>3 198 463, 3 198 455</t>
  </si>
  <si>
    <t>4e Rang Ouest
La Durantaye</t>
  </si>
  <si>
    <t>46.811887</t>
  </si>
  <si>
    <t>-70.853357</t>
  </si>
  <si>
    <t>Enclavé, servitude de passage, traversé par ligne HydroQuébec</t>
  </si>
  <si>
    <t>Lucille LANOIE</t>
  </si>
  <si>
    <t>Yannick SYLVESTRE, Benjamin BERNARD</t>
  </si>
  <si>
    <t>5 310 670, 5 312 059</t>
  </si>
  <si>
    <t>Rue Pincipale, Saint-Marc-sur-Richelieu</t>
  </si>
  <si>
    <t>45.678963</t>
  </si>
  <si>
    <t>-73.260826</t>
  </si>
  <si>
    <t>tres bonne accesibilité, presence d'un bâtiment</t>
  </si>
  <si>
    <t>Bernard THOMASSIN</t>
  </si>
  <si>
    <t>GESTION STRATEGIS NATUR INC. (Dominique LAREAU)</t>
  </si>
  <si>
    <t>Rue Saint-Louis
Stoneham-et-Tewkesbury</t>
  </si>
  <si>
    <t>47.095879</t>
  </si>
  <si>
    <t>-71.199575</t>
  </si>
  <si>
    <t>Longé par rivière de l'île</t>
  </si>
  <si>
    <t>Christine DORVAL</t>
  </si>
  <si>
    <t>Frédéric
BILODEAU</t>
  </si>
  <si>
    <t>46.767199</t>
  </si>
  <si>
    <t>-71.546682</t>
  </si>
  <si>
    <t>Présence d'un garage et d'une cabane à sucre</t>
  </si>
  <si>
    <t>Conrad RHÉAUME</t>
  </si>
  <si>
    <t>Érik LÉTOURNEAU</t>
  </si>
  <si>
    <t>route du President-Kennedy
Scott</t>
  </si>
  <si>
    <t>46.525604</t>
  </si>
  <si>
    <t>-71.053981</t>
  </si>
  <si>
    <t>Jean RIVARD, Paule RIVARD</t>
  </si>
  <si>
    <t>ATOCA G.C. PRINCE INC</t>
  </si>
  <si>
    <t>4 309 117, 4 309 116</t>
  </si>
  <si>
    <t>Rang Isidore-Blier, Princeville</t>
  </si>
  <si>
    <t>46.282681</t>
  </si>
  <si>
    <t xml:space="preserve"> -71.916931</t>
  </si>
  <si>
    <t xml:space="preserve">enclavé, en zone inondable et presence de marècage, </t>
  </si>
  <si>
    <t>Martial DEVAULT</t>
  </si>
  <si>
    <t>André BEAULIEU, Marie-Claude PELLETIER</t>
  </si>
  <si>
    <t>1er Rang Nord</t>
  </si>
  <si>
    <t>46.638674</t>
  </si>
  <si>
    <t>-72.207114</t>
  </si>
  <si>
    <t>Remembrement</t>
  </si>
  <si>
    <t>Yvan ROY, Gilles ROY</t>
  </si>
  <si>
    <t>Stéphane RATTÉ</t>
  </si>
  <si>
    <t>Beauceville</t>
  </si>
  <si>
    <t>rang de la Chapelle
Beauceville</t>
  </si>
  <si>
    <t>46.275851</t>
  </si>
  <si>
    <t>-70.721732</t>
  </si>
  <si>
    <t>Lot acheté par un acériculteur</t>
  </si>
  <si>
    <t>Yvan GOULET</t>
  </si>
  <si>
    <t>9477-5004 QUÉBEC INC (David PRUD’HOMME MONTPETIT)</t>
  </si>
  <si>
    <t>45.458403</t>
  </si>
  <si>
    <t>-71.866592</t>
  </si>
  <si>
    <t>Servitude de passage, enclavé</t>
  </si>
  <si>
    <t>Marcel PAQUETTE, 
Caroline DESAUTELS</t>
  </si>
  <si>
    <t>TEKNIVEK INC.</t>
  </si>
  <si>
    <t>5 535 882</t>
  </si>
  <si>
    <t>chemin Saint-Cyr</t>
  </si>
  <si>
    <t>10.1 ha d'acéricole</t>
  </si>
  <si>
    <t>Sébastien HOULE, Richard HOULE</t>
  </si>
  <si>
    <t>Transport et excavation Michel COUTURE &amp; fils inc.</t>
  </si>
  <si>
    <t>6 077 777</t>
  </si>
  <si>
    <t>Les sources</t>
  </si>
  <si>
    <t>Ham-sud</t>
  </si>
  <si>
    <t>Route 257 O</t>
  </si>
  <si>
    <t>Jean-Paul MÉNARD, Marielle MÉNARD, Ghislaine MÉNARD, Roxanne CHRÉTIEN, Simon CHRÉTIEN</t>
  </si>
  <si>
    <t>Corneliu CHELBA, Daniela TRANDAFIR,</t>
  </si>
  <si>
    <t>1 543 526</t>
  </si>
  <si>
    <t>Vaudreuil-soulanges</t>
  </si>
  <si>
    <t>Vaudreuil-Dorion</t>
  </si>
  <si>
    <t>légère pente</t>
  </si>
  <si>
    <t>Denise CARETTE</t>
  </si>
  <si>
    <t>ROBERT GRENIER ET ASSOCIÉS INC</t>
  </si>
  <si>
    <t>Saint-Séverin</t>
  </si>
  <si>
    <t>1480, 4e Rang
Saint-Séverin</t>
  </si>
  <si>
    <t>46.303330</t>
  </si>
  <si>
    <t>-71.082114</t>
  </si>
  <si>
    <t>Louis-Marie-OUELLET</t>
  </si>
  <si>
    <t>Jonathan SIMARD</t>
  </si>
  <si>
    <t>Terrains brullis et dénudés pour l'agriculture</t>
  </si>
  <si>
    <t>LIONEL FORTIN</t>
  </si>
  <si>
    <t>9391-0131 QUÉBEC INC.</t>
  </si>
  <si>
    <t> 1 825 285 </t>
  </si>
  <si>
    <t>Sainte Christine</t>
  </si>
  <si>
    <t>Chimin Witty, Sainte Christine</t>
  </si>
  <si>
    <t>45.564737</t>
  </si>
  <si>
    <t>-72.394945</t>
  </si>
  <si>
    <t>Bertrand RIVARD</t>
  </si>
  <si>
    <t>Francine LARIVIÈRE, Glenn BAKER</t>
  </si>
  <si>
    <t>5 739 458</t>
  </si>
  <si>
    <t>Kingsey Falls</t>
  </si>
  <si>
    <t>Potentiel acériocle, ligne d'hydro au sud de la terre</t>
  </si>
  <si>
    <t>9430-0522 QUÉBEC INC (Sébastien PALARDY)</t>
  </si>
  <si>
    <t>PAPOUSSE INC (Jean- François OSTIGUY, Mélanie OSTIGUY, Marc-André OSTIGUY)</t>
  </si>
  <si>
    <t>4 539 185</t>
  </si>
  <si>
    <t>chemin Grand Bernier, Saint-Blaise-sur-Richelieu</t>
  </si>
  <si>
    <t>-73.293656</t>
  </si>
  <si>
    <t>45.247782</t>
  </si>
  <si>
    <t>85-94</t>
  </si>
  <si>
    <t>157108 (Refus), 161920 (Refus)</t>
  </si>
  <si>
    <t>PRODUITS FORESTIERS BL S.E.N.C. Dominique BEAULIEU</t>
  </si>
  <si>
    <t>Yves GAGNON et Isabel LAMBERT S.E.N.C</t>
  </si>
  <si>
    <t>route des Beaux-Lieux, Saint-Eusèbe</t>
  </si>
  <si>
    <t>47.516400</t>
  </si>
  <si>
    <t>-68.878282</t>
  </si>
  <si>
    <t>60-69%</t>
  </si>
  <si>
    <t>Chemin parcourant le lot, bonne accessibilité</t>
  </si>
  <si>
    <t>Jean MALO, Sylvie CREVIER</t>
  </si>
  <si>
    <t>Rang 3 
Carleton-sur-Mer</t>
  </si>
  <si>
    <t>48.149038</t>
  </si>
  <si>
    <t>-66.187148</t>
  </si>
  <si>
    <t>Mixte feuillus</t>
  </si>
  <si>
    <r>
      <t> </t>
    </r>
    <r>
      <rPr>
        <b/>
        <sz val="10"/>
        <color theme="1"/>
        <rFont val="Arial"/>
        <family val="2"/>
      </rPr>
      <t>2627-6485 QUÉBEC INC., </t>
    </r>
  </si>
  <si>
    <r>
      <t> </t>
    </r>
    <r>
      <rPr>
        <b/>
        <sz val="10"/>
        <color theme="1"/>
        <rFont val="Arial"/>
        <family val="2"/>
      </rPr>
      <t>Louis ROBERT, Marie BRICAULT</t>
    </r>
  </si>
  <si>
    <r>
      <t> </t>
    </r>
    <r>
      <rPr>
        <sz val="10"/>
        <color theme="1"/>
        <rFont val="Arial"/>
        <family val="2"/>
      </rPr>
      <t>3 608 031 </t>
    </r>
  </si>
  <si>
    <t>Rigaud</t>
  </si>
  <si>
    <t>Bonne superfcie acéricole</t>
  </si>
  <si>
    <t>Claude LAPOINTE, Guillaume LAPOINTE</t>
  </si>
  <si>
    <t>Adam PAGE, Liza BERNIER LANGLOIS</t>
  </si>
  <si>
    <t>Rang 6
Carleton-sur-Mer</t>
  </si>
  <si>
    <t>48.200449</t>
  </si>
  <si>
    <t>-66.093118</t>
  </si>
  <si>
    <t>ALAIN LAGACÉ</t>
  </si>
  <si>
    <t>MICHEL CLAVET, STÉPHANE CLAVET</t>
  </si>
  <si>
    <t>4 208 019, 4 208 018</t>
  </si>
  <si>
    <t>Boischatel</t>
  </si>
  <si>
    <t>Chemin de l'hydro, Boischatel</t>
  </si>
  <si>
    <t>46.937711</t>
  </si>
  <si>
    <t xml:space="preserve"> -71.183739</t>
  </si>
  <si>
    <t>Gino TESOLIN</t>
  </si>
  <si>
    <t>Stéphane TREMBLAY</t>
  </si>
  <si>
    <t>5 438 719, 5 441 086</t>
  </si>
  <si>
    <t>Les Éboulements</t>
  </si>
  <si>
    <t>rang St-Francois
Les Éboulements</t>
  </si>
  <si>
    <t>47.493718</t>
  </si>
  <si>
    <t>-70.404307</t>
  </si>
  <si>
    <t>Pas de chemin d'accés. Enclavé (servitudes de passage).</t>
  </si>
  <si>
    <r>
      <t> </t>
    </r>
    <r>
      <rPr>
        <b/>
        <sz val="10"/>
        <color theme="1"/>
        <rFont val="Arial"/>
        <family val="2"/>
      </rPr>
      <t>Daniel LACHANCE </t>
    </r>
  </si>
  <si>
    <r>
      <t> </t>
    </r>
    <r>
      <rPr>
        <b/>
        <sz val="10"/>
        <color theme="1"/>
        <rFont val="Arial"/>
        <family val="2"/>
      </rPr>
      <t>9182-2064 QUÉBEC INC. </t>
    </r>
  </si>
  <si>
    <t>3 768 961 </t>
  </si>
  <si>
    <t>sainte-apolline-de-patton</t>
  </si>
  <si>
    <t>-70.282317</t>
  </si>
  <si>
    <t>foret de bouleaux à papier, avec essence résineuse, moyennemeny accessible</t>
  </si>
  <si>
    <t>Denis GUIMOND</t>
  </si>
  <si>
    <t>Jonathan AUGER</t>
  </si>
  <si>
    <t>5e Rang ouest
Stoke</t>
  </si>
  <si>
    <t>45.520422</t>
  </si>
  <si>
    <t>-71.870329</t>
  </si>
  <si>
    <t>Sona SAROUKHAN</t>
  </si>
  <si>
    <t>Mgrditch MOURADIAN, Sylva NAHAS</t>
  </si>
  <si>
    <t>3 500 006</t>
  </si>
  <si>
    <t>Saint-Lazare</t>
  </si>
  <si>
    <t>Daniel DANIS</t>
  </si>
  <si>
    <t>Catherine GAGNON et Samuel ROY</t>
  </si>
  <si>
    <t>4 458 906, 6 569 118</t>
  </si>
  <si>
    <t>la rivière-du-nord</t>
  </si>
  <si>
    <t>Saint-colomban</t>
  </si>
  <si>
    <t>980-1068 Chem. 
de la Rivière du N</t>
  </si>
  <si>
    <t>Potentiel acéricole important 22.4ha</t>
  </si>
  <si>
    <t xml:space="preserve">27 873 592 </t>
  </si>
  <si>
    <t>6 552  442</t>
  </si>
  <si>
    <t>FRANCE GOSSELIN</t>
  </si>
  <si>
    <t>ANTOINE MATHIEU</t>
  </si>
  <si>
    <t>5 041 176 </t>
  </si>
  <si>
    <t>Sainte-Clotilde-de-Beauce</t>
  </si>
  <si>
    <t>Route de Tring, Sainte-Clotilde-de-Beauce</t>
  </si>
  <si>
    <t>46.145630</t>
  </si>
  <si>
    <t>-71.033667</t>
  </si>
  <si>
    <t>Yvon CORRIVEAU</t>
  </si>
  <si>
    <t>Sylvie ST-HILAIRE</t>
  </si>
  <si>
    <t>Saint-Vallier</t>
  </si>
  <si>
    <t>montée de la Station
Saint-Vallier</t>
  </si>
  <si>
    <t>46.847647</t>
  </si>
  <si>
    <t>-70.800385</t>
  </si>
  <si>
    <t>Robert COMTOIS</t>
  </si>
  <si>
    <t>Frank LOGAN &amp; FILS INC.</t>
  </si>
  <si>
    <t>6 077 643</t>
  </si>
  <si>
    <t>29.2 ha potentiel acéricole</t>
  </si>
  <si>
    <t>ÉRABLIÈRES BROCHU INC Elden BROCHU</t>
  </si>
  <si>
    <t>ÉRABLIÈRE JDM INC Jason DAMBOISE et Isabelle MICHAUD</t>
  </si>
  <si>
    <t>5005799, 5 006 249, 5 005 800, 5 006 282</t>
  </si>
  <si>
    <t>Esprit-Saint</t>
  </si>
  <si>
    <t>3e Rang de Laroche, à Esprit-Saint</t>
  </si>
  <si>
    <t>Partie sur terre publique avec permis d'intervention</t>
  </si>
  <si>
    <t>27 897 314</t>
  </si>
  <si>
    <t>5 005 799, 5 006 249, 5 005 800, 5 006 282, 07-B-21517, 07-B-21518</t>
  </si>
  <si>
    <t>La Matanie</t>
  </si>
  <si>
    <t>3e Rang de Laroche, Esprit-Saint</t>
  </si>
  <si>
    <t>-67.601307</t>
  </si>
  <si>
    <t>Maison, cabane à sucre 1150 pc, stations de pompage (430 000 $ bâtiments acéricoles, 50 000 $ maison)</t>
  </si>
  <si>
    <t>Équipement complet (560 000 $ acte incluant tubulure)</t>
  </si>
  <si>
    <t>128710 (850 000 $ à l'acte)</t>
  </si>
  <si>
    <t>Sylvain LAFRANCE</t>
  </si>
  <si>
    <t>Josée GAGNON</t>
  </si>
  <si>
    <t>7e Rang, Saint-Guy</t>
  </si>
  <si>
    <t>48.077661</t>
  </si>
  <si>
    <t>-68.784286</t>
  </si>
  <si>
    <t>Chemin traversant le lot. le vendeur se réserve les quarante(40) cordes de bois de chauffage déjà coupées. Servitude de passage.  assujetti à une « convention
d’aménagement forestier » et à un «plan d’aménagement forestier»</t>
  </si>
  <si>
    <t>Camille BLANCHET, Benoit BLANCHET</t>
  </si>
  <si>
    <t>9379-6241 QUÉBEC INC</t>
  </si>
  <si>
    <t>rang des Trente à Saint-Marc-sur-Richelieu</t>
  </si>
  <si>
    <t>45.661306</t>
  </si>
  <si>
    <t>-73.241009</t>
  </si>
  <si>
    <t>servitude de passage, presence de cabanne á sucre</t>
  </si>
  <si>
    <t> LA SOCIÉTÉ EN COMMANDITE CHARLEVOIX CAPITAL, </t>
  </si>
  <si>
    <t> 9327-4835 QUÉBEC INC </t>
  </si>
  <si>
    <t>Baie-Saint-Paul</t>
  </si>
  <si>
    <t>Boulevard Monseigneur-de-Laval, Baie-Saint-Paul</t>
  </si>
  <si>
    <t>47.383816</t>
  </si>
  <si>
    <t>-70.579024</t>
  </si>
  <si>
    <t>elloigné du sujet, proche d'une zone resientiel</t>
  </si>
  <si>
    <t>Denis VEILLETTE</t>
  </si>
  <si>
    <t>GESTION SOLIFOR INC (André Gravel)</t>
  </si>
  <si>
    <t>5 802 305</t>
  </si>
  <si>
    <t>61 778</t>
  </si>
  <si>
    <t>Saint-Adelphe</t>
  </si>
  <si>
    <t>route du Lac-Pierre-Paul, à Saint-Adelphe</t>
  </si>
  <si>
    <t>-72.457642</t>
  </si>
  <si>
    <t xml:space="preserve">23,90
</t>
  </si>
  <si>
    <t>Servitude de passage (fonds dominant)</t>
  </si>
  <si>
    <t>JOSÉE RAJOTTE</t>
  </si>
  <si>
    <t>JEAN PHILIPPE GAGNON SAVARD, JACOB LELCLERC</t>
  </si>
  <si>
    <t>Saint-Zépirin-de-Courval</t>
  </si>
  <si>
    <t>Rue Andrelle, Saint-Zépirin-de-Courval</t>
  </si>
  <si>
    <t>46.045958</t>
  </si>
  <si>
    <t>-72.583576</t>
  </si>
  <si>
    <t>JASMINO SIROP INC</t>
  </si>
  <si>
    <t>ÉRABLIERE LES TROIS MOUSQUETONS INC</t>
  </si>
  <si>
    <t>6 012 686</t>
  </si>
  <si>
    <t>Saint-Jacques-le-Majeur-de-Wolfestown</t>
  </si>
  <si>
    <t>4 e rang, Saint-Jacques-le-Majeur-de-Wolfestown</t>
  </si>
  <si>
    <t>45.945427</t>
  </si>
  <si>
    <t>-71.463932</t>
  </si>
  <si>
    <t>tres accesible, cabane á sucre, contingent de production de 13 740 livres de sirop</t>
  </si>
  <si>
    <t>MANON ET MARCELLIN THERRIEN S.E.N.C.,</t>
  </si>
  <si>
    <t>PASSION AGRICOLE INC</t>
  </si>
  <si>
    <t>Saint-Christophe-d'Arthabaska</t>
  </si>
  <si>
    <t>rang 7 e, Saint-Christophe-d'Arthabaska</t>
  </si>
  <si>
    <t>46.041799</t>
  </si>
  <si>
    <t>-71.843984</t>
  </si>
  <si>
    <t>9000-3153 QUÉBEC INC Léon RAYMOND</t>
  </si>
  <si>
    <t>GESTION IMMOBILIÈRE ISABELLE ROY INC</t>
  </si>
  <si>
    <t>6 182 414, 6 413 313, 6 413 314, 6 413 315, 6 413 316, 6 413 317, 6 413 318, 6 413 319, 6 413 320, 6 413 321</t>
  </si>
  <si>
    <t>Matawinie</t>
  </si>
  <si>
    <t>Saint-Alphonse-Rodriguez</t>
  </si>
  <si>
    <t>46.215633</t>
  </si>
  <si>
    <t>-73.754401</t>
  </si>
  <si>
    <t>Nombreux ruisseaux, enclavé (servitude de passage). Traversé par un chemin. Ligne Hydro-Québec traversant le lot.</t>
  </si>
  <si>
    <t>Audet</t>
  </si>
  <si>
    <t>chemin du Mont-Dostie, Audet</t>
  </si>
  <si>
    <t>45.628645</t>
  </si>
  <si>
    <t>-70.726130</t>
  </si>
  <si>
    <t>27 915 236</t>
  </si>
  <si>
    <t>2 103 072</t>
  </si>
  <si>
    <t>l'Assomption</t>
  </si>
  <si>
    <t>MARK-ANTOINE BÉLANGER</t>
  </si>
  <si>
    <t>MARIO BRODEUR, FRANCINE MARQUIS</t>
  </si>
  <si>
    <t xml:space="preserve">Acton </t>
  </si>
  <si>
    <t>Acton Vale</t>
  </si>
  <si>
    <t>Route 116, Acton Vale</t>
  </si>
  <si>
    <t>45.642155</t>
  </si>
  <si>
    <t>-72.503327</t>
  </si>
  <si>
    <t>Saint-Léon-de-Standon</t>
  </si>
  <si>
    <t>123 Rg Ste-Anne
Saint-Léon-de-Standon</t>
  </si>
  <si>
    <t>46.485231</t>
  </si>
  <si>
    <t>-70.548986</t>
  </si>
  <si>
    <t>Charlotte FORTIN</t>
  </si>
  <si>
    <t>Karl DUQUETTE</t>
  </si>
  <si>
    <t xml:space="preserve"> Baie-Saint-Paul</t>
  </si>
  <si>
    <t>rang Saint-Gabriel-de-Pérou Nord
 Baie-Saint-Paul</t>
  </si>
  <si>
    <t>47.475421</t>
  </si>
  <si>
    <t>-70.572312</t>
  </si>
  <si>
    <t>partiel</t>
  </si>
  <si>
    <t>Accessible.</t>
  </si>
  <si>
    <t>096077 (autorisation lac artificiel et chalet)</t>
  </si>
  <si>
    <t>Sylvain SAVARD, Marie-Hélène TREMBLAY</t>
  </si>
  <si>
    <t>47.786833</t>
  </si>
  <si>
    <t>-69.977949</t>
  </si>
  <si>
    <t>pas de potentiel acéricole, pas d'erable</t>
  </si>
  <si>
    <t>Claude PERRON</t>
  </si>
  <si>
    <t>Isabelle GAMELIN</t>
  </si>
  <si>
    <t>Baie-du-Febvre</t>
  </si>
  <si>
    <t>Chemin du Pays-Brûlé
Baie-du-Febvre</t>
  </si>
  <si>
    <t>46.085375</t>
  </si>
  <si>
    <t>-72.726880</t>
  </si>
  <si>
    <t>GESTION NELSON GRENIER INC</t>
  </si>
  <si>
    <t>René RHÉAUME</t>
  </si>
  <si>
    <t>Sainte-Marie</t>
  </si>
  <si>
    <t>rang Saint-Étienne Nord
Sainte-Marie</t>
  </si>
  <si>
    <t>46.451050</t>
  </si>
  <si>
    <t>-71.078469</t>
  </si>
  <si>
    <t>enclavé,presence de batiments</t>
  </si>
  <si>
    <t>Marcel GAUDREAULT</t>
  </si>
  <si>
    <t>Jean-Francois DEMERS</t>
  </si>
  <si>
    <t>rang Saint-Antoine Nord
Baie-
Saint-Paul</t>
  </si>
  <si>
    <t>47.410633</t>
  </si>
  <si>
    <t>-70.565606</t>
  </si>
  <si>
    <t>Servitude de passage et d'aqueduc. Forme allongée.</t>
  </si>
  <si>
    <t>Nicolas BOUCHARD, Myriam LEBRUN</t>
  </si>
  <si>
    <t>47.793614</t>
  </si>
  <si>
    <t>-69.961347</t>
  </si>
  <si>
    <t>JACQUES TREMBLAY</t>
  </si>
  <si>
    <t>DOMINIK MATHIEU</t>
  </si>
  <si>
    <t>4 439 112, 4 639 482, 4 439 123</t>
  </si>
  <si>
    <t>L'Ange-Gardien</t>
  </si>
  <si>
    <t>Rue de la rivière, L'Ange-Gardien</t>
  </si>
  <si>
    <t>46.989524</t>
  </si>
  <si>
    <t>-71.137615</t>
  </si>
  <si>
    <t>enclavé et un lot est detaché</t>
  </si>
  <si>
    <t>Guy GAGNON, Diane ROCHETTE</t>
  </si>
  <si>
    <t>Stéphane BEAUDOIN, Julie GENEST</t>
  </si>
  <si>
    <t>3 055 998, 3 056 750</t>
  </si>
  <si>
    <t>Rang Petit-Capsa, à Saint-Augustin-de-Desmaures</t>
  </si>
  <si>
    <t>46.766464</t>
  </si>
  <si>
    <t>-71.576279</t>
  </si>
  <si>
    <t>Passage d'une ligne Hydro-Québec</t>
  </si>
  <si>
    <t>357556 (construction ligne électrique)</t>
  </si>
  <si>
    <t>STÉPHANE REHEL</t>
  </si>
  <si>
    <t>MATHIEU BRASSEUR</t>
  </si>
  <si>
    <t>Wickham</t>
  </si>
  <si>
    <t>Rang 10e, Wickham</t>
  </si>
  <si>
    <t>45.781730</t>
  </si>
  <si>
    <t>-72.553828</t>
  </si>
  <si>
    <t>SUCCESSION DE JACQUELINE NADEAU</t>
  </si>
  <si>
    <t>Sabrina PERRON, Sébastien MARTINEAU</t>
  </si>
  <si>
    <t>4 307 805, 4 309 499</t>
  </si>
  <si>
    <t>Rang Isidore-lier, Princeville</t>
  </si>
  <si>
    <t>46.295215</t>
  </si>
  <si>
    <t>-71.886170</t>
  </si>
  <si>
    <t>Pres d'un cours d'eau, presence de bâtiments, pas completement boisée</t>
  </si>
  <si>
    <t>FERME F. FONTAINE SENC</t>
  </si>
  <si>
    <t>ISABELLE PARENT</t>
  </si>
  <si>
    <t>Rand Saint-Michel</t>
  </si>
  <si>
    <t>46.039292</t>
  </si>
  <si>
    <t>-72.655928</t>
  </si>
  <si>
    <t>tres accesible</t>
  </si>
  <si>
    <t>Jean MORISSETTE</t>
  </si>
  <si>
    <t>Carl GENDREAU, Marie-Anne COUTURE</t>
  </si>
  <si>
    <t>4 896 889</t>
  </si>
  <si>
    <t>Saint-Basile</t>
  </si>
  <si>
    <t>Petite cabane sur la propriété, enclavée</t>
  </si>
  <si>
    <t>Marc LÉVESQUE</t>
  </si>
  <si>
    <t>Stéphane LARRIVÉE</t>
  </si>
  <si>
    <t>47.862550</t>
  </si>
  <si>
    <t>-69.872191</t>
  </si>
  <si>
    <t>27 951 014</t>
  </si>
  <si>
    <t>6 379 307, 4 891 758</t>
  </si>
  <si>
    <t>François Tétreault</t>
  </si>
  <si>
    <t>Marie-Pierre Cayer,</t>
  </si>
  <si>
    <t>Inverness</t>
  </si>
  <si>
    <t>chemin Hamilton, Inverness</t>
  </si>
  <si>
    <t>46.227875</t>
  </si>
  <si>
    <t>-71.519637</t>
  </si>
  <si>
    <t>totalement en zone inondable et presence de marècage</t>
  </si>
  <si>
    <t>9231-2156 QUÉBEC INC</t>
  </si>
  <si>
    <t>9480-8706 QUÉBEC INC</t>
  </si>
  <si>
    <t>4 905 054</t>
  </si>
  <si>
    <t>Warwick</t>
  </si>
  <si>
    <t>Érable et reboisé sur la propriété</t>
  </si>
  <si>
    <t>Richard BOISCLAIR</t>
  </si>
  <si>
    <t>Patrick LACOURSE, Marie-Ève BUREAU</t>
  </si>
  <si>
    <t>Chemin Coutu
Stoke</t>
  </si>
  <si>
    <t>45.503084</t>
  </si>
  <si>
    <t>-71.776622</t>
  </si>
  <si>
    <t>Abri forestier</t>
  </si>
  <si>
    <t>Mohamed Hani SOUROUR</t>
  </si>
  <si>
    <t>Joël LEGAULT,</t>
  </si>
  <si>
    <t>4 670 534</t>
  </si>
  <si>
    <t>le-haut-st-laurent</t>
  </si>
  <si>
    <t>saint-anicet</t>
  </si>
  <si>
    <t>Pas d epotentiel acéricole, en bordure de rvière</t>
  </si>
  <si>
    <t>Maurice LEGAULT</t>
  </si>
  <si>
    <t>GESTION IMMOBILIÈRE STAYDEL INC (Raphaël AUBÉ)</t>
  </si>
  <si>
    <t>4660336, 1876428, 1 876 429, 1 876 430, 1496258</t>
  </si>
  <si>
    <t>chemin du Coteau
Lac-Beauport</t>
  </si>
  <si>
    <t>46.996441</t>
  </si>
  <si>
    <t>-71.322468</t>
  </si>
  <si>
    <t>50-59%</t>
  </si>
  <si>
    <t>Julienne LAMONDE</t>
  </si>
  <si>
    <t>Dany CORRIVEAU</t>
  </si>
  <si>
    <t>3 475 480, 3 475 763,
 3 475 820</t>
  </si>
  <si>
    <t>Saint-francois-de-la-rivière-
du-sud</t>
  </si>
  <si>
    <t>187-53 Chem. Des
 Prairies O</t>
  </si>
  <si>
    <t>Bruno ROY, Maryse DAIGLE</t>
  </si>
  <si>
    <t>Karine THIBODEAU</t>
  </si>
  <si>
    <t>Nicolet</t>
  </si>
  <si>
    <t>46.172790</t>
  </si>
  <si>
    <t>-72.593273</t>
  </si>
  <si>
    <t>Lucien BOIVIN</t>
  </si>
  <si>
    <t>Rosaline DUFOUR</t>
  </si>
  <si>
    <t>3 622 686, 3 624 483, 3 624 484</t>
  </si>
  <si>
    <t>rang de Saint-Placide Nord
 Baie-Saint-Paul</t>
  </si>
  <si>
    <t>47.490042</t>
  </si>
  <si>
    <t>-70.607543</t>
  </si>
  <si>
    <t>Traversé par une rivière, difficilement accessible</t>
  </si>
  <si>
    <t>Yves BOUCHER</t>
  </si>
  <si>
    <t>Michel COUTURE</t>
  </si>
  <si>
    <t>6 077 776</t>
  </si>
  <si>
    <t>Marco TOULOUSE</t>
  </si>
  <si>
    <t>Marie-Marthe ROY, Denis ROY</t>
  </si>
  <si>
    <t>rang Sainte-Catherine
Beauceville</t>
  </si>
  <si>
    <t>46.204757</t>
  </si>
  <si>
    <t>-70.865336</t>
  </si>
  <si>
    <t>Lot traversé par 2 lignes haute-tension</t>
  </si>
  <si>
    <t>Marine MODÉRIE,
Donald BROWN</t>
  </si>
  <si>
    <t>Richard HAMILTON</t>
  </si>
  <si>
    <t>5 082 469</t>
  </si>
  <si>
    <t>Argenteuil</t>
  </si>
  <si>
    <t>Gore</t>
  </si>
  <si>
    <t>57-71 Chem. 
de Shrewsbury</t>
  </si>
  <si>
    <t>Frédérik Marcoux</t>
  </si>
  <si>
    <t>Les Placements MLR Inc.</t>
  </si>
  <si>
    <t>Sainte-Sophie-d'Halifax</t>
  </si>
  <si>
    <t>Rang 2, Sainte-Sophie-d'Halifax</t>
  </si>
  <si>
    <t>46.105347</t>
  </si>
  <si>
    <t>-71.709460</t>
  </si>
  <si>
    <t>Accessible, resineux</t>
  </si>
  <si>
    <t>Josée ARCHAMBAULT</t>
  </si>
  <si>
    <t>FERME VIAGRICO INC</t>
  </si>
  <si>
    <t>45.742443</t>
  </si>
  <si>
    <t>-73.214179</t>
  </si>
  <si>
    <t>Monsieur Gilles DESHAIES, Monsieur Gaston DESHAIES</t>
  </si>
  <si>
    <t>Monsieur Gaétan LIZOTTE</t>
  </si>
  <si>
    <t>Rang lizotte, Saint-Norbert-d'Arthabaska</t>
  </si>
  <si>
    <t>46.075293</t>
  </si>
  <si>
    <t>-71.702570</t>
  </si>
  <si>
    <t>Nellie RABY-GAUTHIER, Nicholas NACCARATA</t>
  </si>
  <si>
    <t>Émile BARBEAU, Maya MAHEU</t>
  </si>
  <si>
    <t>6 549 330, 6 549 331</t>
  </si>
  <si>
    <t>Chemin du Monc-Grand-Pic, Ripon</t>
  </si>
  <si>
    <t>45.792027</t>
  </si>
  <si>
    <t>-75.161336</t>
  </si>
  <si>
    <t>presence de lac</t>
  </si>
  <si>
    <t>Fiducie Sonia SAVARD</t>
  </si>
  <si>
    <t>Conservation de la nature - Québec</t>
  </si>
  <si>
    <t>3926558, 4175605</t>
  </si>
  <si>
    <t>Chemin du Roy</t>
  </si>
  <si>
    <t>46.58577</t>
  </si>
  <si>
    <t>-72.103389</t>
  </si>
  <si>
    <t>Accès par servitude de passage</t>
  </si>
  <si>
    <t>Jean-Noël PARADIS</t>
  </si>
  <si>
    <t>Martin-Olivier SAUCIER</t>
  </si>
  <si>
    <t>5 170 253, 5 170 237</t>
  </si>
  <si>
    <t>Saint-Joseph-de-Kamouraska</t>
  </si>
  <si>
    <t>rang 9eme, Saint-Joseph-de-Kamouraska</t>
  </si>
  <si>
    <t>47.558217</t>
  </si>
  <si>
    <t>-69.586568</t>
  </si>
  <si>
    <t>une partie en zone inondable</t>
  </si>
  <si>
    <t>François Dufour</t>
  </si>
  <si>
    <t>ÉRABLIÈRE ORIGINE INC</t>
  </si>
  <si>
    <t>5 659 264, 5 661 178</t>
  </si>
  <si>
    <t>Laurierville</t>
  </si>
  <si>
    <t>Rang 6, Laurierville</t>
  </si>
  <si>
    <t>46.287606</t>
  </si>
  <si>
    <t>-71.708888</t>
  </si>
  <si>
    <t>zone humide (tourbière), presence de cabane à sucre</t>
  </si>
  <si>
    <t>Sylvain MERCIER</t>
  </si>
  <si>
    <t>Guillaume BEAUDOIN</t>
  </si>
  <si>
    <t>Notre-Dame-du-Sacré-Cœur-d'Issoudun</t>
  </si>
  <si>
    <t>rang Pierriche
Ouest
Notre-Dame-du-Sacré-Cœur-d'Issoudun</t>
  </si>
  <si>
    <t>46.553277</t>
  </si>
  <si>
    <t>-71.615958</t>
  </si>
  <si>
    <t>FERME LE PATRIOTE S.E.N.C.</t>
  </si>
  <si>
    <t>GESTION NMPB INC.</t>
  </si>
  <si>
    <t>5 112 438, 5 112 851</t>
  </si>
  <si>
    <t>potentiel acéricole, chemin passant sur la terre (nord et sud)</t>
  </si>
  <si>
    <t>Monsieur Martial Tremblay</t>
  </si>
  <si>
    <t>Monsieur Nicolas Grancher</t>
  </si>
  <si>
    <t>Rang Saint-Jerôme, Baie-Saint-Paule</t>
  </si>
  <si>
    <t>47.494322</t>
  </si>
  <si>
    <t>-70.545998</t>
  </si>
  <si>
    <t>pas de potentiel acéricole, tres accecible</t>
  </si>
  <si>
    <t>2 489 855, 4 868 330, 4 868  329</t>
  </si>
  <si>
    <t>Adrien ROUSSEAU</t>
  </si>
  <si>
    <t>47.944655</t>
  </si>
  <si>
    <t>-68.550419</t>
  </si>
  <si>
    <t>Bonne accessibilité. Art. 59 sur la partie de lot en front sur 8e rang Est</t>
  </si>
  <si>
    <t>Kurt MCCARTNEY</t>
  </si>
  <si>
    <t>Dominique MAHÉ</t>
  </si>
  <si>
    <t>1 829 070, 1 829 071</t>
  </si>
  <si>
    <t>Chemin des Monts
Stoneham-et-Tewkesbury</t>
  </si>
  <si>
    <t>47.030851</t>
  </si>
  <si>
    <t>-71.431942</t>
  </si>
  <si>
    <t>forte pente</t>
  </si>
  <si>
    <t>28 090 232</t>
  </si>
  <si>
    <t>Francine MARTEL</t>
  </si>
  <si>
    <t>Nancy CLOUTIER</t>
  </si>
  <si>
    <t>4 249 407</t>
  </si>
  <si>
    <t>Memphrémagog</t>
  </si>
  <si>
    <t>ainte-catherine-de-hatley</t>
  </si>
  <si>
    <t>acessible, majoritairement feuillus</t>
  </si>
  <si>
    <t>Maurice DUFOUR</t>
  </si>
  <si>
    <t>Daniel HARVEY, Gabriel FORTIN-HARVEY</t>
  </si>
  <si>
    <t>5 400 667, 6 045 070, 6 045 069</t>
  </si>
  <si>
    <t>Rang Sainte-Mathilde Est, La Malbaie</t>
  </si>
  <si>
    <t>47.704553</t>
  </si>
  <si>
    <t>-70.090163</t>
  </si>
  <si>
    <t>Bruno PELLETIER</t>
  </si>
  <si>
    <t>9433-1147 QUÉBEC INC Marco LAUZIER</t>
  </si>
  <si>
    <t>5 005 957, 5 006 326, 5 006 334</t>
  </si>
  <si>
    <t>4e Rang, Saint-Guy</t>
  </si>
  <si>
    <t>47.989267</t>
  </si>
  <si>
    <t>-68.82045</t>
  </si>
  <si>
    <t>Bonne desserte interne</t>
  </si>
  <si>
    <t>FORESTERIE B M I INC Clément FOURNIER</t>
  </si>
  <si>
    <t>Daniel GIROUX Martine FOURNIER</t>
  </si>
  <si>
    <t>Saint-Jean-de-la-Lande</t>
  </si>
  <si>
    <t>route 289, à Saint-Jean-de-la-Lande</t>
  </si>
  <si>
    <t>47.379675</t>
  </si>
  <si>
    <t>-68.754700</t>
  </si>
  <si>
    <t>ANNY GENDRON</t>
  </si>
  <si>
    <t>DANY DUFOUR, JACINTHE DION</t>
  </si>
  <si>
    <t>5 773 855, 5 773 885</t>
  </si>
  <si>
    <t>45.782578</t>
  </si>
  <si>
    <t>-72.555396</t>
  </si>
  <si>
    <t>Presence probable de cabane a sucre</t>
  </si>
  <si>
    <t>28 119 606</t>
  </si>
  <si>
    <t>4 698 527</t>
  </si>
  <si>
    <t>Hugo NOISEUX</t>
  </si>
  <si>
    <t>GESTION DANIEL GRENIER INC</t>
  </si>
  <si>
    <t>Le-Haut-Saint-François</t>
  </si>
  <si>
    <t>Ascot Corner</t>
  </si>
  <si>
    <t>45.483339</t>
  </si>
  <si>
    <t>-71.763791</t>
  </si>
  <si>
    <t>Servitude de passage, enclavé. Chemin, 2 étangs</t>
  </si>
  <si>
    <t>ENTREPRISES DEJRO INC.</t>
  </si>
  <si>
    <t>BEDD LOCATION INC.</t>
  </si>
  <si>
    <t>4 583 227, 4 914 403</t>
  </si>
  <si>
    <t>Route de Saint-Achillé, Chateau Richer</t>
  </si>
  <si>
    <t>47.083384</t>
  </si>
  <si>
    <t>-71.030581</t>
  </si>
  <si>
    <t>Vincent OTTONI</t>
  </si>
  <si>
    <t>Joël McKENZIE</t>
  </si>
  <si>
    <t>5 483 636</t>
  </si>
  <si>
    <t>franklin</t>
  </si>
  <si>
    <t>100% de pourcentage acéricole, petit immeuble sur la proorpiété</t>
  </si>
  <si>
    <t>128293 CANADA INC. Jean St-Pierre</t>
  </si>
  <si>
    <t>9150-8986 QUÉBEC INC Éric Deschênes</t>
  </si>
  <si>
    <t>5 530 221, 5 530 222</t>
  </si>
  <si>
    <t>Rawdon</t>
  </si>
  <si>
    <t>Rue Overdale, Rawdon</t>
  </si>
  <si>
    <t>46.075424</t>
  </si>
  <si>
    <t>-73.739846</t>
  </si>
  <si>
    <t>Terre desservie par 3 voies publiques, secteur Sud situé en continuité d'un développement résidentiel</t>
  </si>
  <si>
    <t xml:space="preserve">Harold TREMBLAY, </t>
  </si>
  <si>
    <t>Caroline DIONNE,</t>
  </si>
  <si>
    <t>rue Granier, Pointe-Lebel</t>
  </si>
  <si>
    <t>49.151024</t>
  </si>
  <si>
    <t> -68.197233</t>
  </si>
  <si>
    <t> Lucie BEAUCHAMP </t>
  </si>
  <si>
    <t> Jean-Carl BELLEY </t>
  </si>
  <si>
    <t> 5 438 698 </t>
  </si>
  <si>
    <t>Route du Fleuve, les Éboulements</t>
  </si>
  <si>
    <t>47.468734</t>
  </si>
  <si>
    <t>-70.423263</t>
  </si>
  <si>
    <t>ÉRABLIÈRE LA GRANDE COULÉE 1998 INC</t>
  </si>
  <si>
    <t>GESTION ÉRIC NOLETTE INC.,</t>
  </si>
  <si>
    <t>5 661 044, 5 660 526</t>
  </si>
  <si>
    <t>1er Rang, Inverness</t>
  </si>
  <si>
    <t>46.177892</t>
  </si>
  <si>
    <t>-71.536989</t>
  </si>
  <si>
    <t>accesible, presence de bâtiments et de zone humide (marècage)</t>
  </si>
  <si>
    <t>Rang 1 Rolette
Saint-Paul-de-Montminy</t>
  </si>
  <si>
    <t>46.674085</t>
  </si>
  <si>
    <t>-70.287886</t>
  </si>
  <si>
    <t>9357-3160 QUÉBEC INC Frédéric Allard</t>
  </si>
  <si>
    <t>Marguerite GAGNÉ</t>
  </si>
  <si>
    <t>Mario DION</t>
  </si>
  <si>
    <t>4 896 664</t>
  </si>
  <si>
    <t>73 Grand rang</t>
  </si>
  <si>
    <t>plat</t>
  </si>
  <si>
    <t>bonne accessibilité, petit bâtiment sur la propriété</t>
  </si>
  <si>
    <t>FIDUCIE FAMILIALE AUDET VACHON 2023</t>
  </si>
  <si>
    <t>GESTION ROBERT ROUSSEAU INC et 9201-3010 QUÉBEC INC (Éric TOURVILLE)</t>
  </si>
  <si>
    <t>Boulevard Talbot
Stoneham-et-Tewkesbury</t>
  </si>
  <si>
    <t>47.044509</t>
  </si>
  <si>
    <t>-71.348091</t>
  </si>
  <si>
    <t>Ligne Hydro-Québec. Enclavé, servitude de passage</t>
  </si>
  <si>
    <t>J.P. LÉONARD INC.</t>
  </si>
  <si>
    <t>9347-9988 QUÉBEC INC.</t>
  </si>
  <si>
    <t>6 560 916</t>
  </si>
  <si>
    <t>potentiel acéricole, enclavée</t>
  </si>
  <si>
    <t>France DUBÉ</t>
  </si>
  <si>
    <t>9472-1420 QUÉBEC INC Serge DUBÉ</t>
  </si>
  <si>
    <t>route du 7e Rang,
Packington</t>
  </si>
  <si>
    <t>47.441400</t>
  </si>
  <si>
    <t>-68.750435</t>
  </si>
  <si>
    <t>Bonne accessiblilité</t>
  </si>
  <si>
    <t>LA SOCIÉTÉ IMMOBILIÈRE 
LES ARPENTS VERTS INC</t>
  </si>
  <si>
    <t>2 078 608</t>
  </si>
  <si>
    <t>409-391 Rue 
du Tour du Lac</t>
  </si>
  <si>
    <t>Carl NADEAU</t>
  </si>
  <si>
    <t>LE PETIT QUÉBEC SUCRÉ INC</t>
  </si>
  <si>
    <t>Saint-Jacques-de-Leeds</t>
  </si>
  <si>
    <t>10 e rang, Saint-Jacques-de-Leeds</t>
  </si>
  <si>
    <t>46.280760</t>
  </si>
  <si>
    <t>-71.317938</t>
  </si>
  <si>
    <t>très accecible, presence de cabane à sucre, +-5100 entailles, Contingent de sirop de 23 651 livres</t>
  </si>
  <si>
    <t>Henri D'AUTEUIL</t>
  </si>
  <si>
    <t>Gisèle RIOUX, Ghislain OUELLET</t>
  </si>
  <si>
    <t>5 840 376 </t>
  </si>
  <si>
    <t>Grande Ligne, Saint-Clément</t>
  </si>
  <si>
    <t>47.908163</t>
  </si>
  <si>
    <t>-69.050205</t>
  </si>
  <si>
    <t>Resineux, pas de potentiel acéricole</t>
  </si>
  <si>
    <t>Monsieur Jules BELLAVANCE</t>
  </si>
  <si>
    <t>L'ÉRABLIÈRE M.J.S. FORTIER INC</t>
  </si>
  <si>
    <t>Sainte-Hélène-de-Chester</t>
  </si>
  <si>
    <t>rang 5e, Sainte-Hélène-de-Chester</t>
  </si>
  <si>
    <t>46.022308</t>
  </si>
  <si>
    <t xml:space="preserve"> -71.757763</t>
  </si>
  <si>
    <t>Francine GERMAIN</t>
  </si>
  <si>
    <t>Réjean LECLERC</t>
  </si>
  <si>
    <t>6 551 063</t>
  </si>
  <si>
    <t>Terre enclavée, potentiel acéricole</t>
  </si>
  <si>
    <t>ÉRABLIÈRE LA RÉSERVE INC.,</t>
  </si>
  <si>
    <r>
      <t>route du 7</t>
    </r>
    <r>
      <rPr>
        <i/>
        <sz val="8"/>
        <color theme="1"/>
        <rFont val="Helvetica"/>
        <family val="2"/>
      </rPr>
      <t>e</t>
    </r>
    <r>
      <rPr>
        <i/>
        <sz val="12"/>
        <color theme="1"/>
        <rFont val="Helvetica"/>
        <family val="2"/>
      </rPr>
      <t>-Rang</t>
    </r>
  </si>
  <si>
    <t>montagne</t>
  </si>
  <si>
    <t> Monsieur Noël DIONNE </t>
  </si>
  <si>
    <t> Monsieur Charles SOUCY </t>
  </si>
  <si>
    <t>5 169 796, 5 169 823, 5 169 795</t>
  </si>
  <si>
    <t>rang 6eme, Saint-Joseph-de-Kamouraska</t>
  </si>
  <si>
    <t>47.619823</t>
  </si>
  <si>
    <t>-69.586904</t>
  </si>
  <si>
    <t>Daniel MÉNARD</t>
  </si>
  <si>
    <t>Cindy FORTIN</t>
  </si>
  <si>
    <t>Rang Saint-Antoine Nord, Baie-Saint-Paul</t>
  </si>
  <si>
    <t>47.442077</t>
  </si>
  <si>
    <t>-70.585681</t>
  </si>
  <si>
    <t>pas de potentiel acéricole, enclavé</t>
  </si>
  <si>
    <t>28 242 281</t>
  </si>
  <si>
    <t>2 362  846</t>
  </si>
  <si>
    <t>Daniel PRUNEAU</t>
  </si>
  <si>
    <t>Mark MARKARIAN,Annie QUIMPER</t>
  </si>
  <si>
    <t>6 477 718</t>
  </si>
  <si>
    <t>39-25 5e Av</t>
  </si>
  <si>
    <t>potentiel acéricole, lot forme inhabituelle</t>
  </si>
  <si>
    <t>Yvan et Claude ROMPRE</t>
  </si>
  <si>
    <t>Pierre GRAVEL</t>
  </si>
  <si>
    <t>46.607096</t>
  </si>
  <si>
    <t>-72.161667</t>
  </si>
  <si>
    <t>LES SUCRERIES PAQUETTE
 ET FILS.</t>
  </si>
  <si>
    <t>Carl PAQUETTE et Robin PAQUETTE</t>
  </si>
  <si>
    <t>6167755 et 6167756</t>
  </si>
  <si>
    <t>13e rang</t>
  </si>
  <si>
    <t>Résidence sur la propriété</t>
  </si>
  <si>
    <t>28 259 367</t>
  </si>
  <si>
    <t>Viateur EBACHER</t>
  </si>
  <si>
    <t>9078-5205 QUÉBEC INC (Mario GRIMARD)</t>
  </si>
  <si>
    <t>5 803 413, 5 803 632</t>
  </si>
  <si>
    <t>Saint-Prosper-de-
Champlain</t>
  </si>
  <si>
    <t>46.644977</t>
  </si>
  <si>
    <t>-72.311837</t>
  </si>
  <si>
    <t>Lucie D'AMOURS</t>
  </si>
  <si>
    <t>Serge BARIBEAU</t>
  </si>
  <si>
    <t>47.455094</t>
  </si>
  <si>
    <t>-70.429030</t>
  </si>
  <si>
    <t>près d'une zone residentiel, pas de potentiel acéricole</t>
  </si>
  <si>
    <t>Fernand BERNARD, Véronique AUDETTE</t>
  </si>
  <si>
    <t>Zacharie BERNARD</t>
  </si>
  <si>
    <t>La Présentation</t>
  </si>
  <si>
    <t>Rang Salavil Nord, La Présentation</t>
  </si>
  <si>
    <t>45.692572</t>
  </si>
  <si>
    <t xml:space="preserve"> -73.077285</t>
  </si>
  <si>
    <t>28 269 088</t>
  </si>
  <si>
    <t>6 531 625, 6 531 624</t>
  </si>
  <si>
    <t>Carol TANGUAY</t>
  </si>
  <si>
    <t>Michel GRANCHER</t>
  </si>
  <si>
    <t>Rue des Luncos, Baie-Saint-Paul</t>
  </si>
  <si>
    <t>47.496514</t>
  </si>
  <si>
    <t>-70.579082</t>
  </si>
  <si>
    <t>ÉLISABETH DIONNE, FRANÇOIS CHAREST</t>
  </si>
  <si>
    <t>BILL PILON, SAMUEL BRASSARD</t>
  </si>
  <si>
    <t>5 426 603 </t>
  </si>
  <si>
    <t>Rue de Holliday, Mont-Carmel</t>
  </si>
  <si>
    <t>47.345606</t>
  </si>
  <si>
    <t>-69.795820</t>
  </si>
  <si>
    <t>FERME J.E.S. POULIOT INC</t>
  </si>
  <si>
    <t xml:space="preserve">Philippe MORIN, </t>
  </si>
  <si>
    <t>Saint-Gervais</t>
  </si>
  <si>
    <t>2e Rang Est</t>
  </si>
  <si>
    <t>Benoit GAGNON</t>
  </si>
  <si>
    <t>Myriam FAUTEUX</t>
  </si>
  <si>
    <t>48.145993</t>
  </si>
  <si>
    <t>-66.245049</t>
  </si>
  <si>
    <t>Lucille LAGANIERE</t>
  </si>
  <si>
    <t>Jeffrey BEDARD</t>
  </si>
  <si>
    <t>4176025,3927048,3927201</t>
  </si>
  <si>
    <t xml:space="preserve"> 46.65061</t>
  </si>
  <si>
    <t>-72.194755</t>
  </si>
  <si>
    <t>Zone inondée = 2,8 ha</t>
  </si>
  <si>
    <t>28 283 455</t>
  </si>
  <si>
    <t>Lucille LAGANIÈRE</t>
  </si>
  <si>
    <t>Jeffrey BÉDARD</t>
  </si>
  <si>
    <t>4 176 025, 3 927 048, 3 927 201</t>
  </si>
  <si>
    <t>Sainte-Anne-de-la-Pérade</t>
  </si>
  <si>
    <t>rang Du Rapide Nord à Sainte-Anne-de-la-Pérade</t>
  </si>
  <si>
    <t>-72.193357</t>
  </si>
  <si>
    <t>Secteur inondé 2,8 ha</t>
  </si>
  <si>
    <t>9226-5024 QUÉBEC INC Carl CHARRON</t>
  </si>
  <si>
    <t>ÉRABLIÈRE GAÉTAN ÉMOND INC André MORIN</t>
  </si>
  <si>
    <t>5 006 049, 5 006 293</t>
  </si>
  <si>
    <t>48.068344</t>
  </si>
  <si>
    <t>-68.796403</t>
  </si>
  <si>
    <t>Accès favorable</t>
  </si>
  <si>
    <t>PAUL-AIMÉ FONTAINE INC.</t>
  </si>
  <si>
    <t>Christian PÉLISSIER</t>
  </si>
  <si>
    <t>6 518 409</t>
  </si>
  <si>
    <t>chemin Sterret Mines</t>
  </si>
  <si>
    <t>milieux humides sur la terres
 potentiel acéricole 10.8 ha</t>
  </si>
  <si>
    <t>Michael D. JENNINGS</t>
  </si>
  <si>
    <t xml:space="preserve">ÉRABLIÈRE DU MONT BURNT INC (Frédéric AYOTTE) </t>
  </si>
  <si>
    <t>6 244 712, 5 094 798</t>
  </si>
  <si>
    <t>Sutton</t>
  </si>
  <si>
    <t>chemin Burnett, Sutton</t>
  </si>
  <si>
    <t>-72.503848</t>
  </si>
  <si>
    <t>45.038819</t>
  </si>
  <si>
    <t xml:space="preserve">Grand potentiel acéricole, présence d'un bâtiment et d'un hangar </t>
  </si>
  <si>
    <t>Jennifer ST-LOUIS</t>
  </si>
  <si>
    <t>Sean MOORE</t>
  </si>
  <si>
    <t>Montpellier</t>
  </si>
  <si>
    <t>Route 315 Nord, Montpellier</t>
  </si>
  <si>
    <t>45.863824</t>
  </si>
  <si>
    <t>-75.146485</t>
  </si>
  <si>
    <t> Alain COUTURE </t>
  </si>
  <si>
    <t>Hugo CAMIRÉ, Anne HÉBERT</t>
  </si>
  <si>
    <t>Rang Dion, Saint-Norbert-d'Arthabaska</t>
  </si>
  <si>
    <t>46.118929</t>
  </si>
  <si>
    <t>-71.848768</t>
  </si>
  <si>
    <t>Réjean BÉDARD</t>
  </si>
  <si>
    <t>Rachid MEROUANE Bouchra EL RHILANI</t>
  </si>
  <si>
    <t>10e Rang,Saint-Jean-de-la-Lande</t>
  </si>
  <si>
    <t>47.471275</t>
  </si>
  <si>
    <t>-68.706185</t>
  </si>
  <si>
    <t>Présence d'un secteur inondé et secteur déforesté</t>
  </si>
  <si>
    <t>Benoît ROBERT</t>
  </si>
  <si>
    <t>Denis MORGAN</t>
  </si>
  <si>
    <t>5 574 167</t>
  </si>
  <si>
    <t>Notre-dame-du-rosaire</t>
  </si>
  <si>
    <t>-70.424427</t>
  </si>
  <si>
    <t>accessible, 100% résineux, étang sur la propriété</t>
  </si>
  <si>
    <t>Lucie RATTÉ</t>
  </si>
  <si>
    <t>Éric BÉLANGER</t>
  </si>
  <si>
    <t>3 688 042,3 475 475</t>
  </si>
  <si>
    <t>1102-1200 QC-228</t>
  </si>
  <si>
    <t>Bertrand BIRON</t>
  </si>
  <si>
    <t>GESTION TOUR DU GRIFFON INC (Roger BERGERON)</t>
  </si>
  <si>
    <t>route Marie-
Victorin
Saint-Antoine-de-Tilly</t>
  </si>
  <si>
    <t>46.656233</t>
  </si>
  <si>
    <t>-71.570612</t>
  </si>
  <si>
    <t>9022-4007 QUÉBEC INC (Raynald VACHON)</t>
  </si>
  <si>
    <t>GESTION LEMÉRABLES INC (Éric LEMELIN)</t>
  </si>
  <si>
    <t>rang Saint-Armand
Saint-Fabien-de-Panet</t>
  </si>
  <si>
    <t>46.649331</t>
  </si>
  <si>
    <t>-70.233357</t>
  </si>
  <si>
    <t>Claude POIRIER</t>
  </si>
  <si>
    <t>DESSINS MASKA INC Christian MORIN</t>
  </si>
  <si>
    <t xml:space="preserve"> Saint-Charles-sur-Richelieu</t>
  </si>
  <si>
    <t>45.646492</t>
  </si>
  <si>
    <t>-73.102083</t>
  </si>
  <si>
    <t>90-100 %</t>
  </si>
  <si>
    <t>Pas d'accès direct à la voie publique</t>
  </si>
  <si>
    <t>Gilles PICARD</t>
  </si>
  <si>
    <t>Michaël BISSONNETTE</t>
  </si>
  <si>
    <t>Saint-Damien-de-Buckland, Saint-Damien-de-Buckland</t>
  </si>
  <si>
    <t>Route Saint-Gérard</t>
  </si>
  <si>
    <t>46.639297</t>
  </si>
  <si>
    <t>-70.666028</t>
  </si>
  <si>
    <t>enclavé, tres bon potentiel acericole</t>
  </si>
  <si>
    <t>Alain GAGNON</t>
  </si>
  <si>
    <t>9380-9903 QUÉBEC INC Éric PLOURDE</t>
  </si>
  <si>
    <t>5 405 876, 5 405 986</t>
  </si>
  <si>
    <t>6e Rang Est, Biencourt</t>
  </si>
  <si>
    <t>47.965701</t>
  </si>
  <si>
    <t>-68.569822</t>
  </si>
  <si>
    <t>Lot enclavé (lot voisin en front sur la voie publique possédé par le vendeur). 5 ha de prairie. Potentiel acéricole localisé à l'extremité du lot</t>
  </si>
  <si>
    <t>Marcel NADEAU</t>
  </si>
  <si>
    <t>MULTI-GESTION DK INC.</t>
  </si>
  <si>
    <t>2 719 464, 3 551 706</t>
  </si>
  <si>
    <t>Saint-Bernard</t>
  </si>
  <si>
    <t xml:space="preserve">Bonne capacité acéricole </t>
  </si>
  <si>
    <t>David BOULEY-NADON</t>
  </si>
  <si>
    <t>9241-4192 QUÉBEC INC</t>
  </si>
  <si>
    <t>5 081 939, 6 576 017</t>
  </si>
  <si>
    <t>321-313 
Chem. Cambria</t>
  </si>
  <si>
    <t>Potentiel acéricole</t>
  </si>
  <si>
    <t>Jeannette HÉBERT</t>
  </si>
  <si>
    <t>Gilles OUELLET, Isabelle ROBERGE</t>
  </si>
  <si>
    <t>Sainte-Famille</t>
  </si>
  <si>
    <t>46.936735</t>
  </si>
  <si>
    <t>-70.978627</t>
  </si>
  <si>
    <t>Sollange ALLARD</t>
  </si>
  <si>
    <t>NATURE-AVENIR</t>
  </si>
  <si>
    <t>Plessisville</t>
  </si>
  <si>
    <t>Route du Plè, Plessisville</t>
  </si>
  <si>
    <t>46.274462</t>
  </si>
  <si>
    <t>-71.783636</t>
  </si>
  <si>
    <t>enclavé, en zone humide</t>
  </si>
  <si>
    <t>Louis PELLETIER FILLION, Marie-Noël LAFAILLE BOILY, Gemma PELLETIER</t>
  </si>
  <si>
    <t>Charles ROY, Victor ROY, Anne-Catherine LECLERC</t>
  </si>
  <si>
    <t>46.862341</t>
  </si>
  <si>
    <t>-70.782271</t>
  </si>
  <si>
    <t>GROUPEMENT FORESTIER DE QUÉBEC-MONTMORENCY INC.</t>
  </si>
  <si>
    <t>JÉROME BUBEAU, HAROLD DUBEAU, HERVÉ DUBEAU</t>
  </si>
  <si>
    <t>3 813 895 </t>
  </si>
  <si>
    <t>Route de Saint-Achillé, Sainte-Anne-de-Beaupré</t>
  </si>
  <si>
    <t>47.045593</t>
  </si>
  <si>
    <t>-70.993707</t>
  </si>
  <si>
    <t>partiellement enclavé</t>
  </si>
  <si>
    <t>Madame Carmen CÔTÉ</t>
  </si>
  <si>
    <t>9071-5467 QUÉBEC INC (Luc VEILLEUX)</t>
  </si>
  <si>
    <t>3 387 428, 3 632 178, 3 632 179, 6 385 706</t>
  </si>
  <si>
    <t>46.601558</t>
  </si>
  <si>
    <t>-71.411541</t>
  </si>
  <si>
    <t>Marécage et tourbière</t>
  </si>
  <si>
    <t>Réjean ST-ONGE, Lucie BOISVERT, Dany ST-ONGE, Mélanie ST-ONGE</t>
  </si>
  <si>
    <t>Richard POULIN, Pier-Luc POULIN</t>
  </si>
  <si>
    <t>Route Ouellet
Saint-Édouard-de-Lotbinière</t>
  </si>
  <si>
    <t>46.579062</t>
  </si>
  <si>
    <t>-71.790358</t>
  </si>
  <si>
    <t>M</t>
  </si>
  <si>
    <t>Tommy SIMARD-GUAY</t>
  </si>
  <si>
    <t>Bernard COUTURE, Mireille COUTURE-PERRON</t>
  </si>
  <si>
    <t>Chemin Saint-Flavien Sud, Baie-Saint-Paul</t>
  </si>
  <si>
    <t>47.442916</t>
  </si>
  <si>
    <t>-70.619472</t>
  </si>
  <si>
    <t>Ronald VERDONCK, Brigitte BRABANT</t>
  </si>
  <si>
    <t>9500-0618 QUEBEC INC</t>
  </si>
  <si>
    <t>2 397 871, 2 643 189, 2 643 190, 2 643 191, 2 643 192</t>
  </si>
  <si>
    <t>Saint-marthe</t>
  </si>
  <si>
    <t>ligne électrique d'hydro au milieu du boisé, petit lot prairie</t>
  </si>
  <si>
    <t>Marcelle LAJOIE</t>
  </si>
  <si>
    <t>Alain LAFLAMME, Sylvie PELLETIER</t>
  </si>
  <si>
    <t>Saint-Agapit</t>
  </si>
  <si>
    <t>794-rang du bois de l'ail</t>
  </si>
  <si>
    <t>3 batiments agricoles dans la portions acéricole mais pas de mention d'entails</t>
  </si>
  <si>
    <t>PÉPINIÈRE &amp; PAYSAGISTE MARINA INC</t>
  </si>
  <si>
    <t>Mélissa ROCHEFORT</t>
  </si>
  <si>
    <t>5 483 588</t>
  </si>
  <si>
    <t>sainte-chrysostome</t>
  </si>
  <si>
    <t>grande zone de dénudé humides</t>
  </si>
  <si>
    <t>FORÊT COUPE INC</t>
  </si>
  <si>
    <t>Emmanuel FRÉCHETTE, Andréanne GRIMARD</t>
  </si>
  <si>
    <t>6 594 932, 6 594 933, 6 594 934, 6 594 935</t>
  </si>
  <si>
    <t>Chemin des Erables, La Malbaie</t>
  </si>
  <si>
    <t>47.762283</t>
  </si>
  <si>
    <t>-70.007662</t>
  </si>
  <si>
    <t>Patrick LAVALLÉ</t>
  </si>
  <si>
    <t>Eric et Jordan PERRAULT</t>
  </si>
  <si>
    <t>Sainte-Lucie-de-Beauregard</t>
  </si>
  <si>
    <t>87-81 Rue Principale</t>
  </si>
  <si>
    <t>Potentiel acéricole sur parcelle de la terre 
pas de mention du nombre d'entails</t>
  </si>
  <si>
    <t>GROUPEMENT FORESTIER DE TÉMISCOUATA INC Francis ALBERT</t>
  </si>
  <si>
    <t>Ti-Brin Forestier Inc Samuel L'ITALIEN</t>
  </si>
  <si>
    <t>Dégelis</t>
  </si>
  <si>
    <t>route Lapointe, Dégelis</t>
  </si>
  <si>
    <t>47.522877</t>
  </si>
  <si>
    <t>-68.709322</t>
  </si>
  <si>
    <t>Décision cptaq 375828 (utlisation fins résidentielles)</t>
  </si>
  <si>
    <t>28 391 019</t>
  </si>
  <si>
    <t>Patricia DU SAULT, Paule DU SAULT</t>
  </si>
  <si>
    <t>Sébastien JACOB, Luc BOURASSA, Benoit ST-PIERRE</t>
  </si>
  <si>
    <t>5 618 808</t>
  </si>
  <si>
    <t>Saint-Prosper-de-Champlain</t>
  </si>
  <si>
    <t>-72.258626</t>
  </si>
  <si>
    <t>Pauline GUÉNETTE, Lucie GUÉNETTE</t>
  </si>
  <si>
    <t>Eric DION, Shanelle DENIS DION</t>
  </si>
  <si>
    <t>45.761916</t>
  </si>
  <si>
    <t>-75.163213</t>
  </si>
  <si>
    <t>MARIO BINETTE</t>
  </si>
  <si>
    <t>LES PLACEMENTS CHRISTIAN LAVOIE INC</t>
  </si>
  <si>
    <t>Rang du Bassin, Saint-Elphége</t>
  </si>
  <si>
    <t>46.032186</t>
  </si>
  <si>
    <t>-72.708431</t>
  </si>
  <si>
    <t>Sébastien ROUSSEAU</t>
  </si>
  <si>
    <t>GESTION INTERNATIONAL 2016 INC.</t>
  </si>
  <si>
    <t>2 639 364, 2 639 365</t>
  </si>
  <si>
    <t>Chemin du trait carré, Saint-Lamber-de-Lauzon</t>
  </si>
  <si>
    <t>milieu humide, tourbière et boisé</t>
  </si>
  <si>
    <t> CHOUINARD INVESTISSEMENT INC </t>
  </si>
  <si>
    <t> Frédéric HARVEY, Isabelle RIVERIN</t>
  </si>
  <si>
    <t>Chemin Saint-Thomas</t>
  </si>
  <si>
    <t>47.500134</t>
  </si>
  <si>
    <t>-70.550053</t>
  </si>
  <si>
    <t>elloigné du sujet</t>
  </si>
  <si>
    <t>LA BERGERONNETTE INC (Germain Caron)</t>
  </si>
  <si>
    <t>9503-8741 QUÉBEC INC (Richard Demers)</t>
  </si>
  <si>
    <t>Saint-Henri</t>
  </si>
  <si>
    <t>46.703408</t>
  </si>
  <si>
    <t>-71.054086</t>
  </si>
  <si>
    <t>40-49%</t>
  </si>
  <si>
    <t>Enclavé, servitude de passage. Ligne HydroQuébec. Milieu humide</t>
  </si>
  <si>
    <t>SERVICE VÉTÉRINAIRE 
AMBULATOIRE FORGET INC</t>
  </si>
  <si>
    <t>9503-4310 QUÉBEC INC</t>
  </si>
  <si>
    <t>3 040 432, 3 040 433, 3 041 091,
3 041 093, 3 041 094</t>
  </si>
  <si>
    <t>Lachute</t>
  </si>
  <si>
    <t>Chem. Thomas-Gore</t>
  </si>
  <si>
    <t>27.5 ha acéricole</t>
  </si>
  <si>
    <t>Sylvette GRENIER</t>
  </si>
  <si>
    <t>9503-4971 QUÉBEC INC</t>
  </si>
  <si>
    <t>3 040 387,3 040 436,
3 040 442</t>
  </si>
  <si>
    <t>2.6 ha acéricole</t>
  </si>
  <si>
    <t>45.640848</t>
  </si>
  <si>
    <t>-70.748388</t>
  </si>
  <si>
    <t>Friche 7,6 ha</t>
  </si>
  <si>
    <t>Pierrette HALDE, Mario ST-JACQUES, Yvan ST-JACQUES, Claude ST-JACQUES</t>
  </si>
  <si>
    <t>Monique PLANTE</t>
  </si>
  <si>
    <t>5 310 720, 5 131 323</t>
  </si>
  <si>
    <t>Saint-Marc-sur-Richelieu, Saint-Amable</t>
  </si>
  <si>
    <t>Rue Martin, Saint-Amable</t>
  </si>
  <si>
    <t>45.658624</t>
  </si>
  <si>
    <t>-73.261464</t>
  </si>
  <si>
    <t>tres bonne accesibilité</t>
  </si>
  <si>
    <t>FERME LUCIEN AUDET &amp; FILS INC</t>
  </si>
  <si>
    <t>9502-5979 QUÉBEC INC</t>
  </si>
  <si>
    <t>5 438 648, 5 438 821, 5 438 960</t>
  </si>
  <si>
    <t>47.488420</t>
  </si>
  <si>
    <t>-70.307667</t>
  </si>
  <si>
    <t xml:space="preserve">autorisation d'alienation en lotissement de 26,6 hectares </t>
  </si>
  <si>
    <t>Carl LEBEL</t>
  </si>
  <si>
    <t>5 006 107, 5 006 192</t>
  </si>
  <si>
    <t>4e Rang, à Saint-Guy</t>
  </si>
  <si>
    <t>48.008461</t>
  </si>
  <si>
    <t>-68.76263</t>
  </si>
  <si>
    <t>Accès favorable. Desserte interne partielle.</t>
  </si>
  <si>
    <t>Mario BERGERON, Sonia BERGERON, Richard BERGERON</t>
  </si>
  <si>
    <t>Guy CHAMPAGNE, Mathilde LAVOIE</t>
  </si>
  <si>
    <t>Chemin Bergeron, La Malbaie</t>
  </si>
  <si>
    <t>47.724465</t>
  </si>
  <si>
    <t>-70.016962</t>
  </si>
  <si>
    <t>PLACEMENTS 
IMMOBILIERS R.F. INC.</t>
  </si>
  <si>
    <t>DOMAINES LOCKWOOD INC.</t>
  </si>
  <si>
    <t>6 067 296,6 067 713</t>
  </si>
  <si>
    <t>chemin Lockwood</t>
  </si>
  <si>
    <t>potentiel acéricole 4.2 ha</t>
  </si>
  <si>
    <t>Marc DESNOYERS</t>
  </si>
  <si>
    <t>VILLE DE MONT-SAINT-HILAIRE et CENTRE DE CONSERVATION DE LA NATURE MONT SAINT-HILAIRE</t>
  </si>
  <si>
    <t>Mont-Saint-Hilaire</t>
  </si>
  <si>
    <t>Chemin Rouillard, Mont-Saint-Hilaire</t>
  </si>
  <si>
    <t>45.591744</t>
  </si>
  <si>
    <t>-73.135968</t>
  </si>
  <si>
    <t>G.S.L.L. INC.</t>
  </si>
  <si>
    <t>CONSERVATION LAKEFIELD</t>
  </si>
  <si>
    <t>6 455 102</t>
  </si>
  <si>
    <t>55-25 Rue 
du Tour du Lac</t>
  </si>
  <si>
    <t>Potentiel acéricole, lot enclavé</t>
  </si>
  <si>
    <t>Jessica SINGH</t>
  </si>
  <si>
    <t>GESTION IMMOBILIÈRE SORALEX INC</t>
  </si>
  <si>
    <t>5 698 447, 6 476 183, 6 476 184</t>
  </si>
  <si>
    <t>Montée du 5e rang, Chénéville</t>
  </si>
  <si>
    <t>45.927803</t>
  </si>
  <si>
    <t>-74.983475</t>
  </si>
  <si>
    <t>resineux</t>
  </si>
  <si>
    <t>Richard D'ANJOU, Hélène D'ANJOU</t>
  </si>
  <si>
    <t>9185-0164 QUÉBEC INC (Sébastien PARENT)</t>
  </si>
  <si>
    <t>4 430 679</t>
  </si>
  <si>
    <t>rue des Vergers, Mont-Saint-Grégoire</t>
  </si>
  <si>
    <t>-73.169931</t>
  </si>
  <si>
    <t>45.350477</t>
  </si>
  <si>
    <t>Noël BÉRUBÉ</t>
  </si>
  <si>
    <t>9435-0329 QUÉBEC INC Éric CARON</t>
  </si>
  <si>
    <t>5 405 280, 5 722 544</t>
  </si>
  <si>
    <t>Petit 5e Rang, Biencourt</t>
  </si>
  <si>
    <t>47.925796</t>
  </si>
  <si>
    <t>-68.672479</t>
  </si>
  <si>
    <t>Chemin parcourant le lot</t>
  </si>
  <si>
    <t>Lucie CROTEAU, Damien GAGNON</t>
  </si>
  <si>
    <t>Pierre-Luc TRUDEL</t>
  </si>
  <si>
    <t>5 803 289, 5 803 604</t>
  </si>
  <si>
    <t>route des Prairies
Saint-Prosper</t>
  </si>
  <si>
    <t>46.623481</t>
  </si>
  <si>
    <t>-72.342220</t>
  </si>
  <si>
    <t>2 lots séparés par la voie ferrée. Mineure partie de la superficie concernée par une tourbière et un marécage</t>
  </si>
  <si>
    <t>9381-1024 QUÉBEC INC</t>
  </si>
  <si>
    <t>FERME PATRICK SAMSON INC.</t>
  </si>
  <si>
    <t>3 839 059</t>
  </si>
  <si>
    <t>695 Rang St-Joseph</t>
  </si>
  <si>
    <t>Bonne capacité acéricole et terre cultibvable</t>
  </si>
  <si>
    <t>Georges TESSIER / Armande FRIGON</t>
  </si>
  <si>
    <t>SA ROBERT MAILHOT ET FILS</t>
  </si>
  <si>
    <t>4306149, 4749549</t>
  </si>
  <si>
    <t>46.590171</t>
  </si>
  <si>
    <t xml:space="preserve"> -72.176302</t>
  </si>
  <si>
    <t>Friche</t>
  </si>
  <si>
    <t>François LANG</t>
  </si>
  <si>
    <t>GESTION RJC INC Catherine VÉZINA</t>
  </si>
  <si>
    <t>4 854 997, 4 855 504</t>
  </si>
  <si>
    <t>4e Rang, Saint-Jean-de-la-Lande</t>
  </si>
  <si>
    <t>47.401375</t>
  </si>
  <si>
    <t>-68.766412</t>
  </si>
  <si>
    <t>Accès riverain lac Temiscouata</t>
  </si>
  <si>
    <t>9381-7617 QUÉBEC INC.</t>
  </si>
  <si>
    <t>Alain LAPRISE</t>
  </si>
  <si>
    <t>6167116 et 6167704</t>
  </si>
  <si>
    <t xml:space="preserve">Route 204 </t>
  </si>
  <si>
    <t>Coupe avec protection des arbres</t>
  </si>
  <si>
    <t>RAYMOND LEFEBVRE &amp; FILS LTÉE</t>
  </si>
  <si>
    <t>Ghislain LAFRANCE</t>
  </si>
  <si>
    <t>6 478 935</t>
  </si>
  <si>
    <t>mékinac</t>
  </si>
  <si>
    <t>saint-tite</t>
  </si>
  <si>
    <t>proximité d'une route, au bord du village du lac pierre-paul</t>
  </si>
  <si>
    <t>MAURICE BOURGAULT,</t>
  </si>
  <si>
    <t>ÉRABLIÈRE JOCELYN FORTIN INC</t>
  </si>
  <si>
    <t>4 634 368</t>
  </si>
  <si>
    <t>9 ha d'acéricole</t>
  </si>
  <si>
    <t> Rémi NÉRON </t>
  </si>
  <si>
    <t> Kevin (Keven) BOUCHER, Véronique LAVOIE</t>
  </si>
  <si>
    <t>6 053 274, 6 054 707, 6 054 706</t>
  </si>
  <si>
    <t>Rang Saint-jean-Baptiste, La Malbaie</t>
  </si>
  <si>
    <t>47.638687</t>
  </si>
  <si>
    <t>-70.313224</t>
  </si>
  <si>
    <t>resineux, pas de potentiel acéricole</t>
  </si>
  <si>
    <t>Conrad GRENIER</t>
  </si>
  <si>
    <t>Éric POTVIN, Cindie CROTEAU-CÔTÉ</t>
  </si>
  <si>
    <t>Avenue Taniata, Lévis</t>
  </si>
  <si>
    <t>46.708501</t>
  </si>
  <si>
    <t>-71.179830</t>
  </si>
  <si>
    <t>accessible, bon potentiel acéricole</t>
  </si>
  <si>
    <t>Dominic ST-PIERRE</t>
  </si>
  <si>
    <t>Sylvain GAGNÉ</t>
  </si>
  <si>
    <t>5 170 098, 5 170 073</t>
  </si>
  <si>
    <t>rang 8eme, Saint-Joseph-de-Kamouraska</t>
  </si>
  <si>
    <t>47.568537</t>
  </si>
  <si>
    <t>-69.608848</t>
  </si>
  <si>
    <t>un peu de potentiel acéricole</t>
  </si>
  <si>
    <t>FERNAND PITT, DENISE LAPRISE</t>
  </si>
  <si>
    <t>ERABLIERE DUDEUX INC</t>
  </si>
  <si>
    <t>Rang 2e, Acton Vale</t>
  </si>
  <si>
    <t>45.623150</t>
  </si>
  <si>
    <t>-72.631028</t>
  </si>
  <si>
    <t>presence de batisse, terre cultivable (3,9 ha)</t>
  </si>
  <si>
    <t>Gaétan DUBUC,
Bruno MESSIER</t>
  </si>
  <si>
    <t>Jomathan DESJARDINS</t>
  </si>
  <si>
    <t>5 081 711, 5 081 704</t>
  </si>
  <si>
    <t>QC-329</t>
  </si>
  <si>
    <t>Potentiel acéricole, lac dans le milieu du lot,zone innondée sur le site</t>
  </si>
  <si>
    <t>Patrick PERROTTO, Eveline BRISEBOIS</t>
  </si>
  <si>
    <t>Francis LAPOINTE</t>
  </si>
  <si>
    <t>Sainte-Émilie-de-L'Énergie</t>
  </si>
  <si>
    <t>Chemin du Grand Rang, Sainte-Émilie-de-L'Énergie</t>
  </si>
  <si>
    <t>46.343932</t>
  </si>
  <si>
    <t>-73.691624</t>
  </si>
  <si>
    <t>Enclavé (servitude de passage)</t>
  </si>
  <si>
    <t>28 500 279</t>
  </si>
  <si>
    <t>Randolph James MCCARTNEY, Wendy MCCARTNEY, Douglas MCCARTNEY</t>
  </si>
  <si>
    <t>9361-7850 QUÉBEC INC (Jason BRYSON)</t>
  </si>
  <si>
    <t>6 063 909, 6 063 920</t>
  </si>
  <si>
    <t>Le-Haut-Saint-Laurent</t>
  </si>
  <si>
    <t>Ormstown</t>
  </si>
  <si>
    <t>4e Rang, Ormstown</t>
  </si>
  <si>
    <t>-73.935390</t>
  </si>
  <si>
    <t>Michel JOSEPH</t>
  </si>
  <si>
    <t>Alexandre THÉRIAULT</t>
  </si>
  <si>
    <t>La Mitis</t>
  </si>
  <si>
    <t>Saint-Donat</t>
  </si>
  <si>
    <t>48.541567</t>
  </si>
  <si>
    <t>-68.241944</t>
  </si>
  <si>
    <t>Aucun milieu humide. Accès favorable. Coupe avec protection 1994 (2 ha)</t>
  </si>
  <si>
    <t>28 503 436</t>
  </si>
  <si>
    <t>GESTION FAMILLE G. OUELLET INC. Gino OUELLET</t>
  </si>
  <si>
    <t>DETOUT.CA INC. Stéphan BÉLANGER</t>
  </si>
  <si>
    <t>5 680 259, 5 680 042, 5 680 271, 5 680 270, 5 991 455, 05-B-1395 (TNO)</t>
  </si>
  <si>
    <t>Matapédia</t>
  </si>
  <si>
    <t>Sainte-Paule</t>
  </si>
  <si>
    <t>chemin de Sayabec, à Sainte-Paule</t>
  </si>
  <si>
    <t>-67.589492</t>
  </si>
  <si>
    <t>Oui (partie)</t>
  </si>
  <si>
    <t>Forte pente</t>
  </si>
  <si>
    <t>Cabane à sucre 880 pc, hangar 850 pc, salle de réception 560 pc</t>
  </si>
  <si>
    <t>Équipements complets (964 000 $ à l'acte)</t>
  </si>
  <si>
    <t>Contingent évalué à 150000$</t>
  </si>
  <si>
    <t>Louis BROUILLETTE</t>
  </si>
  <si>
    <t>VILLE DE MONT-SAINT-HILAIRE</t>
  </si>
  <si>
    <t>45.517861</t>
  </si>
  <si>
    <t>-73.196871</t>
  </si>
  <si>
    <t>Traversée par ligne Hydro-Québec. Pas d'accès direct à la voie publique</t>
  </si>
  <si>
    <t>Bernard SAMSON</t>
  </si>
  <si>
    <t>OPÉRATIONS FORESTIÈRES CARBONNEAU INC</t>
  </si>
  <si>
    <t>Route 267, Laurierville</t>
  </si>
  <si>
    <t>46.309829</t>
  </si>
  <si>
    <t>-71.601828</t>
  </si>
  <si>
    <t>28 510 556</t>
  </si>
  <si>
    <t>Sergey NASONKIN, Elena ANANYEVA</t>
  </si>
  <si>
    <t>GESTION M.E.M. INC Michel Grégoire</t>
  </si>
  <si>
    <t>3 195 735</t>
  </si>
  <si>
    <t>Sherbrooke</t>
  </si>
  <si>
    <t>693, Chemin Dion, Sherbrooke</t>
  </si>
  <si>
    <t>-72.010917</t>
  </si>
  <si>
    <t>31,17</t>
  </si>
  <si>
    <t>3 entrepôts construction 1987</t>
  </si>
  <si>
    <t>212500 (rôle)</t>
  </si>
  <si>
    <t>Servitudes d'égoût et de drainage d'eau. Autorisations CPTAQ activité entreposage d'explosifs. Composé majoritairement de friche (18.5 ha)</t>
  </si>
  <si>
    <t>114914 et 310537autorisation commerce  entreposaged'explosifs</t>
  </si>
  <si>
    <t>GABRIELLE CARRIER</t>
  </si>
  <si>
    <t>THIERRY PARÉ, FRÉDÉRIC PARÉ, DAVID PARÉ</t>
  </si>
  <si>
    <t>3 691 570, 3 693 038</t>
  </si>
  <si>
    <t>Saint-Raphaël</t>
  </si>
  <si>
    <t>Route 281, Sait-Raphaël</t>
  </si>
  <si>
    <t>46.815860</t>
  </si>
  <si>
    <t>-70.785487</t>
  </si>
  <si>
    <t>Jean-Georges RONDEAU</t>
  </si>
  <si>
    <t>Jean SAUVAGEAU</t>
  </si>
  <si>
    <t>6 143 834, 6 143 833, 6 143 832, 6 143 587, 6 143 571, 6
142 088</t>
  </si>
  <si>
    <t>St-Michel-des Saints</t>
  </si>
  <si>
    <t>Chemin des Cyprès, St-Michel-des Saints</t>
  </si>
  <si>
    <t>46.670584</t>
  </si>
  <si>
    <t>-73.965555</t>
  </si>
  <si>
    <t>Accè route. Présence d'un petit hangar</t>
  </si>
  <si>
    <t>Daniel DUBÉ</t>
  </si>
  <si>
    <t>Mario DÉRASPE,Magali DERDERIAN,
Gautier DÉRASPE</t>
  </si>
  <si>
    <t>6 426 676</t>
  </si>
  <si>
    <t>route de la Jacques-Cartier</t>
  </si>
  <si>
    <t>localisé sur une route pres de sainte catherine de la jaqcues cartier</t>
  </si>
  <si>
    <t>MADELEINE DOYON</t>
  </si>
  <si>
    <t>SIMON VALCOURT</t>
  </si>
  <si>
    <t>Saint Eugène</t>
  </si>
  <si>
    <t>Rand Brodeur, Saint Eugène</t>
  </si>
  <si>
    <t>45.808460</t>
  </si>
  <si>
    <t>-72.765453</t>
  </si>
  <si>
    <t>28 528 265</t>
  </si>
  <si>
    <t>4 955 568, 4 955 569, 4 955 570</t>
  </si>
  <si>
    <t>RAYMOND PAGÉ</t>
  </si>
  <si>
    <t>FERME BERLUMIL INC</t>
  </si>
  <si>
    <t>Honfleur</t>
  </si>
  <si>
    <t>Rang 5e Ouest, Honfleur</t>
  </si>
  <si>
    <t>46.648565</t>
  </si>
  <si>
    <t>-70.837938</t>
  </si>
  <si>
    <t>tres accesible, présence de cabane à sucre</t>
  </si>
  <si>
    <t>Myrna MCDONALD</t>
  </si>
  <si>
    <t>Steven BOUCHARD,Sylvie BEAUVAIS</t>
  </si>
  <si>
    <t>5 080 143</t>
  </si>
  <si>
    <t>147-153 QC-329</t>
  </si>
  <si>
    <t>Zone innondée sur le site</t>
  </si>
  <si>
    <t>Steeve DESBIENS</t>
  </si>
  <si>
    <t>Maxime DESBIENS, Sarah LESSARD, Dany GRAVEL, Roxanne DESBIENS</t>
  </si>
  <si>
    <t xml:space="preserve">Saguenay </t>
  </si>
  <si>
    <t>Saguenay (Jonquière)</t>
  </si>
  <si>
    <t>Saguenay (Jonquière),</t>
  </si>
  <si>
    <t>48.481421</t>
  </si>
  <si>
    <t>-71.458329</t>
  </si>
  <si>
    <t>Lise BINET</t>
  </si>
  <si>
    <t>VAUGEOIS INC</t>
  </si>
  <si>
    <t>47.030743</t>
  </si>
  <si>
    <t>-71.345728</t>
  </si>
  <si>
    <t>Michel GERVAIS</t>
  </si>
  <si>
    <t>Dominique COSSETTE</t>
  </si>
  <si>
    <t>Saint-Stanislas</t>
  </si>
  <si>
    <t>Chemin de la Côte-Saint-Louis, Saint-Stanislas</t>
  </si>
  <si>
    <t>46.609146</t>
  </si>
  <si>
    <t xml:space="preserve"> -72.411719</t>
  </si>
  <si>
    <t>28 541 675</t>
  </si>
  <si>
    <t>Ferme Yggdrasil S.E.N.C</t>
  </si>
  <si>
    <t>Vincent LAVOIE</t>
  </si>
  <si>
    <t>5 745 566</t>
  </si>
  <si>
    <t>manicouagan</t>
  </si>
  <si>
    <t>route 138 à Ragueneau</t>
  </si>
  <si>
    <t>-68.557388</t>
  </si>
  <si>
    <t>LIgne HydroQuébec</t>
  </si>
  <si>
    <t>Roger DUPUIS</t>
  </si>
  <si>
    <t>MUNICIPALITÉ DE SAINT-ALPHONSE-RODRIGUEZ</t>
  </si>
  <si>
    <t>46.227067</t>
  </si>
  <si>
    <t>-73.742512</t>
  </si>
  <si>
    <t>Servitude de passage pour lot voisin (fonds servant). Ligne Hydro-Québec traversant le lot.</t>
  </si>
  <si>
    <t>Jean Cinq-Mars</t>
  </si>
  <si>
    <t>Félix-Antoine Hamelin Carignan, Monika Châteauneuf</t>
  </si>
  <si>
    <t>Batiscan</t>
  </si>
  <si>
    <t>Autoroute Felix-Leclerc, Batiscan</t>
  </si>
  <si>
    <t>46.501001</t>
  </si>
  <si>
    <t xml:space="preserve"> -72.299186</t>
  </si>
  <si>
    <t>Resineux, pas  potentiel acéricole</t>
  </si>
  <si>
    <t>Sébastien COULOMBE</t>
  </si>
  <si>
    <t>Maude CÔTÉ-DESROCHERS</t>
  </si>
  <si>
    <t>5 458 717</t>
  </si>
  <si>
    <t>lotbinière</t>
  </si>
  <si>
    <t>-71.643921</t>
  </si>
  <si>
    <t>mixite</t>
  </si>
  <si>
    <t>Maurice HARVEY,</t>
  </si>
  <si>
    <t>9262-6175 QUÉBEC INC.</t>
  </si>
  <si>
    <t>5 032 001, 5 032 002</t>
  </si>
  <si>
    <t>saint-cyrille-de-lessard</t>
  </si>
  <si>
    <t>4.5ha d'acéricole</t>
  </si>
  <si>
    <t>28 558 901</t>
  </si>
  <si>
    <t>Raymond LÉVESQUE, Lucie PELLETIER</t>
  </si>
  <si>
    <t>9386-0203 QUÉBEC INC (Guillaume BOURGAULT,  Mireille THÉRIAULT)</t>
  </si>
  <si>
    <t>4 854 416, 4 854 431, 4 855 175, 6 027 856</t>
  </si>
  <si>
    <t>rue Principale, Packington</t>
  </si>
  <si>
    <t>-68.779498</t>
  </si>
  <si>
    <t>Cabane à sucre 1500 pc, station de pompage</t>
  </si>
  <si>
    <t>Équipements complets (62 500 $ à l'acte)</t>
  </si>
  <si>
    <t>41627 (203 350 $ à l'acte)</t>
  </si>
  <si>
    <t>120 000 pc en zone blanche</t>
  </si>
  <si>
    <r>
      <t> </t>
    </r>
    <r>
      <rPr>
        <b/>
        <sz val="10"/>
        <color theme="1"/>
        <rFont val="Arial"/>
        <family val="2"/>
      </rPr>
      <t>Mario LAROCHE, Marlène GRÉGOIRE</t>
    </r>
  </si>
  <si>
    <r>
      <t> </t>
    </r>
    <r>
      <rPr>
        <b/>
        <sz val="10"/>
        <color theme="1"/>
        <rFont val="Arial"/>
        <family val="2"/>
      </rPr>
      <t>Steve BOLDUC, Jolyane ST-PIERREJean BERNIER,Katie TREMBLAY</t>
    </r>
  </si>
  <si>
    <t> 6 401 252 </t>
  </si>
  <si>
    <t>Sainte-félicité-de-l'islet</t>
  </si>
  <si>
    <r>
      <t> </t>
    </r>
    <r>
      <rPr>
        <b/>
        <sz val="10"/>
        <color theme="1"/>
        <rFont val="Arial"/>
        <family val="2"/>
      </rPr>
      <t>61, route de l’Église Sud </t>
    </r>
  </si>
  <si>
    <t>Sapin baumier et épinette rouge uniquement</t>
  </si>
  <si>
    <t>28 566 136</t>
  </si>
  <si>
    <t>2996047, 4699114, 4699441, 4337562</t>
  </si>
  <si>
    <t>FERME GR POULIN INC (Gervais POULIN, Rémi POULIN)</t>
  </si>
  <si>
    <t>CONSERVATION DE LA NATURE - QUÉBEC (Joël BONIN, Stéphanie LEDUC)</t>
  </si>
  <si>
    <t>5 106 869</t>
  </si>
  <si>
    <t>23e Avenue Est, Venice-en-Québec</t>
  </si>
  <si>
    <t>-73.118232</t>
  </si>
  <si>
    <t>45.077735</t>
  </si>
  <si>
    <t>65-74%</t>
  </si>
  <si>
    <t>Mario LECLERC</t>
  </si>
  <si>
    <t>Tommy Doré-Pagé</t>
  </si>
  <si>
    <t>46.703935</t>
  </si>
  <si>
    <t>-71.722964</t>
  </si>
  <si>
    <t>Terres enclavé, border par la rivière jacques-cartier</t>
  </si>
  <si>
    <t>Christine LEVESQUE POLIQUIN</t>
  </si>
  <si>
    <t>Marc-Denis RIOUX, Esmaella RAYMOND-BOURRET</t>
  </si>
  <si>
    <t>Sainte-Angèle-de-Mérici</t>
  </si>
  <si>
    <t>6e rang de Fleuriau, Sainte-Angèle-de-Mérici</t>
  </si>
  <si>
    <t>48.457168</t>
  </si>
  <si>
    <t>-68.085821</t>
  </si>
  <si>
    <t>Pas d'accès à la voie publique. Tourbières et marais.</t>
  </si>
  <si>
    <t>JEAN-FRANCOIS CAUCHON</t>
  </si>
  <si>
    <t>SIMON VEILLEUX, ANDRÉANNE ASSELIN</t>
  </si>
  <si>
    <t>Chemin Careau, Chateau-Richer</t>
  </si>
  <si>
    <t>47.013481</t>
  </si>
  <si>
    <t>-71.057480</t>
  </si>
  <si>
    <t xml:space="preserve">partiellement enclavé, presence de cabanne a sucre </t>
  </si>
  <si>
    <t>Pierre BÉRUBÉ</t>
  </si>
  <si>
    <t>GESTION PORT SAGUENAY INC. Carl Laberge</t>
  </si>
  <si>
    <t>6 101 808, 4 012 410</t>
  </si>
  <si>
    <t>Saguenay (La Baie)</t>
  </si>
  <si>
    <t>48.377208</t>
  </si>
  <si>
    <t>-70.840253</t>
  </si>
  <si>
    <t>Situation d'enclave</t>
  </si>
  <si>
    <t>Maurice BOUCHER</t>
  </si>
  <si>
    <t>Éric CHARLEBOIS</t>
  </si>
  <si>
    <t>4 549 570, 4 549 572</t>
  </si>
  <si>
    <t>Saint-anicet</t>
  </si>
  <si>
    <t>Potentiel acéricole et érablière sur la propritété</t>
  </si>
  <si>
    <t>Sainte-Cécile-de-Whitton</t>
  </si>
  <si>
    <t>45.675920</t>
  </si>
  <si>
    <t>-70.853346</t>
  </si>
  <si>
    <t>Contiguité lotissement, zone blanche</t>
  </si>
  <si>
    <t>PIERRE BEAUDOIN</t>
  </si>
  <si>
    <t>JIMMY FAUCHER</t>
  </si>
  <si>
    <t>6 525 368, 6 525 367</t>
  </si>
  <si>
    <t>5 e rand, Adstock</t>
  </si>
  <si>
    <t>45.994914</t>
  </si>
  <si>
    <t>-71.131331</t>
  </si>
  <si>
    <t>tres accecible</t>
  </si>
  <si>
    <t>Éric MORIN, Martin SAMSON</t>
  </si>
  <si>
    <t>Vincent HOULE, Sophie MARTEL-THIBAULT</t>
  </si>
  <si>
    <t>Val-Alain</t>
  </si>
  <si>
    <t>4e Rang, Val-Alain</t>
  </si>
  <si>
    <t>46.414850</t>
  </si>
  <si>
    <t>-71.793043</t>
  </si>
  <si>
    <t>CÉCILE LACHANCE</t>
  </si>
  <si>
    <t>CARL POMERLEAU, MATIS POMERLEAU</t>
  </si>
  <si>
    <t>Chemin du depotoir, Sainte-Clotilde-de-Beauce</t>
  </si>
  <si>
    <t>46.129504</t>
  </si>
  <si>
    <t xml:space="preserve"> -71.005682</t>
  </si>
  <si>
    <t xml:space="preserve">presence de gravière </t>
  </si>
  <si>
    <t>Michel ANCTIL</t>
  </si>
  <si>
    <t>Laetitia ANGERS, François ST-PIERRE</t>
  </si>
  <si>
    <t>4 830 062</t>
  </si>
  <si>
    <t>Tourville</t>
  </si>
  <si>
    <t>la rue Principale</t>
  </si>
  <si>
    <t>petit potentiel acéricole 1.3ha</t>
  </si>
  <si>
    <t>Napoléon LAROCHE</t>
  </si>
  <si>
    <t>Alexandre BILODEAU</t>
  </si>
  <si>
    <t>rang 4e de Saint norbert, Saint-Norbert-d'Arthabaska</t>
  </si>
  <si>
    <t>46.069111</t>
  </si>
  <si>
    <t>-71.799085</t>
  </si>
  <si>
    <t>tres accesible, resineux</t>
  </si>
  <si>
    <t>Marie-Ève GIROUARD,</t>
  </si>
  <si>
    <t>Jeremie DUMAS,</t>
  </si>
  <si>
    <t>6 289 396</t>
  </si>
  <si>
    <t>route Montcalm</t>
  </si>
  <si>
    <t>bonne localisation</t>
  </si>
  <si>
    <t>Jacques PLANTE</t>
  </si>
  <si>
    <t>Mario LAMBERT, Nancy BÉDARD</t>
  </si>
  <si>
    <t>Lyster</t>
  </si>
  <si>
    <t>Rang 3 Ouest, Lyster</t>
  </si>
  <si>
    <t>46.376884</t>
  </si>
  <si>
    <t>-71.651003</t>
  </si>
  <si>
    <t>Paul BOUTET</t>
  </si>
  <si>
    <t>Alain LECLERC, Chantale SAVARD</t>
  </si>
  <si>
    <t>4 896 911</t>
  </si>
  <si>
    <t>Terre enclavée, proximité de terre agricoles</t>
  </si>
  <si>
    <t>Francine SOUCY</t>
  </si>
  <si>
    <t>Mario LIZOTTE</t>
  </si>
  <si>
    <t>4 479 657</t>
  </si>
  <si>
    <t>Située entre 2 zones acéricoles, bonne comparable inférieure</t>
  </si>
  <si>
    <t>STEPHEN SMITH</t>
  </si>
  <si>
    <t>GHISLAIN CUSSON, NICOLAS CUSSON</t>
  </si>
  <si>
    <t>4 077 420, 4 077 422</t>
  </si>
  <si>
    <t>Danville</t>
  </si>
  <si>
    <t>chemin Saint-Louis</t>
  </si>
  <si>
    <t>potentiel acéricole de 26.2</t>
  </si>
  <si>
    <t>Clément ST-ONGE</t>
  </si>
  <si>
    <t>9319-4280 QUÉBEC INC</t>
  </si>
  <si>
    <t>rang 6eme, Mont-Carmel</t>
  </si>
  <si>
    <t>47.394122</t>
  </si>
  <si>
    <t>-69.815786</t>
  </si>
  <si>
    <t>Guido VERHAEGEN</t>
  </si>
  <si>
    <t>LES FERMES GUAY INC. (François GUAY, Sylvain GUAY)</t>
  </si>
  <si>
    <t>5 239 254, 5 240 757, 5 240 758</t>
  </si>
  <si>
    <t>Chemins Wolfe Ridge et Nutts Corner</t>
  </si>
  <si>
    <t>-73.228001</t>
  </si>
  <si>
    <t>45.056492</t>
  </si>
  <si>
    <t>75-84%</t>
  </si>
  <si>
    <t>424342 (Refus)</t>
  </si>
  <si>
    <t>FERME R.M.A. GERVAIS INC</t>
  </si>
  <si>
    <t>CENTRE DE CONSERVATION DE LA NATURE MONT ST-HILAIRE</t>
  </si>
  <si>
    <t>45.695102</t>
  </si>
  <si>
    <t>-73.155709</t>
  </si>
  <si>
    <t>Servitude de passage (fonds dominant). l’immeuble a été acquis dans le cadre du projet Accélérer la
conservation dans le sud du Québec (ACSQ) de La Société canadienne pour la
conservation de la nature (La SCCN)</t>
  </si>
  <si>
    <t>Louis-Paul PICARD</t>
  </si>
  <si>
    <t>Gabriel PAQUETTE</t>
  </si>
  <si>
    <t>5 877 691</t>
  </si>
  <si>
    <t>rang Saint-François</t>
  </si>
  <si>
    <t>LALMEC INC.,</t>
  </si>
  <si>
    <t>ÉRABLIÈRE JACQUES BOURDEAU INC</t>
  </si>
  <si>
    <t>Lac-Simon</t>
  </si>
  <si>
    <t>Chemin-du-Tour-du-Lac, Lac-Simon</t>
  </si>
  <si>
    <t>45.946405</t>
  </si>
  <si>
    <t>-75.114924</t>
  </si>
  <si>
    <t>forte potentiel acéricole</t>
  </si>
  <si>
    <t>Aline LEMAY</t>
  </si>
  <si>
    <t>Jean SOUCY</t>
  </si>
  <si>
    <t>5 877 585</t>
  </si>
  <si>
    <t>Roméo BLANCHET</t>
  </si>
  <si>
    <t>Jimmy BOURGAULT</t>
  </si>
  <si>
    <t>5 347 701</t>
  </si>
  <si>
    <r>
      <t>8</t>
    </r>
    <r>
      <rPr>
        <i/>
        <sz val="7"/>
        <color theme="1"/>
        <rFont val="Helvetica"/>
        <family val="2"/>
      </rPr>
      <t xml:space="preserve">ième </t>
    </r>
    <r>
      <rPr>
        <i/>
        <sz val="10"/>
        <color theme="1"/>
        <rFont val="Helvetica"/>
        <family val="2"/>
      </rPr>
      <t>rang</t>
    </r>
  </si>
  <si>
    <t>superficie acéricole 9.5 hectares</t>
  </si>
  <si>
    <t xml:space="preserve">28 677 025 </t>
  </si>
  <si>
    <t>5 077 359</t>
  </si>
  <si>
    <t>Pierre-De Saurel</t>
  </si>
  <si>
    <t>Yamaska</t>
  </si>
  <si>
    <t>érable argenté, possible potentiel acéricole, terre enclavée</t>
  </si>
  <si>
    <t>Sylvie DUMONT</t>
  </si>
  <si>
    <t>Xavier DIONNE</t>
  </si>
  <si>
    <t>Sainte-Luce</t>
  </si>
  <si>
    <t>Route 132 Est,  Sainte-Luce</t>
  </si>
  <si>
    <t>48.543477</t>
  </si>
  <si>
    <t>-68.354910</t>
  </si>
  <si>
    <t>Accès optimal (2 km autoroute). Tourbière boisée (100%). Coupe avec protection (3 ha)</t>
  </si>
  <si>
    <t>JUNIOR D’ANJOU</t>
  </si>
  <si>
    <t>MANUELLA STRUKELJ HUMPHERY</t>
  </si>
  <si>
    <t>3 691 326, 3 691 327, 3 691 328</t>
  </si>
  <si>
    <t>Rang des Fiefs, Saint-Raphaël</t>
  </si>
  <si>
    <t>46.769957</t>
  </si>
  <si>
    <t>-70.822756</t>
  </si>
  <si>
    <t>28 684 463</t>
  </si>
  <si>
    <t>feuillu</t>
  </si>
  <si>
    <t>superficie feuillus potentiel acéricole</t>
  </si>
  <si>
    <t>Nathalie SIMARD</t>
  </si>
  <si>
    <t>Hélène TREMBLAY GRENIER et Gabriel TREMBLAY GRENIER</t>
  </si>
  <si>
    <t>chemin Saint-Laurent, Baie-Saint-Paul</t>
  </si>
  <si>
    <t>47.467959</t>
  </si>
  <si>
    <t>-70.49776</t>
  </si>
  <si>
    <t>KREEG INDUSTRIE INC.</t>
  </si>
  <si>
    <t>Annie BOUSQUET, Sylvain PROULX</t>
  </si>
  <si>
    <t>6 610 459</t>
  </si>
  <si>
    <t>Grandes-piles</t>
  </si>
  <si>
    <t>terre en bordure de route, avec un forme irrégulière</t>
  </si>
  <si>
    <t>Jocelyn BOUCHARD</t>
  </si>
  <si>
    <t>Chantale BEAULIEU, Gilles BOIVIN</t>
  </si>
  <si>
    <t>48.265029</t>
  </si>
  <si>
    <t>-70.828557</t>
  </si>
  <si>
    <t>Servitudes de passage (fonds servant et dominant)</t>
  </si>
  <si>
    <t> Richard LECLERC </t>
  </si>
  <si>
    <t> Antoine BRETON , Isaelle BILODEAU-MALLETTE</t>
  </si>
  <si>
    <t> 3 059 301 </t>
  </si>
  <si>
    <t>Route Trans-Compté, Montmagny</t>
  </si>
  <si>
    <t>46.896322</t>
  </si>
  <si>
    <t>-70.506709</t>
  </si>
  <si>
    <t>Luc GIASSON</t>
  </si>
  <si>
    <t>Jocelyn DROLET,Lucie JUTRAS,Kevin DROLET,Vanessa GAUTHIER</t>
  </si>
  <si>
    <t>4 871 779,4 873 269</t>
  </si>
  <si>
    <t>Sainte-thècle</t>
  </si>
  <si>
    <t>Rang 5 Sud Ouest</t>
  </si>
  <si>
    <t>terre séparé entre deux lots , un résineux et zone humides et l'autre feuillus à 100% avec potentiel acéricole</t>
  </si>
  <si>
    <t>Hubert VIVIEN, Serge VIVIEN, Geneviève BANVILLE</t>
  </si>
  <si>
    <t>Claude CHAPDELEINE, Carole PRÉVOST</t>
  </si>
  <si>
    <t>6 335 512</t>
  </si>
  <si>
    <t>essence de bois interessante, avec potentiel acéricle et foret de chêne rouge</t>
  </si>
  <si>
    <t>Jacques BLANCHET</t>
  </si>
  <si>
    <t>Jimmy PELLETIER,Raphaëlle DUBÉ LAVOIE</t>
  </si>
  <si>
    <t>5 347 351</t>
  </si>
  <si>
    <t>5e Rang Ouest</t>
  </si>
  <si>
    <t>potentiel acéricole 4.7 hectares dans la déclivité</t>
  </si>
  <si>
    <t>Luc PARENT</t>
  </si>
  <si>
    <t>Caroline LECLERC,Stéphane SAMSON</t>
  </si>
  <si>
    <t>6 634 041</t>
  </si>
  <si>
    <t>chemin Steel Plante</t>
  </si>
  <si>
    <t>Ligne de transport dans le milieu des terres,
 potentiel acéricole de 2 ha</t>
  </si>
  <si>
    <t>André CASTONGUAY</t>
  </si>
  <si>
    <t>GESTION GEORGES-NOËL FRÉCHETTE INC</t>
  </si>
  <si>
    <t>2e Rang, Sainte-Sophie-d'Halifax</t>
  </si>
  <si>
    <t>46.137544</t>
  </si>
  <si>
    <t>-71.766556</t>
  </si>
  <si>
    <t>Grand potentiel acéricole, presence de cabane à sucre</t>
  </si>
  <si>
    <t> Julienne TREMBLAY, Élianne TREMBLAY, Jules TREMBLAY, Yvan TREMBLAY, Aline TREMBLAY</t>
  </si>
  <si>
    <t> Pascal LEBLOND, Tina BOULIANNE</t>
  </si>
  <si>
    <t>5 401 086 </t>
  </si>
  <si>
    <t>47.721755</t>
  </si>
  <si>
    <t>-70.019420</t>
  </si>
  <si>
    <t>28 745 791</t>
  </si>
  <si>
    <t>ALAIN DARVEAU, BERNARD DARVEAU</t>
  </si>
  <si>
    <t>ÉRABLIÈRE BATISCAN INC Jean-François BRONSARD</t>
  </si>
  <si>
    <t>6 009 465, 6 011 166</t>
  </si>
  <si>
    <t>Mékinac</t>
  </si>
  <si>
    <t>Lac-aux-Sables</t>
  </si>
  <si>
    <t>240, chemin de la Batiscan, Lac-aux-Sables</t>
  </si>
  <si>
    <t xml:space="preserve">Lot 6 011 166 devenu 6 669 879 et 6 669 880. Iots destructuré de type 1
</t>
  </si>
  <si>
    <t>28 745 806</t>
  </si>
  <si>
    <t>5 666 854, 5 666 621</t>
  </si>
  <si>
    <t>ALAIN TOURIGNY, MÉLANIE GAGNON</t>
  </si>
  <si>
    <t>MATHIEU AUGER, SONYA LAMARRE</t>
  </si>
  <si>
    <t>1er rang, Val-Alain</t>
  </si>
  <si>
    <t>-71.704534</t>
  </si>
  <si>
    <t>zone humide (tourbière boisé et marécage)</t>
  </si>
  <si>
    <t>28 753 431</t>
  </si>
  <si>
    <t>2 103 220, 2 103 259</t>
  </si>
  <si>
    <t>Jean-Noël MORISSETTE</t>
  </si>
  <si>
    <t>9425-1717 QUÉBEC INC</t>
  </si>
  <si>
    <t>1 962 444, 1 962 421</t>
  </si>
  <si>
    <t>chemin Aubin, Lévis</t>
  </si>
  <si>
    <t>46.683771</t>
  </si>
  <si>
    <t>-71.421717</t>
  </si>
  <si>
    <t>accessible</t>
  </si>
  <si>
    <t>GESTION F-EL ORION INC Simon Labrecque</t>
  </si>
  <si>
    <t>AMÉNAGEMENTS BRIAN MORISSETTE INC Brian Morissette</t>
  </si>
  <si>
    <t>Route 232 Ouest, à Esprit-Saint</t>
  </si>
  <si>
    <t>48.047324</t>
  </si>
  <si>
    <t>-68.610680</t>
  </si>
  <si>
    <t>MARTIN PELLETIER</t>
  </si>
  <si>
    <t>MARILYN (ALIAS MARYLINE) GODBOUT</t>
  </si>
  <si>
    <t>chemin Ville-Marie, Lévis</t>
  </si>
  <si>
    <t>46.777882</t>
  </si>
  <si>
    <t>-71.013205</t>
  </si>
  <si>
    <t>accessible, bon potentiel acéricole, partie en zone humide</t>
  </si>
  <si>
    <t>Yves LALIBERTÉ</t>
  </si>
  <si>
    <t>Jean-Sébastien LUCAS</t>
  </si>
  <si>
    <t>Rue Saint-Laurent, Saint-Siméon</t>
  </si>
  <si>
    <t>47.817140</t>
  </si>
  <si>
    <t>-69.918655</t>
  </si>
  <si>
    <t>28 773 794</t>
  </si>
  <si>
    <t>André VIENS</t>
  </si>
  <si>
    <t>VILLE DE SAINT-CÉSAIRE</t>
  </si>
  <si>
    <t>6 602 092</t>
  </si>
  <si>
    <t>Rouville</t>
  </si>
  <si>
    <t>Saint-Césaire</t>
  </si>
  <si>
    <t>chemin Saint-François, Saint-Césaire</t>
  </si>
  <si>
    <t>-73.042205</t>
  </si>
  <si>
    <t>10,06</t>
  </si>
  <si>
    <t>Servitude de passage désenclavant le lot. Environ 30% du lot composée de sablière et d'une partie d'un plan d'eau artificiel</t>
  </si>
  <si>
    <t>GESTION CHRISTIAN LACASSE INC</t>
  </si>
  <si>
    <t>Martin OTIS</t>
  </si>
  <si>
    <t>5 304 621, 5 304 263</t>
  </si>
  <si>
    <t>Sainte-Jeanne-d'Arc</t>
  </si>
  <si>
    <t>rang 3 de Massé, Sainte-Jeanne-d'Arc</t>
  </si>
  <si>
    <t>48.464926</t>
  </si>
  <si>
    <t>-67.989506</t>
  </si>
  <si>
    <t>Chemin traversant le lot. Quelques marais</t>
  </si>
  <si>
    <t>28 778 632</t>
  </si>
  <si>
    <t>Saint-Anicet</t>
  </si>
  <si>
    <t>Chemin Leahy, Saint-Anicet</t>
  </si>
  <si>
    <t>-74.298902</t>
  </si>
  <si>
    <t>28 783 690</t>
  </si>
  <si>
    <t>Gilles GAGNON, FERME GILLES ET LOUISE GAGNON INC</t>
  </si>
  <si>
    <t>ÉRABLIÈRE DU LAC PIOUI S.E.N.C. (Sandra Denis et Zachary-David Boissonnault)</t>
  </si>
  <si>
    <t>6 616 605, 5 803 804, 5 804 250</t>
  </si>
  <si>
    <t>Rang Price, Saint-Adelphe</t>
  </si>
  <si>
    <t>-72.335468</t>
  </si>
  <si>
    <t>Forte</t>
  </si>
  <si>
    <t>Cabane à sucre, équipements (évalués à 300 000 $), contingent, 13ha de terres, servitude de passage accordée au vendeur</t>
  </si>
  <si>
    <t>28 788 737</t>
  </si>
  <si>
    <t>Carl VILLENEUVE</t>
  </si>
  <si>
    <t>GESTION LUC FOURNIER INC</t>
  </si>
  <si>
    <t>5 803 595, 5 804 245</t>
  </si>
  <si>
    <t>Rang Saint-Charles, Saint-Prosper-de-Champlain</t>
  </si>
  <si>
    <t>-72.266611</t>
  </si>
  <si>
    <t>28 794 998</t>
  </si>
  <si>
    <t>5 610 444</t>
  </si>
  <si>
    <t>Joliette</t>
  </si>
  <si>
    <t>Sainte-Mélanie</t>
  </si>
  <si>
    <t>Gilles THIBAULT</t>
  </si>
  <si>
    <t>Bertin PARADIS</t>
  </si>
  <si>
    <t>4 762 792, 4 336 305 </t>
  </si>
  <si>
    <t>Saint-Simon</t>
  </si>
  <si>
    <t>Rang 2e Ouest, Saint-Simon</t>
  </si>
  <si>
    <t>48.180244</t>
  </si>
  <si>
    <t>-69.036050</t>
  </si>
  <si>
    <t>ÉRABLIÈRE LA COLOMBE S.E.N.C</t>
  </si>
  <si>
    <t>Sonia Lamontagne,</t>
  </si>
  <si>
    <t>6 625 198, 6 625 201</t>
  </si>
  <si>
    <t>Saint-Ferdinand</t>
  </si>
  <si>
    <t>Rang 2 Sud, Saint-Ferdinand</t>
  </si>
  <si>
    <t>46.095071</t>
  </si>
  <si>
    <t>-71.601994</t>
  </si>
  <si>
    <t>Grand potentiel acéricole, presence de cabane à sucre et d'autre bâtiment</t>
  </si>
  <si>
    <t>SOCIÉTÉ RP ET ASSOCIÉS S.E.N.C. (Raymond PRINCE), Sylvain-Sérey PROM TEP, Jacques COUTU, Françoise ROULEZ, Yves GEOFFROY, Guillaume GEOFFROY</t>
  </si>
  <si>
    <t>GAUMOND INC (Joanie ARSENAULT)</t>
  </si>
  <si>
    <t>5 541 479, 6 536 926, 6 536 927, 6 536 930, 6 539 485, 6 539 486, 6 539 487, 6 539 488, 6 539 489</t>
  </si>
  <si>
    <t>St-Côme</t>
  </si>
  <si>
    <t>Rue de L'Éveil, St-Côme</t>
  </si>
  <si>
    <t>46.239766</t>
  </si>
  <si>
    <t>-73.739519</t>
  </si>
  <si>
    <t>Zone agricole, voie d'accès cadastrées mais aucun emplacement délimit.</t>
  </si>
  <si>
    <t>9381-5900 QUÉBEC INC</t>
  </si>
  <si>
    <t>GESTION FAMILLE RABY INC.,</t>
  </si>
  <si>
    <t>5 437 664, 5 437 663</t>
  </si>
  <si>
    <t>Rue gamache, Saint-Christophe-d'Arthabaska</t>
  </si>
  <si>
    <t>46.022538</t>
  </si>
  <si>
    <t>-71.966636</t>
  </si>
  <si>
    <t>près d'une zone residentiel</t>
  </si>
  <si>
    <t> Camil ROUSSEAU </t>
  </si>
  <si>
    <t> Éric BÉRUBÉ , Caroline BÉRUBÉ, Maxime MAINVILLE</t>
  </si>
  <si>
    <t>4 337 371, 4 337 372, 4 337 357, 4 337 373, 4 337 374</t>
  </si>
  <si>
    <t>Rang 1e, Saint-Simon</t>
  </si>
  <si>
    <t>48.224462</t>
  </si>
  <si>
    <t>-68.991796</t>
  </si>
  <si>
    <t>accécible, presence de cabane à sucre</t>
  </si>
  <si>
    <t>Gilles LEMIEUX</t>
  </si>
  <si>
    <t>Jérôme LAMBERT</t>
  </si>
  <si>
    <t>5525353, 5525465</t>
  </si>
  <si>
    <t>saint-onésime-d'Ixworth</t>
  </si>
  <si>
    <t>Chemin d'ixworth</t>
  </si>
  <si>
    <t>Conrad BELZILE</t>
  </si>
  <si>
    <t>Michel RAJOTTE</t>
  </si>
  <si>
    <t>10e Rang, Saint-Jean-de-la-Lande</t>
  </si>
  <si>
    <t>47.483318</t>
  </si>
  <si>
    <t>-68.699727</t>
  </si>
  <si>
    <t>relativement plane</t>
  </si>
  <si>
    <t>Présence d'un marais</t>
  </si>
  <si>
    <t>Gaston BÉRUBÉ</t>
  </si>
  <si>
    <t>9026-4653 Québec inc.</t>
  </si>
  <si>
    <t>Saint-bruno-de-Kamouraska</t>
  </si>
  <si>
    <t>Chemin de la souche</t>
  </si>
  <si>
    <t>Yvan DIONNE</t>
  </si>
  <si>
    <t>9216-7923 Québec inc.</t>
  </si>
  <si>
    <t>saint-gabriel-lalemant</t>
  </si>
  <si>
    <t>Route Zachary-ouellet</t>
  </si>
  <si>
    <t>Madame Judith BEAULIEU</t>
  </si>
  <si>
    <t>9434313 CANADA INC</t>
  </si>
  <si>
    <t>4 742 179</t>
  </si>
  <si>
    <t>8e Concession</t>
  </si>
  <si>
    <t>9314-4731 QUÉBEC INC.</t>
  </si>
  <si>
    <t>Guy CORMIER,</t>
  </si>
  <si>
    <t>5 483 971, 5 620 579</t>
  </si>
  <si>
    <t>saint-Chrysostome</t>
  </si>
  <si>
    <t>rang Saint-Jo</t>
  </si>
  <si>
    <t>FEUILLUS</t>
  </si>
  <si>
    <t xml:space="preserve">Grande superficie dénudé humide </t>
  </si>
  <si>
    <t>Claude PETERS,</t>
  </si>
  <si>
    <t>Marco BERNIER</t>
  </si>
  <si>
    <t>4 829 950,4 829 955</t>
  </si>
  <si>
    <t>Terrain enclavée, avec deuxième terrain en diagonales.</t>
  </si>
  <si>
    <t>GESTION TURMEL &amp; D.D. INC Émilie DALLAIRE-DUPONT,  Christian
BOISONNEAULT TURMEL, Romain GAUDREAULT, Anne-Marie BOISSONNEAULT-CARON</t>
  </si>
  <si>
    <t>LECLERC AGRICULTURE INC Denis LECLERC</t>
  </si>
  <si>
    <t>3 831 179, 3 831 183</t>
  </si>
  <si>
    <t>55, 2e Rang, Neuville</t>
  </si>
  <si>
    <t>46.732632</t>
  </si>
  <si>
    <t>-71.549493</t>
  </si>
  <si>
    <t>3,1 ha de cultivé</t>
  </si>
  <si>
    <t> Monique (dite Monic) HAMELIN </t>
  </si>
  <si>
    <t>9477-6671 QUÉBEC INC</t>
  </si>
  <si>
    <t>3 383 575, 6 625 936</t>
  </si>
  <si>
    <t xml:space="preserve"> rang Gaspé, à Saint-Apollinaire</t>
  </si>
  <si>
    <t>46.620311</t>
  </si>
  <si>
    <t>-71.474146</t>
  </si>
  <si>
    <t xml:space="preserve">Bon potentiel acericole, presence de cabane à sucre, zone humide </t>
  </si>
  <si>
    <t>Michel-Thomas SIMARD</t>
  </si>
  <si>
    <t>Marc-Olivier BOLDUC</t>
  </si>
  <si>
    <t>4 012 156, 4 012 161</t>
  </si>
  <si>
    <t>Route du Petit-Parc, Saguenay (La Baie)</t>
  </si>
  <si>
    <t>48.255485</t>
  </si>
  <si>
    <t>-70.853642</t>
  </si>
  <si>
    <t>2 lots accessibles</t>
  </si>
  <si>
    <t>9490-3655 QUÉBEC INC.</t>
  </si>
  <si>
    <t>9430-7618 QUÉBEC INC</t>
  </si>
  <si>
    <t>6 632 843</t>
  </si>
  <si>
    <t>263-183 Rang Saint-
Jean-Baptiste</t>
  </si>
  <si>
    <t>Denis LAJOIE</t>
  </si>
  <si>
    <t>Émilie et charles-antoine RIVARD</t>
  </si>
  <si>
    <t>Route de la rivière-mante</t>
  </si>
  <si>
    <t>Yvon AUDET</t>
  </si>
  <si>
    <t>Félix DUMAS</t>
  </si>
  <si>
    <t>5 761 361, 5 761 372,
 5 761 843</t>
  </si>
  <si>
    <t xml:space="preserve"> Saint-Paul-de-Montminy</t>
  </si>
  <si>
    <t>route 283 Sud,
 Saint-Paul-de-Montminy</t>
  </si>
  <si>
    <t>Jules NICOLE,</t>
  </si>
  <si>
    <t>Donald LÉTOURNEAU,</t>
  </si>
  <si>
    <t>5 760 928</t>
  </si>
  <si>
    <t>3e Rang,
 Saint-Paul-de-Montminy</t>
  </si>
  <si>
    <t>Carmen BLANCHET,</t>
  </si>
  <si>
    <t>Alain BERNIER</t>
  </si>
  <si>
    <t>St-Édouard-de-Lotbinière</t>
  </si>
  <si>
    <t>rang Saint-José, St-Édouard-de-Lotbinière</t>
  </si>
  <si>
    <t>46.559359</t>
  </si>
  <si>
    <t>-71.809025</t>
  </si>
  <si>
    <t>Bon potentiel acericole, zone humide (marécage)</t>
  </si>
  <si>
    <t>Rénald DUQUET</t>
  </si>
  <si>
    <t>ARGOUSIER TALCO INC.</t>
  </si>
  <si>
    <t>5 760 748</t>
  </si>
  <si>
    <t>Sainte-Euphémie-sur-
Rivière-du-Sud</t>
  </si>
  <si>
    <t>route de la
 Rivière-du-Pin</t>
  </si>
  <si>
    <t>28 914 624</t>
  </si>
  <si>
    <t>Clément ISABELLE</t>
  </si>
  <si>
    <t>Jean-Pierre LACROIX, Paulin LACROIX</t>
  </si>
  <si>
    <t>4 275 805</t>
  </si>
  <si>
    <t>Armagh</t>
  </si>
  <si>
    <t>rang Saint-Charles, Armagh</t>
  </si>
  <si>
    <t>-70.607990</t>
  </si>
  <si>
    <t>Jacqueline BÉDARD</t>
  </si>
  <si>
    <t>MARTIN LABATTAGLIA, MILIE-JADE HOUDE ET FRANCIS GAUDETTE S.E.N.C</t>
  </si>
  <si>
    <t>Chemin Aubin, dans la ville de Lévis</t>
  </si>
  <si>
    <t>46.670042</t>
  </si>
  <si>
    <t>-71.466365</t>
  </si>
  <si>
    <t>accéssible, presence de bâtiment</t>
  </si>
  <si>
    <t>28 918 097</t>
  </si>
  <si>
    <t>1 963 769</t>
  </si>
  <si>
    <t>Jean-Claude DE NEUVILLE</t>
  </si>
  <si>
    <t>Patrick SOUCY, Annie CLAESSENS</t>
  </si>
  <si>
    <t>1 964 699, 1 964 700</t>
  </si>
  <si>
    <t>route Marie-Victorin, Lévis</t>
  </si>
  <si>
    <t>Peuplement imporductif ou fortement perturbé</t>
  </si>
  <si>
    <t>1859-7294 QUEBEC INC.</t>
  </si>
  <si>
    <t>Renald DUVAL</t>
  </si>
  <si>
    <t>3 769 124</t>
  </si>
  <si>
    <t>Cap-saint-ignace</t>
  </si>
  <si>
    <t>2041-1503 
Rte de l'Espérance</t>
  </si>
  <si>
    <t>28 925 319</t>
  </si>
  <si>
    <t>6 631 557, 6 631 555</t>
  </si>
  <si>
    <t>28 933 746</t>
  </si>
  <si>
    <t>5 665 819, 5 667 161, 5 667 162, 5 667 163, 5 667 164</t>
  </si>
  <si>
    <t>Monsieur Jacques GUIMOND</t>
  </si>
  <si>
    <t>Monsieur Dave ARBOUR</t>
  </si>
  <si>
    <t>4 986 967, 4 987 280</t>
  </si>
  <si>
    <t>Saint-Gabriel-de-Rimouski</t>
  </si>
  <si>
    <t>48.442025</t>
  </si>
  <si>
    <t>-68.111802</t>
  </si>
  <si>
    <t>Déclvité</t>
  </si>
  <si>
    <t>Enclavement. Présence d'un étang. Quelques milieux humides (tourbières, marais)</t>
  </si>
  <si>
    <t>Albertine BÉLANGER</t>
  </si>
  <si>
    <t>Marc-André LABERGE</t>
  </si>
  <si>
    <t>3 769 496</t>
  </si>
  <si>
    <t>Route Collin</t>
  </si>
  <si>
    <t>FERME TULLOCHGORUM S.E.N.C.,</t>
  </si>
  <si>
    <t>9361-7850 QUÉBEC</t>
  </si>
  <si>
    <t>6 063 915</t>
  </si>
  <si>
    <t>potentiel acéricole sur 100% du boisé</t>
  </si>
  <si>
    <t>28 965 462</t>
  </si>
  <si>
    <t>FERME TULLOCHGORUM S.E.N.C., Steven LALONDE, Lorraine Jean LAMB</t>
  </si>
  <si>
    <t>9361-7850 QUÉBEC INC. (Jason BRYSON,)</t>
  </si>
  <si>
    <t>-73.915010</t>
  </si>
  <si>
    <t>Réal THÉRIAULT</t>
  </si>
  <si>
    <t>Sylvie LÉVESQUE</t>
  </si>
  <si>
    <t>Saint-Octave-de-Métis</t>
  </si>
  <si>
    <t>chemin Kempt, Saint-Octave-de-Métis</t>
  </si>
  <si>
    <t>48.590840</t>
  </si>
  <si>
    <t>-68.047260</t>
  </si>
  <si>
    <t>Présente d'un étang à l'extrémité du lot.</t>
  </si>
  <si>
    <t>Éric DORÉ</t>
  </si>
  <si>
    <t>Dany TANGUAY et Nanette BOULE</t>
  </si>
  <si>
    <t>Route de Holliday</t>
  </si>
  <si>
    <t>Lac sur la propriété, déclivité importante</t>
  </si>
  <si>
    <t>Hélène BEAUREGARD</t>
  </si>
  <si>
    <t>Daniel MICHAUD, Chantal MALTAIS</t>
  </si>
  <si>
    <t>4e rang Nord, Saint-Charles-sur-Richelieu</t>
  </si>
  <si>
    <t>45.636943</t>
  </si>
  <si>
    <t>-73.100594</t>
  </si>
  <si>
    <t>cabanon, un hangar à tracteur, une remise à bois, la cabane du bucheron</t>
  </si>
  <si>
    <t>Jean-Baptiste DESROSIERS</t>
  </si>
  <si>
    <t>Martin ROY</t>
  </si>
  <si>
    <t>5 304 383,6 052 645</t>
  </si>
  <si>
    <t>sainte-jeanne-d'arc</t>
  </si>
  <si>
    <t>route Rochefort, sainte-jeanne-d'arc</t>
  </si>
  <si>
    <t>48.502156</t>
  </si>
  <si>
    <t>-67.969503</t>
  </si>
  <si>
    <t>Accès favorable. Milieux humides (tourbières boisées et marécages)</t>
  </si>
  <si>
    <t>Richard COUETTE</t>
  </si>
  <si>
    <t>ÉRABLIÈRE YVON COUETTE INC.</t>
  </si>
  <si>
    <t>6 045 561</t>
  </si>
  <si>
    <t>rue Principale, 
Sainte-Lucie-de-Beauregard</t>
  </si>
  <si>
    <t>20-42 Rue Principale</t>
  </si>
  <si>
    <t>FERME P. &amp; M. CHAMPAGNE INC.,</t>
  </si>
  <si>
    <t>PRODUCTIONS JACO INC.</t>
  </si>
  <si>
    <t>6 641 362</t>
  </si>
  <si>
    <t>421 Rang St-Mathieu</t>
  </si>
  <si>
    <t>terre décrit par localisation et centimètre dans l'acte, presence de batiments</t>
  </si>
  <si>
    <t>Denis LECHASSEUR</t>
  </si>
  <si>
    <t>Marie-Ève LALANCETTE, Guillaume GIRARD, Simon LALANCETTE</t>
  </si>
  <si>
    <t>4 012 183, 4 012 184</t>
  </si>
  <si>
    <t>chemin de la Rivière, Saguenay (La Baie)</t>
  </si>
  <si>
    <t>48.263509</t>
  </si>
  <si>
    <t>-70.915219</t>
  </si>
  <si>
    <t>2968-1608 QUÉBEC INC.</t>
  </si>
  <si>
    <t>Denis ÉTHIER, Marie-Hélène PARADIS</t>
  </si>
  <si>
    <t>5 574 310</t>
  </si>
  <si>
    <t>Saint-Pierre-de-la-rivière
-du-sud</t>
  </si>
  <si>
    <t>Route St-Pierre</t>
  </si>
  <si>
    <t>3 481 056, 6 181 496</t>
  </si>
  <si>
    <t>Rue Principale, Sainte-Cécile-de-Whitton</t>
  </si>
  <si>
    <t>45.677900</t>
  </si>
  <si>
    <t>-70.905231</t>
  </si>
  <si>
    <t>Près du lac des Trois Milles</t>
  </si>
  <si>
    <t>Jean-François RICHARD</t>
  </si>
  <si>
    <t>François CASAULT</t>
  </si>
  <si>
    <t>3 250 141</t>
  </si>
  <si>
    <t>36-28 Chem. Des
 Érables O</t>
  </si>
  <si>
    <t>Line ST-AMAND</t>
  </si>
  <si>
    <t>Nicolas BÉDARD GERVAIS</t>
  </si>
  <si>
    <t>6 454 833</t>
  </si>
  <si>
    <t>terre enclavée</t>
  </si>
  <si>
    <t>29 020 913</t>
  </si>
  <si>
    <t>6 379 308</t>
  </si>
  <si>
    <t>Sylvie CÔTÉ,</t>
  </si>
  <si>
    <t>Serge FISET,</t>
  </si>
  <si>
    <t>3 831 243</t>
  </si>
  <si>
    <t>neuville</t>
  </si>
  <si>
    <r>
      <t>640, 2</t>
    </r>
    <r>
      <rPr>
        <i/>
        <sz val="7"/>
        <color theme="1"/>
        <rFont val="Helvetica"/>
        <family val="2"/>
      </rPr>
      <t xml:space="preserve">e </t>
    </r>
    <r>
      <rPr>
        <i/>
        <sz val="11"/>
        <color theme="1"/>
        <rFont val="Helvetica"/>
        <family val="2"/>
      </rPr>
      <t>rang</t>
    </r>
  </si>
  <si>
    <t>Adam Jamroch</t>
  </si>
  <si>
    <t>Patrick McDonald, Sylvie Boulanger, Jannick McDonald</t>
  </si>
  <si>
    <t>5 266 202,5 266 200</t>
  </si>
  <si>
    <t>Hinchinbrooke</t>
  </si>
  <si>
    <t xml:space="preserve">Potentiel acériocle </t>
  </si>
  <si>
    <t>LES INVESTISSEMENTS DURABLES INC.
NATHAN GAGNON INC.</t>
  </si>
  <si>
    <t>Brielle LEMAY, Fabrice ROBITAILLE</t>
  </si>
  <si>
    <t>6 639 661,6 639 662</t>
  </si>
  <si>
    <t>Gosford Nord</t>
  </si>
  <si>
    <t>8.7 ha de potentiel acéricole</t>
  </si>
  <si>
    <t>Mario GEOFFROY,</t>
  </si>
  <si>
    <t>André ANGERS</t>
  </si>
  <si>
    <t>2 980 041</t>
  </si>
  <si>
    <t>rang Charles-Albert</t>
  </si>
  <si>
    <t>29 048 340</t>
  </si>
  <si>
    <t>ÉRABLIÈRE G. PAQUET Ginette PAQUET</t>
  </si>
  <si>
    <t>LES AS DU SIROP S.E.N.C. Angélo GAUTHIER et Serge GAUTHIER</t>
  </si>
  <si>
    <t>2 979 850, 2 979 852</t>
  </si>
  <si>
    <t>1230-1250, chemin du Transcontinental Est, Portneuf</t>
  </si>
  <si>
    <t>-71.884019</t>
  </si>
  <si>
    <t>Cabane construite en 1988</t>
  </si>
  <si>
    <t>29 051 690</t>
  </si>
  <si>
    <t>6 317 095</t>
  </si>
  <si>
    <t>Daniel DUBUC, Isabelle MICHAUD</t>
  </si>
  <si>
    <t>MATRICAIRE S.E.N.C. Isabelle LAMOTHE et Geneviève
MARTINEAU-TRÉPANIER</t>
  </si>
  <si>
    <t>5 961 289, 6 321 697, 6 321 698, 6 321 699, 6 321 700</t>
  </si>
  <si>
    <t xml:space="preserve"> Sainte-Béatrix</t>
  </si>
  <si>
    <t>rang Ste-Agathe, Sainte-Béatrix</t>
  </si>
  <si>
    <t>46.249715</t>
  </si>
  <si>
    <t>-73.643659</t>
  </si>
  <si>
    <t>Accès route. Petit étang</t>
  </si>
  <si>
    <t>29 055 527</t>
  </si>
  <si>
    <t>2 103 216, 2 103 253, 2 103 289</t>
  </si>
  <si>
    <t>CHARLES-ÉTIENNE 
FALARDEAU</t>
  </si>
  <si>
    <t>SUCRERIE S. PERRON &amp; FILS</t>
  </si>
  <si>
    <t>6 648 655</t>
  </si>
  <si>
    <t>Saint-alban</t>
  </si>
  <si>
    <t>chemin du Lac-Long</t>
  </si>
  <si>
    <t>Lina CLOUTIER,</t>
  </si>
  <si>
    <t>Guillaume ANGERS-RENAUD,
Christine ALBALADEJO,</t>
  </si>
  <si>
    <t>4 491 158,
4 491 159</t>
  </si>
  <si>
    <t>saint-raymond</t>
  </si>
  <si>
    <t>Grande Ligne</t>
  </si>
  <si>
    <t>Potentiel acéricole, lot enclavé, proximité de route 367</t>
  </si>
  <si>
    <r>
      <t>Marcel MOISAN</t>
    </r>
    <r>
      <rPr>
        <i/>
        <sz val="12"/>
        <color theme="1"/>
        <rFont val="Helvetica"/>
        <family val="2"/>
      </rPr>
      <t>,</t>
    </r>
  </si>
  <si>
    <r>
      <t>Nicolas TRUDEL</t>
    </r>
    <r>
      <rPr>
        <i/>
        <sz val="12"/>
        <color theme="1"/>
        <rFont val="Helvetica"/>
        <family val="2"/>
      </rPr>
      <t>,</t>
    </r>
  </si>
  <si>
    <t>6 279 242,6 279 246, 
6 279 247,6 279 248</t>
  </si>
  <si>
    <t>Saint-léonard-de-
portneuf</t>
  </si>
  <si>
    <t>chemin de l'Aulnière</t>
  </si>
  <si>
    <t>Potentiel acéricole, un des lots est la route qui se rend, 
donation de 21 250 $ dans le prix de vente</t>
  </si>
  <si>
    <t>29 085 784</t>
  </si>
  <si>
    <t>GESTION RENÉ POULIOT INC</t>
  </si>
  <si>
    <t>Jonathan GRENIER</t>
  </si>
  <si>
    <t>3 692 039, 3 692 041</t>
  </si>
  <si>
    <t>petite superficie acéricole, terre enclavée</t>
  </si>
  <si>
    <t>Wilbrod P. VEILLEUX</t>
  </si>
  <si>
    <t>René MICHAUD</t>
  </si>
  <si>
    <t>4 328 640, 4 328 642</t>
  </si>
  <si>
    <t>rang Gravel, Dégelis</t>
  </si>
  <si>
    <t>47.550274</t>
  </si>
  <si>
    <t>-68.582607</t>
  </si>
  <si>
    <t>2 lots non contigus</t>
  </si>
  <si>
    <t>André WELSH,</t>
  </si>
  <si>
    <t>Emmanuel DION-WEISS,</t>
  </si>
  <si>
    <t>4 908 023</t>
  </si>
  <si>
    <t>saint-christine-d'auvergne</t>
  </si>
  <si>
    <t>Alexandre Néron</t>
  </si>
  <si>
    <t>Simon Gobeil</t>
  </si>
  <si>
    <t>Cap à l'ouest, Saguenay (La Baie)</t>
  </si>
  <si>
    <t>48.367703</t>
  </si>
  <si>
    <t>-70.824257</t>
  </si>
  <si>
    <t>Accès chemin public</t>
  </si>
  <si>
    <t>Gisèle BEAUPRÉ,</t>
  </si>
  <si>
    <t>Gabriel PLAMONDON,</t>
  </si>
  <si>
    <t>rue des Déco</t>
  </si>
  <si>
    <t>potentiel acéricole, derrière lot constructible</t>
  </si>
  <si>
    <t>ROGER LORD</t>
  </si>
  <si>
    <t>JEAN-CLAUDE BOISVERT</t>
  </si>
  <si>
    <t>5 877 650</t>
  </si>
  <si>
    <t>rang Petit Saint-Charles</t>
  </si>
  <si>
    <t>Normand LÉVESQUE</t>
  </si>
  <si>
    <t>Jean-francois DUVAL et Nathalie ANH VAN DANG VU</t>
  </si>
  <si>
    <t>petit bâtiment sur la propriété</t>
  </si>
  <si>
    <t>Madame Valérie POTVIN</t>
  </si>
  <si>
    <t>GESTION SLEV INC.</t>
  </si>
  <si>
    <t>4 987 499,4 988 398,4 988 399,4 988 224</t>
  </si>
  <si>
    <t>Saint-Charles-Garnier</t>
  </si>
  <si>
    <t>7ième Rang Ouest</t>
  </si>
  <si>
    <t>Mixte (dominance
 résineux)</t>
  </si>
  <si>
    <t>Remise</t>
  </si>
  <si>
    <t> France LAFRENIÈRE </t>
  </si>
  <si>
    <t> GESTION FORCES BÉDARD INC </t>
  </si>
  <si>
    <t>3 894 254, 4 247 470</t>
  </si>
  <si>
    <t>Rue Marc Aurèle Fortin</t>
  </si>
  <si>
    <t>banlieue de lachute, potentiel acéricole de 27.4ha</t>
  </si>
  <si>
    <t>29 114 120</t>
  </si>
  <si>
    <t>2 845 610, 2 845 611, 2 845 612</t>
  </si>
  <si>
    <t>Stéphane ROSS</t>
  </si>
  <si>
    <t>Samuel DEROY</t>
  </si>
  <si>
    <t>5 763 553, 5 765 491</t>
  </si>
  <si>
    <t>route du Grand-Remous à Saint-Octave-de-Métis</t>
  </si>
  <si>
    <t>48.566303</t>
  </si>
  <si>
    <t>-68.108338</t>
  </si>
  <si>
    <t>Bordé par Rivière Mitis. Aucun milieu humide</t>
  </si>
  <si>
    <t>29 115 394</t>
  </si>
  <si>
    <t>4   891   380</t>
  </si>
  <si>
    <t>Denis COUTU, Johanne DUGAS</t>
  </si>
  <si>
    <t>Léandre BOURDELAIS, Andrée-Ann LABRECQUE</t>
  </si>
  <si>
    <t>4 261 446</t>
  </si>
  <si>
    <t>d'autray</t>
  </si>
  <si>
    <t>Saint-cuthbert</t>
  </si>
  <si>
    <t>2.2 hectare d'acéricole, enclavé, grande zone innondé au milieu du boisé</t>
  </si>
  <si>
    <t>Éric CHRÉTIEN, Daniel LECLERC</t>
  </si>
  <si>
    <t>GESTION FRANCIS BELLERIVE INC</t>
  </si>
  <si>
    <t>3 768 633</t>
  </si>
  <si>
    <t>-70.137833</t>
  </si>
  <si>
    <t xml:space="preserve">très accessible, bord du parc régional des appalaches, </t>
  </si>
  <si>
    <t>29 124 711</t>
  </si>
  <si>
    <t>4 890 830</t>
  </si>
  <si>
    <t>29 124 495</t>
  </si>
  <si>
    <t>6 653 226</t>
  </si>
  <si>
    <t>Saint-Robert</t>
  </si>
  <si>
    <t>Bordure de chemin de fer, terre enclavée</t>
  </si>
  <si>
    <t>LES ÉLEVAGES BONNEAU INC.</t>
  </si>
  <si>
    <t>Jean-Paul BONNEAU</t>
  </si>
  <si>
    <t>3 475 708</t>
  </si>
  <si>
    <t>187-53 rang st-Catherine</t>
  </si>
  <si>
    <t>Michael CULLEN,
Doreen CULLEN,</t>
  </si>
  <si>
    <t>Marc DESHARNAIS,Sylvain PROVOST,</t>
  </si>
  <si>
    <t>5 222 300, 5 221 761</t>
  </si>
  <si>
    <t>Linton</t>
  </si>
  <si>
    <t>rang de la Rivière 
Batiscan Beaudet</t>
  </si>
  <si>
    <t>montagne (imposant)</t>
  </si>
  <si>
    <t>29 141 762</t>
  </si>
  <si>
    <t>Claire MORRISSETTE</t>
  </si>
  <si>
    <t>9163-5995 QUÉBEC INC Camil Veillet</t>
  </si>
  <si>
    <t>5 617 467, 5 619 538, 5 619 539</t>
  </si>
  <si>
    <t>Sainte-Geneviève-de-Batiscan</t>
  </si>
  <si>
    <t>rang des Forges à Sainte-Geneviève-de-Batiscan</t>
  </si>
  <si>
    <t>-72.385698</t>
  </si>
  <si>
    <t>Gilbert DUSABLON</t>
  </si>
  <si>
    <t>CARRIÈRES ST-UBALDE INC.</t>
  </si>
  <si>
    <t>5 020 827</t>
  </si>
  <si>
    <t>Saint-thuribe</t>
  </si>
  <si>
    <t>ligne de transport dans le milieu, potentiel acéricole</t>
  </si>
  <si>
    <t>LES IMMEUBLES PELCHAUD INC Éric Michaud</t>
  </si>
  <si>
    <t>GESTION PASCAL SOUCY INC Pascal SOUCY</t>
  </si>
  <si>
    <t>5 304 505, 5 304 752</t>
  </si>
  <si>
    <t>Le Mitis</t>
  </si>
  <si>
    <t>Sainte-Jeanne-d'Arc-de-Matane</t>
  </si>
  <si>
    <t>route Rochefort, à Sainte-Jeanne-d'Arc-de-Matane</t>
  </si>
  <si>
    <t>48.471907</t>
  </si>
  <si>
    <t>-67.910207</t>
  </si>
  <si>
    <t>Déclivité (localisée)</t>
  </si>
  <si>
    <t>Servitude de passage en sa faveur. Chemin traversant. Étang. Tourbière boisée et marécage.</t>
  </si>
  <si>
    <t>Luc PELLETIER</t>
  </si>
  <si>
    <t>Guy BÉLANGER</t>
  </si>
  <si>
    <t>5 574 170</t>
  </si>
  <si>
    <t>-70.421503</t>
  </si>
  <si>
    <t>Accessible, taux de couverture bas, 100% résineux</t>
  </si>
  <si>
    <t>David JOHNSTON</t>
  </si>
  <si>
    <t>Maxim GIRARD,Emma Louise DENIS</t>
  </si>
  <si>
    <t>3 040 044</t>
  </si>
  <si>
    <t>Route 329</t>
  </si>
  <si>
    <t>derrière des emplacement résidentiel, 
potentiel acéricole de 6.2</t>
  </si>
  <si>
    <t>29 162 486</t>
  </si>
  <si>
    <t>Gérard CÔTÉ</t>
  </si>
  <si>
    <t>DOMAINE D’OR &amp; D’ÉRABLE S.E.N.C. Marie-Josée
Alarie et Danny Perron</t>
  </si>
  <si>
    <t>5 189 553, 5 190 632, 5 190 938, 5 190 939</t>
  </si>
  <si>
    <t>Saint-Narcisse</t>
  </si>
  <si>
    <t>Rang Sainte-Marguerite, Saint-Narcisse</t>
  </si>
  <si>
    <t>-72.500940</t>
  </si>
  <si>
    <t>17 667</t>
  </si>
  <si>
    <t>Équipements : 132 000,00$
Matériel roulant : 7 000,00$
Bâtiments : 65 000,00$
Fonds de terre avec son contingent : 421 000,00$
- Osmose Lapierre 3 membranes;
- Réservoir en stainless 4850 gallons;
- Bulk Tank en stainless
- Relâcheur Lapierre avec pompe submersible;
- 65 barils en stainless Lapierre;
- Pompe vacuum SIHI 7.5 hp;
- Pompe à eau stainless;
- Accessoires et outillage pour maintenance acéricole;
- Motoneige Skandic 1995;
- Système Datacer;
- Scies mécaniques;
- Débrousailleuse Husqvarna;
- 2 conteneurs.</t>
  </si>
  <si>
    <t>29 161 192</t>
  </si>
  <si>
    <t>5 039 604</t>
  </si>
  <si>
    <t>Terrill Franklin Robbins MASON</t>
  </si>
  <si>
    <t>Adam JAMROCH</t>
  </si>
  <si>
    <t>5 266 496</t>
  </si>
  <si>
    <t>Chemin Gowan</t>
  </si>
  <si>
    <t>superficie de dénudé humide</t>
  </si>
  <si>
    <t>29 164 641</t>
  </si>
  <si>
    <t>Carole HARDY</t>
  </si>
  <si>
    <t>LA CABANE DE LA CHUTE À L'OURS INC. (Jean-René Côté)</t>
  </si>
  <si>
    <t xml:space="preserve">5222072, 5222073, 5222382, 5222385, 5222386, 5222071, 5222243
</t>
  </si>
  <si>
    <t>Saint-Leonard-de-Portneuf</t>
  </si>
  <si>
    <t>Rang Saint-Paul, Saint-Leonard-de-Portneuf</t>
  </si>
  <si>
    <t>-71.993524</t>
  </si>
  <si>
    <t>Zone blanche, contigu à 2 plans d'eau</t>
  </si>
  <si>
    <t>2433-7529 QUÉBEC INC.,</t>
  </si>
  <si>
    <t>FERME YVES BONIN INC.</t>
  </si>
  <si>
    <t>4 163 947</t>
  </si>
  <si>
    <t>Lanoraie</t>
  </si>
  <si>
    <t>bord de l'autoroute, ligne de passage d'hydro qui passe par la terre.</t>
  </si>
  <si>
    <t>Alain BENOIT</t>
  </si>
  <si>
    <t>CENTRE DE CONSERVATION DE LA NATURE MONT ST-HILAIRE,</t>
  </si>
  <si>
    <t>45.702350</t>
  </si>
  <si>
    <t>-73.167808</t>
  </si>
  <si>
    <t>Robin CÔTÉ</t>
  </si>
  <si>
    <t>Vincent GENDRON</t>
  </si>
  <si>
    <t>Saguenay (Chicoutimi)</t>
  </si>
  <si>
    <t>48.320822</t>
  </si>
  <si>
    <t>-71.154296</t>
  </si>
  <si>
    <t>Chemin privé d'accès, situation potentielle d'enclave</t>
  </si>
  <si>
    <t>Sébastien CRÊTE</t>
  </si>
  <si>
    <t>ÉRABLIÈRE BEAULIEU</t>
  </si>
  <si>
    <t>5 805 979</t>
  </si>
  <si>
    <t>3e rang</t>
  </si>
  <si>
    <t>potentiel acéricole de 5.2 hectares, petite essences de résineux</t>
  </si>
  <si>
    <t>29 182 998</t>
  </si>
  <si>
    <t>ÉRABLIÈRE BEAULIEU (2020) INC Rock BEAULIEU</t>
  </si>
  <si>
    <t>3e Rang, Ormstown</t>
  </si>
  <si>
    <t>-74.004747</t>
  </si>
  <si>
    <t>Rosario MARCOTTE,
Rita JACKSON,</t>
  </si>
  <si>
    <t>WELSH ET FILS INC.,</t>
  </si>
  <si>
    <t>4 907 927,4 907 930</t>
  </si>
  <si>
    <t>Route d'Irlande</t>
  </si>
  <si>
    <t>Denis PATRY</t>
  </si>
  <si>
    <t>DOMAINE LETAN S.E.N.C.,</t>
  </si>
  <si>
    <t>6 652 359</t>
  </si>
  <si>
    <t>saint-nazaire-de-dorchester</t>
  </si>
  <si>
    <t>29 190 147</t>
  </si>
  <si>
    <t>Richard ST-AMANT</t>
  </si>
  <si>
    <t>Ariane LAURENCE-ROULEAU et Isaac PARKS-PILON</t>
  </si>
  <si>
    <t>4 175 943</t>
  </si>
  <si>
    <t>-72.151544</t>
  </si>
  <si>
    <t>29 193 196</t>
  </si>
  <si>
    <t>6 415 715</t>
  </si>
  <si>
    <t>29 197 274</t>
  </si>
  <si>
    <t>Marc FORTIN</t>
  </si>
  <si>
    <t>9532-3457 QUÉBEC INC</t>
  </si>
  <si>
    <t>3 787 961</t>
  </si>
  <si>
    <t>Orford</t>
  </si>
  <si>
    <t>grande terre boisée accessible et sans potentiel acéricole</t>
  </si>
  <si>
    <t>29 196 608</t>
  </si>
  <si>
    <t>Yves MARTEL</t>
  </si>
  <si>
    <t>Michel LEMIRE, Marie-Pierre RICARD</t>
  </si>
  <si>
    <t>4 009 756</t>
  </si>
  <si>
    <t>3e Concession, Sainte-Catherine-dela-
Jacques-Cartier</t>
  </si>
  <si>
    <t>-71.570315</t>
  </si>
  <si>
    <t>Ligne HydroQuébec à l'extrémité du lot</t>
  </si>
  <si>
    <t>ALFRED BERNIER</t>
  </si>
  <si>
    <t>CHANTALE BELLEY, PIERRE-ALEXANDRE BLAIS-DORÉ</t>
  </si>
  <si>
    <t>4 829 119, 4 829 121</t>
  </si>
  <si>
    <t>l'islet</t>
  </si>
  <si>
    <t>Saint-damase-de-l'islet</t>
  </si>
  <si>
    <t>superficie irrégulière, superficice acéricole difficilement exploitable</t>
  </si>
  <si>
    <t>Gestion Jean-claude grondin inc.</t>
  </si>
  <si>
    <t>9224-8194 quebec inc.</t>
  </si>
  <si>
    <t>Enclavée, potentiel acéricole</t>
  </si>
  <si>
    <t>Bryan L'ARCHVÊQUE</t>
  </si>
  <si>
    <t>DR JEAN-PHILIPPE MICHEL INC</t>
  </si>
  <si>
    <t>6 718 091, 6 718 092</t>
  </si>
  <si>
    <t>Sainte-Émélie-de -L'Énergie</t>
  </si>
  <si>
    <t>Rang de la Feuilled'Érable,
Sainte-Émélie-de -L'Énergie</t>
  </si>
  <si>
    <t>46.291228</t>
  </si>
  <si>
    <t>-73.637154</t>
  </si>
  <si>
    <t>Accès route</t>
  </si>
  <si>
    <t>Germain BEAUPRÉ
Normand BEAUPRÉ</t>
  </si>
  <si>
    <t>14731301 CANADA LTD</t>
  </si>
  <si>
    <t>4 491 147, 4 491 148, 
4 491 503, 4 491 504</t>
  </si>
  <si>
    <t>chemin du Lac Sept-Îles Sud</t>
  </si>
  <si>
    <t>à cote du lac 7 iles</t>
  </si>
  <si>
    <t>29 205 235</t>
  </si>
  <si>
    <t>Guylain Roy</t>
  </si>
  <si>
    <t>Geneviève Marceau</t>
  </si>
  <si>
    <t>5 617 646</t>
  </si>
  <si>
    <t>-72.367660</t>
  </si>
  <si>
    <t>Bâtisse construite 2021 (185 000 $ dans l'acte) 'Génératrice 1200 watts;
- Vacuum pour 3000 à 5000 entailles;
- Bouilleux Dominion Gimm 3 par 12;
- Sitorier;
- Malaxeur à sucre;
- Canneuse;
- Pompe à eau d’érable;
- 35 cordes de bois</t>
  </si>
  <si>
    <t>Nicole ANCTIL</t>
  </si>
  <si>
    <t>Gisèle CARON</t>
  </si>
  <si>
    <t xml:space="preserve"> Saint-Octave-de-Métis</t>
  </si>
  <si>
    <t>rang D de- Cabot, Saint-Octave-de-Métis</t>
  </si>
  <si>
    <t>48.557798</t>
  </si>
  <si>
    <t>-68.080729</t>
  </si>
  <si>
    <t>Lot enclavé, servitude de passage en sa faveur. Aucun milieu humide.</t>
  </si>
  <si>
    <t>29 205 756</t>
  </si>
  <si>
    <t>5 773 874</t>
  </si>
  <si>
    <t>29 204 368</t>
  </si>
  <si>
    <t>4 392 524</t>
  </si>
  <si>
    <t>Martine VEILLEUX</t>
  </si>
  <si>
    <t>Anthony DOYON, Joanie LEFEBVRE</t>
  </si>
  <si>
    <t>6 654 933</t>
  </si>
  <si>
    <r>
      <t>6</t>
    </r>
    <r>
      <rPr>
        <i/>
        <sz val="7"/>
        <color theme="1"/>
        <rFont val="Helvetica"/>
        <family val="2"/>
      </rPr>
      <t xml:space="preserve">e </t>
    </r>
    <r>
      <rPr>
        <i/>
        <sz val="10"/>
        <color theme="1"/>
        <rFont val="Helvetica"/>
        <family val="2"/>
      </rPr>
      <t>Rang</t>
    </r>
  </si>
  <si>
    <t>terre en prairie au bord de la route, accès indivise au lot 4 698 996</t>
  </si>
  <si>
    <t>29 211 121</t>
  </si>
  <si>
    <t>Luc CHAGNON, Roland CHAGNON</t>
  </si>
  <si>
    <t>ÉRABLIÈRE GUILBERT INC Simon GUILBERT</t>
  </si>
  <si>
    <t>2 326 450, 2 326 729, 2 326 728</t>
  </si>
  <si>
    <t>Sainte-Christine</t>
  </si>
  <si>
    <t>846, 1er Rang Ouest à Sainte-Christine</t>
  </si>
  <si>
    <t>-72.460623</t>
  </si>
  <si>
    <t>Mesures Demeter</t>
  </si>
  <si>
    <t>2.8 ha de friche (ancienne prairie)</t>
  </si>
  <si>
    <t>159408 usage résdientiel permis</t>
  </si>
  <si>
    <t>29 210 429</t>
  </si>
  <si>
    <t>5 393 571</t>
  </si>
  <si>
    <t>29 212 145</t>
  </si>
  <si>
    <t>4 997 270</t>
  </si>
  <si>
    <t>9135-7772 QUÉBEC INC Jean BARIL</t>
  </si>
  <si>
    <t>9279-7638 QUÉBEC INC Ludovic MARCOTTE</t>
  </si>
  <si>
    <t>Chertsey</t>
  </si>
  <si>
    <t>46.203571</t>
  </si>
  <si>
    <t>-73.821745</t>
  </si>
  <si>
    <t>Enclavé (servitude passage), partie de lac</t>
  </si>
  <si>
    <t>29 220 746</t>
  </si>
  <si>
    <t>9445-0160 QUÉBEC INC.</t>
  </si>
  <si>
    <t>9386-0104 QUÉBEC INC</t>
  </si>
  <si>
    <t xml:space="preserve">5 000 800, 5 001 738, 5 001 739, 5 001 740 </t>
  </si>
  <si>
    <t>Newport</t>
  </si>
  <si>
    <t>chemin Goddard</t>
  </si>
  <si>
    <t>plusieurs lots, difficile d'accès mais très bon pitentiel acéricole</t>
  </si>
  <si>
    <t>29 218 559</t>
  </si>
  <si>
    <t>5 155 553</t>
  </si>
  <si>
    <t>Sylvain CHRÉTIEN</t>
  </si>
  <si>
    <t>Steve BOLDUC</t>
  </si>
  <si>
    <t>4 261 305</t>
  </si>
  <si>
    <t>Enclavée, en zone blanche, zone innondé et ligne qui traverse la terre</t>
  </si>
  <si>
    <t>29 223 130</t>
  </si>
  <si>
    <t>Martial ST-JACQUES</t>
  </si>
  <si>
    <t>CABANE À ZYB INC (Yanick BOUCHER)</t>
  </si>
  <si>
    <t>5 620 272</t>
  </si>
  <si>
    <t>Havelock</t>
  </si>
  <si>
    <t>730, Chemin Covey Hill, Havelock</t>
  </si>
  <si>
    <t>-73.715300</t>
  </si>
  <si>
    <t>Grange</t>
  </si>
  <si>
    <t>Résidence</t>
  </si>
  <si>
    <t>29 221 442</t>
  </si>
  <si>
    <t>4 583 142</t>
  </si>
  <si>
    <t>la Côte-de-Beaupré</t>
  </si>
  <si>
    <t>3 481 197, 3 806 945, 3 806 946, 3 806 947</t>
  </si>
  <si>
    <t>45.616016</t>
  </si>
  <si>
    <t>-70.863773</t>
  </si>
  <si>
    <t>Partie longeant rivière</t>
  </si>
  <si>
    <t>Clément HUOT</t>
  </si>
  <si>
    <t>Yvan SYLVESTRE et Daphné ROUSSEAU</t>
  </si>
  <si>
    <t>1 670 325</t>
  </si>
  <si>
    <t>Rue jetté</t>
  </si>
  <si>
    <t>5 ha d'acéricole</t>
  </si>
  <si>
    <t>29 229 366</t>
  </si>
  <si>
    <t>Robert GAUMOND</t>
  </si>
  <si>
    <t>K &amp; P FORESTIER S.E.N.C</t>
  </si>
  <si>
    <t>4 486 411</t>
  </si>
  <si>
    <t>chemin Camiré</t>
  </si>
  <si>
    <t>Michel Gagnon</t>
  </si>
  <si>
    <t>Jean-Philippe BÉLANGER</t>
  </si>
  <si>
    <t>6 662 671</t>
  </si>
  <si>
    <t xml:space="preserve">7.7 hectares en prairie </t>
  </si>
  <si>
    <t>29 227 703</t>
  </si>
  <si>
    <t>6 647 693</t>
  </si>
  <si>
    <t>29 234 772</t>
  </si>
  <si>
    <t>Damien GAGNON</t>
  </si>
  <si>
    <t>Martine HÉBERT</t>
  </si>
  <si>
    <t>5 803 495</t>
  </si>
  <si>
    <t>-72.307759</t>
  </si>
  <si>
    <t>Accès chemin forestier</t>
  </si>
  <si>
    <t>3 480 567, 3 481 446</t>
  </si>
  <si>
    <t>45.742454</t>
  </si>
  <si>
    <t>-70.967143</t>
  </si>
  <si>
    <t>Secteur défriché (6,5 ha)</t>
  </si>
  <si>
    <t>29 234 638</t>
  </si>
  <si>
    <t>2 891 676, 2 891 687</t>
  </si>
  <si>
    <t>29 236 600</t>
  </si>
  <si>
    <t>GESTION JEDACO INC Jean Cournoyer</t>
  </si>
  <si>
    <t>LA BELLE FERME (2016) INC Nathalie Leblanc et Eric Beaudoin</t>
  </si>
  <si>
    <t>2 707 398, 2 709 540</t>
  </si>
  <si>
    <t>Saint-Hugues</t>
  </si>
  <si>
    <t>2250, 3e rang, Saint-Hugues</t>
  </si>
  <si>
    <t>-72.801162</t>
  </si>
  <si>
    <t>Bâtiment</t>
  </si>
  <si>
    <t>Équipement</t>
  </si>
  <si>
    <t>29 236 283</t>
  </si>
  <si>
    <t>6 611 664</t>
  </si>
  <si>
    <t>29 242 831</t>
  </si>
  <si>
    <t>5 719 756, 5 721 092</t>
  </si>
  <si>
    <t>29 246 491</t>
  </si>
  <si>
    <t>5 772 809</t>
  </si>
  <si>
    <t xml:space="preserve">29 247 937 </t>
  </si>
  <si>
    <t>5 772 311</t>
  </si>
  <si>
    <t> 8082448 CANADA INC.</t>
  </si>
  <si>
    <t> 9534-2093 QUÉBEC INC. </t>
  </si>
  <si>
    <t> 5 173 919 </t>
  </si>
  <si>
    <t>mille-isles</t>
  </si>
  <si>
    <t>217 QC-329</t>
  </si>
  <si>
    <t>9.1 ha de acéricole</t>
  </si>
  <si>
    <t>Hélène POMERLEAU, Annie POMERLEAU, François POMERLEAU,</t>
  </si>
  <si>
    <t>Émile JOLICOEUR</t>
  </si>
  <si>
    <t>5 425 471</t>
  </si>
  <si>
    <t>Saint-Martin</t>
  </si>
  <si>
    <t>terre de grande taille, potentiel acéricole et érable a sucre</t>
  </si>
  <si>
    <t>Michel DALLAIRE, Évelyne BOUCHARD, Guillaume GIRARD, Renaud DALLAIRE</t>
  </si>
  <si>
    <t>Kevin MAHEUX, Audrey DESJARDINS</t>
  </si>
  <si>
    <t>Chemin de la Montagne,
Sainte-Émélie-de -L'Énergie</t>
  </si>
  <si>
    <t>46.337327</t>
  </si>
  <si>
    <t>-73.637135</t>
  </si>
  <si>
    <t>Accès voie publique</t>
  </si>
  <si>
    <t>VICTORIEN LEMAY LTÉE Richard LEMAY</t>
  </si>
  <si>
    <t>Andréanne ROY François ASSELIN</t>
  </si>
  <si>
    <t>4 765 999, 4 766 000</t>
  </si>
  <si>
    <t>47.521937</t>
  </si>
  <si>
    <t>-68.862800</t>
  </si>
  <si>
    <t>Secteur inondé, nombreux chemins, en exploitation</t>
  </si>
  <si>
    <t>4 972 312, 4 973 712</t>
  </si>
  <si>
    <t>45.556322</t>
  </si>
  <si>
    <t>-70.886310</t>
  </si>
  <si>
    <t>2,7 ha en zone blanche</t>
  </si>
  <si>
    <t>139318 (autorisation aliénation)</t>
  </si>
  <si>
    <t>29 275 157</t>
  </si>
  <si>
    <t>Rodrigue JEAN</t>
  </si>
  <si>
    <t>Michaël BEAUREGARD</t>
  </si>
  <si>
    <t>5 285 594</t>
  </si>
  <si>
    <t>chemin Deblois</t>
  </si>
  <si>
    <t>Superficie acéricole au 2 extrémités du lot</t>
  </si>
  <si>
    <t>Norbert Fetzer</t>
  </si>
  <si>
    <t>Alexandre Moreau</t>
  </si>
  <si>
    <t>5 266 528, 5 692 691</t>
  </si>
  <si>
    <t>chemin Gore</t>
  </si>
  <si>
    <t>en partie</t>
  </si>
  <si>
    <t>vente incorporant terrain résidentiel</t>
  </si>
  <si>
    <t>29 280 345</t>
  </si>
  <si>
    <t>2 893 755</t>
  </si>
  <si>
    <t>Martin BERGERON</t>
  </si>
  <si>
    <t>4 012 152, 4 012 153, 4 014 248, 4 014 251</t>
  </si>
  <si>
    <t>48.250346</t>
  </si>
  <si>
    <t>-70.848383</t>
  </si>
  <si>
    <t>30-39%</t>
  </si>
  <si>
    <t>3 lots (+1 de 600 mc)</t>
  </si>
  <si>
    <t>Rachel BERNIER</t>
  </si>
  <si>
    <t>Hélène CARABIN</t>
  </si>
  <si>
    <t>3 787 579</t>
  </si>
  <si>
    <t>très bon potentiel acéricole, accessible</t>
  </si>
  <si>
    <t>DANY LAPOINTE</t>
  </si>
  <si>
    <t>PIERRE-LUC BÉLANGER, MARYSE CORRIVEAU, MÉLISSA BÉLANGER, NICOLAS CORRIVEAU</t>
  </si>
  <si>
    <t>4 128 216</t>
  </si>
  <si>
    <t>Saint-philémon</t>
  </si>
  <si>
    <t>bon potentiel acéricole, chemin passant sur toute la longeur de la terre</t>
  </si>
  <si>
    <t>29 288 950</t>
  </si>
  <si>
    <t>1506-5709 QUÉBEC INC Brigitte Blais</t>
  </si>
  <si>
    <t>LES ÉRABLIÈRES F.D.D. INC Guillaume Dodier</t>
  </si>
  <si>
    <t>4 500 072, 4 500 079</t>
  </si>
  <si>
    <t>Val-Racine</t>
  </si>
  <si>
    <t>2482-2498, chemin Saint-Léon, à Val-Racine,</t>
  </si>
  <si>
    <t>-71.086287</t>
  </si>
  <si>
    <t>62.5% du lot 4500079 et 100% 4500072. Matériel et équipement inclus</t>
  </si>
  <si>
    <t xml:space="preserve">29 289 389 </t>
  </si>
  <si>
    <t>5 362 236</t>
  </si>
  <si>
    <r>
      <t xml:space="preserve"> Jacques </t>
    </r>
    <r>
      <rPr>
        <b/>
        <sz val="11"/>
        <color theme="1"/>
        <rFont val="Arial"/>
        <family val="2"/>
      </rPr>
      <t>PICARD </t>
    </r>
  </si>
  <si>
    <r>
      <t> </t>
    </r>
    <r>
      <rPr>
        <b/>
        <sz val="11"/>
        <color theme="1"/>
        <rFont val="Arial"/>
        <family val="2"/>
      </rPr>
      <t>Maxime NOËL </t>
    </r>
  </si>
  <si>
    <t>4 128 359 </t>
  </si>
  <si>
    <t>potentiel acéricole et chemin beau faisant la longueur du terrain</t>
  </si>
  <si>
    <t>29 293 455</t>
  </si>
  <si>
    <t>4 438 928</t>
  </si>
  <si>
    <t>Claire Langlois</t>
  </si>
  <si>
    <t>Amenagement Forestier Karl Pare Inc.</t>
  </si>
  <si>
    <t>4 603 178</t>
  </si>
  <si>
    <t>Thetford-Mines</t>
  </si>
  <si>
    <t>boul Frontenac E, Thetford-Mines</t>
  </si>
  <si>
    <t>-71.202261</t>
  </si>
  <si>
    <t>29 301 497</t>
  </si>
  <si>
    <t>3 732 919</t>
  </si>
  <si>
    <t>saint-Ours</t>
  </si>
  <si>
    <t>cabane sur la propritété, bordure de rivière, petite superficie de résineux au sud de la terre</t>
  </si>
  <si>
    <t>29 312 713</t>
  </si>
  <si>
    <t>9214-3841 QUÉBEC INC.,</t>
  </si>
  <si>
    <t>Mario BELVAL</t>
  </si>
  <si>
    <t>6 668 346</t>
  </si>
  <si>
    <t>Magog</t>
  </si>
  <si>
    <t>accessible, zone blanche, bon potentiel acéricole</t>
  </si>
  <si>
    <t>9459-2326 QUÉBEC INC</t>
  </si>
  <si>
    <t>9466-1733 QUÉBEC INC.</t>
  </si>
  <si>
    <t>6 644 141</t>
  </si>
  <si>
    <t>Saint-rené</t>
  </si>
  <si>
    <t>rue de la Fabrique</t>
  </si>
  <si>
    <t>29 313 483</t>
  </si>
  <si>
    <t>1 964 952, 1 964 953</t>
  </si>
  <si>
    <r>
      <t> </t>
    </r>
    <r>
      <rPr>
        <b/>
        <sz val="11"/>
        <color theme="1"/>
        <rFont val="Arial"/>
        <family val="2"/>
      </rPr>
      <t>PELLETIER ÉQUIPEMENTS D'ÉRABLIÈRES INC </t>
    </r>
  </si>
  <si>
    <r>
      <t> </t>
    </r>
    <r>
      <rPr>
        <b/>
        <sz val="11"/>
        <color theme="1"/>
        <rFont val="Arial"/>
        <family val="2"/>
      </rPr>
      <t>ÉRABLIÈRE W. ROBICHAUD INC. </t>
    </r>
  </si>
  <si>
    <t>6 665 691 </t>
  </si>
  <si>
    <t>Saint-perpétue</t>
  </si>
  <si>
    <t>érablière sur la propriété, vendue avec équipement et bâtiment</t>
  </si>
  <si>
    <t>Sylvain ROY</t>
  </si>
  <si>
    <t>Jonathan GODBOUT</t>
  </si>
  <si>
    <t>3 929 661</t>
  </si>
  <si>
    <t>Saint-néréé-de-Bellchasse</t>
  </si>
  <si>
    <t>accèssible avec des superficies vide (ancienne terres?)</t>
  </si>
  <si>
    <t>Monsieur Régis GAUTHIER</t>
  </si>
  <si>
    <t>DOMAINE LECHASSEUR INC Michel-André LECHASSEUR</t>
  </si>
  <si>
    <t xml:space="preserve"> Saint-Charles-Garnier</t>
  </si>
  <si>
    <t>9e rang Est, à Saint-Charles-Garnier</t>
  </si>
  <si>
    <t>48.323359</t>
  </si>
  <si>
    <t>-67.997381</t>
  </si>
  <si>
    <t>Chemin traversant le lot. Tourbière boisée à l'extrémité</t>
  </si>
  <si>
    <t>29 328 140</t>
  </si>
  <si>
    <t>Louise GAGNON</t>
  </si>
  <si>
    <t>CONSERVATION DE LA NATURE - QUÉBEC Claire DUCHARME</t>
  </si>
  <si>
    <t>4 343 032, 4 703 825, 4 343 044</t>
  </si>
  <si>
    <t>Les Bergeronnes</t>
  </si>
  <si>
    <t>route 138, Les Bergeronnes</t>
  </si>
  <si>
    <t>-69.564968</t>
  </si>
  <si>
    <t>Terre riveraine du Fleuve</t>
  </si>
  <si>
    <t>29 329 097</t>
  </si>
  <si>
    <t>LA CABANE AUX PETITS OISEAUX S.E.N.C. Magalie BROUILLARD et Sébastien PLANTE</t>
  </si>
  <si>
    <t>CENTRE DU PNEU UPTON INC Martin COURTEMANCHE</t>
  </si>
  <si>
    <t>2 709 575</t>
  </si>
  <si>
    <t>3e rang, Saint-Hugues</t>
  </si>
  <si>
    <t>-72.792638</t>
  </si>
  <si>
    <t>Un conteneur avec relâcheur, une pompe à vacuum, un bassin, un osmoseur et
la tubulure;</t>
  </si>
  <si>
    <t xml:space="preserve">29 342 683 </t>
  </si>
  <si>
    <t>3 514 454</t>
  </si>
  <si>
    <t>Gabrielle VEILLETTE, Mathieu MOREAU</t>
  </si>
  <si>
    <t>Jean-Luc DONTIGNY</t>
  </si>
  <si>
    <t>6 667 347</t>
  </si>
  <si>
    <t>dans description, le vendeur est décris comme cessionnaire, peut etre raison du prix bas</t>
  </si>
  <si>
    <t>Serge MASSÉ</t>
  </si>
  <si>
    <t>GESTION FRÉDÉRIC GAUDREAULT INC</t>
  </si>
  <si>
    <t>5 304 068,5 304 069, 5 304 735, 5 304 736</t>
  </si>
  <si>
    <t>La Rédemption</t>
  </si>
  <si>
    <t>2e Rang, La Rédemption</t>
  </si>
  <si>
    <t>48.468346</t>
  </si>
  <si>
    <t>-67.860411</t>
  </si>
  <si>
    <t>Accès favorable. Milieux humides (marécages)</t>
  </si>
  <si>
    <t>218257 (lotissement 3 001 pc usage résidentiel)</t>
  </si>
  <si>
    <t>45.646639</t>
  </si>
  <si>
    <t>-70.834418</t>
  </si>
  <si>
    <t>plane et déclivité</t>
  </si>
  <si>
    <t>Alain GRAVEL</t>
  </si>
  <si>
    <t>Maxime BRIÈRE, Daniel NOËL</t>
  </si>
  <si>
    <t>5 394 242</t>
  </si>
  <si>
    <t xml:space="preserve">terre en bordure de 3 municipalités, portion du boisé en feuillus indeterminés </t>
  </si>
  <si>
    <t>Suzie POULIN</t>
  </si>
  <si>
    <t>9377-5021 QUÉBEC INC</t>
  </si>
  <si>
    <t>3 747 794</t>
  </si>
  <si>
    <t>Saint-côme-linière</t>
  </si>
  <si>
    <r>
      <t>2310, 4</t>
    </r>
    <r>
      <rPr>
        <i/>
        <sz val="7"/>
        <color theme="1"/>
        <rFont val="Helvetica"/>
        <family val="2"/>
      </rPr>
      <t xml:space="preserve">e </t>
    </r>
    <r>
      <rPr>
        <i/>
        <sz val="10"/>
        <color theme="1"/>
        <rFont val="Helvetica"/>
        <family val="2"/>
      </rPr>
      <t>Rang</t>
    </r>
  </si>
  <si>
    <t>accessible, chemin passant dans la terre</t>
  </si>
  <si>
    <t>29 348 910</t>
  </si>
  <si>
    <t>5 438 627</t>
  </si>
  <si>
    <t>29 347 529</t>
  </si>
  <si>
    <t>3 919 467</t>
  </si>
  <si>
    <t>Sorel-Tracy</t>
  </si>
  <si>
    <t>dépôt marin au nord de la terre,  terre enclavée</t>
  </si>
  <si>
    <t>29 347 193</t>
  </si>
  <si>
    <t>5 697 739, 5 697 742, 5 698 362, 5 697 741, 5 697 734, 5 697 910</t>
  </si>
  <si>
    <t>Gilles TAWELL</t>
  </si>
  <si>
    <t>France GILBERT,Charles TRÉPANIER</t>
  </si>
  <si>
    <t>4 577 247, 4 576 742</t>
  </si>
  <si>
    <t>Saint-léon-de-standon</t>
  </si>
  <si>
    <t>Terre située en montagne, potentiel acéricole dans celle-ci</t>
  </si>
  <si>
    <t>29 350 936</t>
  </si>
  <si>
    <t>Alcide ALLARD</t>
  </si>
  <si>
    <t>LA CABANE ROSE 2 INC François ROBERGE</t>
  </si>
  <si>
    <t>chemin Lakeside, Lac-Brome</t>
  </si>
  <si>
    <t>-72.508262</t>
  </si>
  <si>
    <t>29 351 365</t>
  </si>
  <si>
    <t>5 773 860, 5 773 864</t>
  </si>
  <si>
    <t xml:space="preserve">29 351 493 </t>
  </si>
  <si>
    <t>6  547  025</t>
  </si>
  <si>
    <t>Cynthia OUELLET</t>
  </si>
  <si>
    <t>Michaël THIBEAULT</t>
  </si>
  <si>
    <t>5 934 926, 5 934 925, 5 934 924, 5 934 644</t>
  </si>
  <si>
    <t>Métis-sur-Mer</t>
  </si>
  <si>
    <t>5e Rang Est, Métis-sur-Mer</t>
  </si>
  <si>
    <t>48.662915</t>
  </si>
  <si>
    <t>-67.879275</t>
  </si>
  <si>
    <t>2 lots séparés par un cours d'eau (sans pont) avec marécages avoisinants. En majeure partie enclavé.</t>
  </si>
  <si>
    <t>FERME GABYVES ENR. S.E.N.C.</t>
  </si>
  <si>
    <t>Marie-Anne POULIN</t>
  </si>
  <si>
    <t>6 666 747</t>
  </si>
  <si>
    <t>Saint-Théophile</t>
  </si>
  <si>
    <t>Bon potentiel acéricole, form de terre très irréglière</t>
  </si>
  <si>
    <t>29 381 202</t>
  </si>
  <si>
    <t>6 661  056</t>
  </si>
  <si>
    <t>29 380 622</t>
  </si>
  <si>
    <t>5 438 324</t>
  </si>
  <si>
    <t>29 384 013</t>
  </si>
  <si>
    <t>La-Nouvelle-Beauce</t>
  </si>
  <si>
    <t>29 381 947</t>
  </si>
  <si>
    <t>5  532  763, 5 533 167, 5 533 168, 5 532 758</t>
  </si>
  <si>
    <t>29 393 003</t>
  </si>
  <si>
    <t>Gérard LUSSIER</t>
  </si>
  <si>
    <t>BOISÉ LUSSIER-PAQUETTE S.E.N.C.,</t>
  </si>
  <si>
    <t>3 472 378</t>
  </si>
  <si>
    <t>weedon</t>
  </si>
  <si>
    <t>537, chemin Lemaquie</t>
  </si>
  <si>
    <t>accessible, chemin passant par le milieu de la terre</t>
  </si>
  <si>
    <t>29 397 975</t>
  </si>
  <si>
    <t>9440-0637 QUÉBEC INC.,</t>
  </si>
  <si>
    <t>Marco BLANCHETTE,</t>
  </si>
  <si>
    <t>6 424 043</t>
  </si>
  <si>
    <t>Hampden</t>
  </si>
  <si>
    <t>Route 214 Est</t>
  </si>
  <si>
    <t>Zone blanche, zone innond. Au fond du lot</t>
  </si>
  <si>
    <t>Guy H. FARAND</t>
  </si>
  <si>
    <t>VILLE DE SAINT-LAZARE</t>
  </si>
  <si>
    <t>3 499 636</t>
  </si>
  <si>
    <t>Gilles GAGNON</t>
  </si>
  <si>
    <t>Patrick GIRARD</t>
  </si>
  <si>
    <t>chemin Saint-Antoine, Saguenay (La Baie)</t>
  </si>
  <si>
    <t>48.281515</t>
  </si>
  <si>
    <t>-70.950325</t>
  </si>
  <si>
    <t>servitude réciproque de passage</t>
  </si>
  <si>
    <r>
      <t> </t>
    </r>
    <r>
      <rPr>
        <b/>
        <sz val="11"/>
        <color theme="1"/>
        <rFont val="Arial"/>
        <family val="2"/>
      </rPr>
      <t>9469-4940 QUÉBEC INC </t>
    </r>
  </si>
  <si>
    <r>
      <t> </t>
    </r>
    <r>
      <rPr>
        <b/>
        <sz val="11"/>
        <color theme="1"/>
        <rFont val="Arial"/>
        <family val="2"/>
      </rPr>
      <t>9259-9786 QUÉBEC I </t>
    </r>
  </si>
  <si>
    <t>4 128 262, 4 128 263</t>
  </si>
  <si>
    <t>superficie autres (carrière de 6.9hectares)</t>
  </si>
  <si>
    <t>29 409 252</t>
  </si>
  <si>
    <t>Bruno ROBERT</t>
  </si>
  <si>
    <t>GROUPE COSTA INC. / COSTA GROUP INC.</t>
  </si>
  <si>
    <t>5 554 801, 5 553 907,5 553 823</t>
  </si>
  <si>
    <t>Potton</t>
  </si>
  <si>
    <t>chemin White,</t>
  </si>
  <si>
    <t>terre coupée par plusieurs routes, 100% de potentiel acéricole</t>
  </si>
  <si>
    <t>29 417 377</t>
  </si>
  <si>
    <t>9216-7469 QUÉBEC INC Carl YAMMINE</t>
  </si>
  <si>
    <t>9257-6768 QUÉBEC INC Olivier LEBLANC</t>
  </si>
  <si>
    <t>1 803 323, 1 803 726</t>
  </si>
  <si>
    <t>Coaticook</t>
  </si>
  <si>
    <t>Compton</t>
  </si>
  <si>
    <t>chemin du Fer-à-Cheval, Compton</t>
  </si>
  <si>
    <t>-71.915344</t>
  </si>
  <si>
    <t>LES ENTREPRISES DELFORGE ET FILS INC</t>
  </si>
  <si>
    <t>Stéphane LAROCHE</t>
  </si>
  <si>
    <t>3 350 462, 3 350 465, 3 350 466</t>
  </si>
  <si>
    <t>très-saint-rédempteur</t>
  </si>
  <si>
    <t>petit lot qui relie la terre au chemin</t>
  </si>
  <si>
    <t>29 422 843</t>
  </si>
  <si>
    <t>Joscelin DENIS</t>
  </si>
  <si>
    <t>Olivier Fiset</t>
  </si>
  <si>
    <t>4366 349</t>
  </si>
  <si>
    <t>2e concession, Sainte-Catherine-de-la-Jacques-Cartier</t>
  </si>
  <si>
    <t>-71.517238</t>
  </si>
  <si>
    <t>Benoit SOUCY</t>
  </si>
  <si>
    <t>Alexandrine MATHIEU</t>
  </si>
  <si>
    <t>2 397 710</t>
  </si>
  <si>
    <t>Sainte-Marthe</t>
  </si>
  <si>
    <t>à proximité de sainte-marthe, situéer au bouts d'un cul-de-sac</t>
  </si>
  <si>
    <t>Sonia FOURNIER</t>
  </si>
  <si>
    <t>FORESTERIE TRUDEL INC</t>
  </si>
  <si>
    <t>4 706 103, 4 706 705, 4 706 113</t>
  </si>
  <si>
    <t>dorchester</t>
  </si>
  <si>
    <t>Rivière passant par le milieu de la terre boisée</t>
  </si>
  <si>
    <t>29 433 533</t>
  </si>
  <si>
    <t>DÉVELOPPEMENT SQUAREFOOTAGE INC et GESTION IMMOBILIÈRE SQUAREFOOTAGE INCStéphane BOIVIN</t>
  </si>
  <si>
    <t>ÉRABLIÈRE DAVID BOURDEAU INC David BOURDEAU</t>
  </si>
  <si>
    <t>5 620 518, 5 620 521</t>
  </si>
  <si>
    <t>533, Route 203, Havelock</t>
  </si>
  <si>
    <t>-73.764998</t>
  </si>
  <si>
    <t>Gangars (5), cabane à sucre</t>
  </si>
  <si>
    <t>29 440 692</t>
  </si>
  <si>
    <t>LES VERGERS FRANKLIN S.E.N.C Sylvain Barré</t>
  </si>
  <si>
    <t>2959-4363 QUÉBEC INC Dominique Henderson, et Dave Henderson</t>
  </si>
  <si>
    <t>5 620 423, 5 620 424</t>
  </si>
  <si>
    <t>Franklin</t>
  </si>
  <si>
    <t>1300 rang Dumas à Franklin</t>
  </si>
  <si>
    <t>-73.952958</t>
  </si>
  <si>
    <t>29 440 597</t>
  </si>
  <si>
    <t>4439595, 6276406, 4439597</t>
  </si>
  <si>
    <t>29 453 302</t>
  </si>
  <si>
    <t>2 150 956</t>
  </si>
  <si>
    <t>29 455 141</t>
  </si>
  <si>
    <t>5 465 805</t>
  </si>
  <si>
    <t>29 459 607</t>
  </si>
  <si>
    <t>Paul CARRIER</t>
  </si>
  <si>
    <t>Pierre-Luc TALBOT,</t>
  </si>
  <si>
    <t>4 772 861</t>
  </si>
  <si>
    <t>Bury</t>
  </si>
  <si>
    <t>chemin du Maine</t>
  </si>
  <si>
    <t xml:space="preserve">superficie feuillus à lextermité sud du lot, </t>
  </si>
  <si>
    <t>Fernande Fortier</t>
  </si>
  <si>
    <t>Patry 2020 Inc.</t>
  </si>
  <si>
    <t>St-Joseph-De-Coleraine</t>
  </si>
  <si>
    <t>ch du Lac-Bisby, St-Joseph-De-Coleraine</t>
  </si>
  <si>
    <t>-71.301436</t>
  </si>
  <si>
    <t>29 467 550</t>
  </si>
  <si>
    <r>
      <t> </t>
    </r>
    <r>
      <rPr>
        <b/>
        <sz val="10"/>
        <color theme="1"/>
        <rFont val="Arial"/>
        <family val="2"/>
      </rPr>
      <t>Josee DESLAURIERS SHEARING </t>
    </r>
  </si>
  <si>
    <r>
      <t> </t>
    </r>
    <r>
      <rPr>
        <b/>
        <sz val="10"/>
        <color theme="1"/>
        <rFont val="Arial"/>
        <family val="2"/>
      </rPr>
      <t>Nicolas VEILLEUX </t>
    </r>
  </si>
  <si>
    <t>4 117 630</t>
  </si>
  <si>
    <r>
      <t> </t>
    </r>
    <r>
      <rPr>
        <sz val="10"/>
        <color theme="1"/>
        <rFont val="Arial"/>
        <family val="2"/>
      </rPr>
      <t>chemin Côté </t>
    </r>
  </si>
  <si>
    <t>taux de couverture faible, terre résineuse</t>
  </si>
  <si>
    <t>Éric BRISSETTE</t>
  </si>
  <si>
    <t>DOMAINE RAY ET LILI S.E.N.C.</t>
  </si>
  <si>
    <t xml:space="preserve"> Saint-Mathieu-de-Beloeil</t>
  </si>
  <si>
    <t>chemin de la Vallée, Saint-Mathieu-de-Beloeil</t>
  </si>
  <si>
    <t>45.624817</t>
  </si>
  <si>
    <t>-73.270611</t>
  </si>
  <si>
    <t xml:space="preserve">29 479 920 </t>
  </si>
  <si>
    <t>5  466  101</t>
  </si>
  <si>
    <t>29 495 535</t>
  </si>
  <si>
    <r>
      <t> </t>
    </r>
    <r>
      <rPr>
        <b/>
        <sz val="10"/>
        <color theme="1"/>
        <rFont val="Arial"/>
        <family val="2"/>
      </rPr>
      <t>Trudy BEATON </t>
    </r>
  </si>
  <si>
    <t> BRIGITTE MARTEL ET SERGE GILBERT S.E.N.C. </t>
  </si>
  <si>
    <t>4 117 491</t>
  </si>
  <si>
    <t>Lingwick</t>
  </si>
  <si>
    <t> Route 108 </t>
  </si>
  <si>
    <t>superficie acéricole, superficie de coupe à l'ouest du lot, forme irrégulière</t>
  </si>
  <si>
    <t xml:space="preserve">29 500 729 </t>
  </si>
  <si>
    <t>Gisèle BERTRAND</t>
  </si>
  <si>
    <t>Mélissa GRENIER</t>
  </si>
  <si>
    <t>4 742 191</t>
  </si>
  <si>
    <t>Potentiel acéricole au nord du lot, enclavée, grande quantité de résineux</t>
  </si>
  <si>
    <t>29 511 082</t>
  </si>
  <si>
    <t>Norberto BARROSO</t>
  </si>
  <si>
    <t>Johanne VERMETTE,</t>
  </si>
  <si>
    <t>5 191 566</t>
  </si>
  <si>
    <t>saint-Étienne-de-Bolton</t>
  </si>
  <si>
    <t>zone acéricole concentrée au début du lot, accessible</t>
  </si>
  <si>
    <t>29 527 168</t>
  </si>
  <si>
    <t>5 465 233</t>
  </si>
  <si>
    <t>29 531 049</t>
  </si>
  <si>
    <t>5 454 506, 5 454 822</t>
  </si>
  <si>
    <t>29 540 474</t>
  </si>
  <si>
    <t>JEAN TREMBLAY</t>
  </si>
  <si>
    <t>LES SUCRES DU MONT MÉGANTIC Jean-Luc Tremblay</t>
  </si>
  <si>
    <t>4 499 988</t>
  </si>
  <si>
    <t>8065, chemin Doyon, à Val-Racine</t>
  </si>
  <si>
    <t>-71.107814</t>
  </si>
  <si>
    <t>29 539 047</t>
  </si>
  <si>
    <t>4 433 244</t>
  </si>
  <si>
    <t>Michel MOREL</t>
  </si>
  <si>
    <t>Simon GAUDREAU, Gabriel BOISSEAU, Isabelle ROY</t>
  </si>
  <si>
    <t>4 261 447</t>
  </si>
  <si>
    <t xml:space="preserve">2 hectares d'acéricole, </t>
  </si>
  <si>
    <t>29 546 946</t>
  </si>
  <si>
    <t>5 772 195</t>
  </si>
  <si>
    <t>29 549 752</t>
  </si>
  <si>
    <t>Leo HAMEL,</t>
  </si>
  <si>
    <t>10415812 CANADA INC</t>
  </si>
  <si>
    <t>4 487 552, 4 488 395</t>
  </si>
  <si>
    <t>chemin Laberee</t>
  </si>
  <si>
    <t>bonne superficie de feuillus, peut d epotentiel acéricole, superficie de terre au sud du lot</t>
  </si>
  <si>
    <t xml:space="preserve">29 551 455 </t>
  </si>
  <si>
    <t>André CANTIN</t>
  </si>
  <si>
    <t>CYBERSÉQURITÉ INC. Serge Drolet</t>
  </si>
  <si>
    <t>4 742 108</t>
  </si>
  <si>
    <t>-71.695001</t>
  </si>
  <si>
    <t>16121977 CANADA INC</t>
  </si>
  <si>
    <t>LES ENTREPRISES G.H.T. INC</t>
  </si>
  <si>
    <t>3 692 139</t>
  </si>
  <si>
    <t>taux de couverture bas, zone innondé à l'est du lot</t>
  </si>
  <si>
    <t>Yvon LAFRENIÈRE</t>
  </si>
  <si>
    <t>Jean-François DESMARAIS</t>
  </si>
  <si>
    <t>rang du Ruisseau Nord, Saint-Marc-sur-Richelieu</t>
  </si>
  <si>
    <t>45.651304</t>
  </si>
  <si>
    <t>-73.266149</t>
  </si>
  <si>
    <t>servitude de droit de passage, sans assiette, contre
les lots numéros 5 130 955 et 5 310 708</t>
  </si>
  <si>
    <t>29 559 158</t>
  </si>
  <si>
    <t>Léo DION</t>
  </si>
  <si>
    <t>GESTION M. LORTIE INC Martin LORTIE</t>
  </si>
  <si>
    <t>4 490 890</t>
  </si>
  <si>
    <t>Saint-Raymond</t>
  </si>
  <si>
    <t>Rang Saint-Mathias, Saint-Raymond</t>
  </si>
  <si>
    <t>-71.765200</t>
  </si>
  <si>
    <t>29 567 314</t>
  </si>
  <si>
    <t>Ville De Thetford Mines</t>
  </si>
  <si>
    <t>Erabliere Du Reservoir Inc.</t>
  </si>
  <si>
    <t>rue Perron, Thetford-Mines</t>
  </si>
  <si>
    <t>-71.232559</t>
  </si>
  <si>
    <t>René ROBERGE, Sonia DROLET</t>
  </si>
  <si>
    <t>Patrick BOISSONNEAULT-LIRETTE, Francheska HAYES</t>
  </si>
  <si>
    <t>6 401 254</t>
  </si>
  <si>
    <t>Sainte-félicité</t>
  </si>
  <si>
    <t>accessible, plusieurs ruisseaux intermittent, petite superficie acéricole</t>
  </si>
  <si>
    <t>29 573 052</t>
  </si>
  <si>
    <t>3 965 826</t>
  </si>
  <si>
    <t>Bernadette CÔTÉ</t>
  </si>
  <si>
    <t>Serge BUREAU</t>
  </si>
  <si>
    <t>1 828 598, 4 065 265</t>
  </si>
  <si>
    <t>29 580 692</t>
  </si>
  <si>
    <t>GESTION EEXS INC</t>
  </si>
  <si>
    <t>3 226 388</t>
  </si>
  <si>
    <t>saint-honoré-de-témiscouata</t>
  </si>
  <si>
    <t>zone blanche</t>
  </si>
  <si>
    <t>29 585 291</t>
  </si>
  <si>
    <t>L’ERABLIERE COVEY HILL Maurice BERTHIAUME et
Monique LAPLANTE</t>
  </si>
  <si>
    <t>RANCH FERRARO INC Audrey FERRARO</t>
  </si>
  <si>
    <t>5 620 280, 6 222 641</t>
  </si>
  <si>
    <t>760 Chemin Covey Hill, Havelock</t>
  </si>
  <si>
    <t>-73.708459</t>
  </si>
  <si>
    <t>Faible déclivité</t>
  </si>
  <si>
    <t>Tubulure acéricole, réservoir en stainless 4,000 gallons, pompe, pump house.</t>
  </si>
  <si>
    <t>29 590 997</t>
  </si>
  <si>
    <t>Gaétan COSSETTE</t>
  </si>
  <si>
    <t>Yves LEFEBVRE, Kathleen LEBLANC</t>
  </si>
  <si>
    <t>5 803 486</t>
  </si>
  <si>
    <t>rang Saint-Charles, Saint-Prosper</t>
  </si>
  <si>
    <t>-72.299131</t>
  </si>
  <si>
    <r>
      <t> </t>
    </r>
    <r>
      <rPr>
        <b/>
        <sz val="11"/>
        <color theme="1"/>
        <rFont val="Arial"/>
        <family val="2"/>
      </rPr>
      <t>Alain RICHARD, André RICHARD</t>
    </r>
  </si>
  <si>
    <r>
      <t> </t>
    </r>
    <r>
      <rPr>
        <b/>
        <sz val="11"/>
        <color theme="1"/>
        <rFont val="Arial"/>
        <family val="2"/>
      </rPr>
      <t>9245-4958 QUÉBEC INC </t>
    </r>
  </si>
  <si>
    <r>
      <t> </t>
    </r>
    <r>
      <rPr>
        <b/>
        <sz val="11"/>
        <color theme="1"/>
        <rFont val="Arial"/>
        <family val="2"/>
      </rPr>
      <t>6 159 734 </t>
    </r>
  </si>
  <si>
    <t>Saint-adalbert</t>
  </si>
  <si>
    <t>plusieurs superficie acéricoles, difficile d'exploitation, ruisseau passant par la superficie</t>
  </si>
  <si>
    <t>29 587 273</t>
  </si>
  <si>
    <t>Gilbert DUMONT</t>
  </si>
  <si>
    <t>ÉRABLIÈRE YVES CARON INC</t>
  </si>
  <si>
    <t>5 999 547,5 999 543,5 999 548</t>
  </si>
  <si>
    <t>terre accessible, grande superficie acéricoles</t>
  </si>
  <si>
    <t>Michel MARTE</t>
  </si>
  <si>
    <t>Nadine FORGET, Éric BÉLIVEAU</t>
  </si>
  <si>
    <t>6 086 164</t>
  </si>
  <si>
    <t>difficillement accessible, bon potentiel acéricole</t>
  </si>
  <si>
    <t>29 599 231</t>
  </si>
  <si>
    <t>Claude MARTEL</t>
  </si>
  <si>
    <t>9514-8912 QUÉBEC INC.</t>
  </si>
  <si>
    <t xml:space="preserve">3 472 574, 3 936 735, </t>
  </si>
  <si>
    <t>Route 112</t>
  </si>
  <si>
    <t>superficie de terre praire en avant de la porpiété</t>
  </si>
  <si>
    <t>29 596 140</t>
  </si>
  <si>
    <t>Julien CHÉNARD</t>
  </si>
  <si>
    <t>LES EXPLOITATIONS FORESTIÈRES DE ST-ANTONIN INC.,</t>
  </si>
  <si>
    <t>5 999 515</t>
  </si>
  <si>
    <r>
      <t>6</t>
    </r>
    <r>
      <rPr>
        <i/>
        <sz val="7"/>
        <color theme="1"/>
        <rFont val="Helvetica"/>
        <family val="2"/>
      </rPr>
      <t xml:space="preserve">e </t>
    </r>
    <r>
      <rPr>
        <i/>
        <sz val="11"/>
        <color theme="1"/>
        <rFont val="Helvetica"/>
        <family val="2"/>
      </rPr>
      <t>Rang</t>
    </r>
  </si>
  <si>
    <t>29 599 182</t>
  </si>
  <si>
    <t>29 605 160</t>
  </si>
  <si>
    <t>Serge LAMOUREUX</t>
  </si>
  <si>
    <t>DOMAINE PELLETIER - TERRE ET FORÊT S.E.N.C</t>
  </si>
  <si>
    <t>6 642 844</t>
  </si>
  <si>
    <t>saint-marc-du-lac-long</t>
  </si>
  <si>
    <t>en bordure du lac long, chemin pasant par la terre</t>
  </si>
  <si>
    <t>29 616 962</t>
  </si>
  <si>
    <t>29 621 691</t>
  </si>
  <si>
    <t>4 667 416</t>
  </si>
  <si>
    <t>bâtiment sur la propriété, utilisation commerciale du lot, bon potentiel acéricole</t>
  </si>
  <si>
    <t>29 639 248</t>
  </si>
  <si>
    <t>Gilles CLOUTIER</t>
  </si>
  <si>
    <t>9478-8064 QUÉBEC INC Dany Pelletier</t>
  </si>
  <si>
    <t>5 803 310, 5 803 650, 6 031 383, 6 031 384, 6 031 385</t>
  </si>
  <si>
    <t>Route Manitou, Saint-Prosper-de-Champlain</t>
  </si>
  <si>
    <t>-72.332992</t>
  </si>
  <si>
    <t>Majeure partie séparée par voie ferrée</t>
  </si>
  <si>
    <t>Sylvain CÔTÉ</t>
  </si>
  <si>
    <t>Émilie TURGEON, Pascal HARVEY</t>
  </si>
  <si>
    <t>5 757 594</t>
  </si>
  <si>
    <t>Sainte-brigitte-de-laval</t>
  </si>
  <si>
    <t>accessible, sans potentiel acéricole</t>
  </si>
  <si>
    <t>29 646 963</t>
  </si>
  <si>
    <t>Serge BOILEAU</t>
  </si>
  <si>
    <t>9534-4404 QUÉBEC INC André CHÉNARD, Tomas CHÉNARD, Jacquie CARDINAL</t>
  </si>
  <si>
    <t>5 620 454</t>
  </si>
  <si>
    <t>Saint-Antoine-Abbé</t>
  </si>
  <si>
    <t>2240, chemin Grimshaw, Saint-Antoine-Abbé</t>
  </si>
  <si>
    <t>-73.901831</t>
  </si>
  <si>
    <t>Cabane à sucre 2019 (2 720 pc)</t>
  </si>
  <si>
    <t>Vergers (pommiers). Ilot destructuré. Équipement (Pelle, pepine, 4 tracteurs, +/- 500,000 timber jack, Cueilleur d'asperges, 4 golf carts, pick up (compagnie), +/- 100 escabot,
+/- 80 table à picnic, +/- 40 poubelle)</t>
  </si>
  <si>
    <t>LES CONSULTANTS NIM INC.</t>
  </si>
  <si>
    <t>EGL CONSTRUCTION INC</t>
  </si>
  <si>
    <t>6 211 773</t>
  </si>
  <si>
    <t xml:space="preserve"> bon potentiel acéricole, enclavé</t>
  </si>
  <si>
    <t>29 655 424</t>
  </si>
  <si>
    <t>Stéphane CYR</t>
  </si>
  <si>
    <t>9345-7265 QUÉBEC INC.</t>
  </si>
  <si>
    <t>6 676 129</t>
  </si>
  <si>
    <t>chemin Phillias-Cyr</t>
  </si>
  <si>
    <t>terre en zone blanche, accesible et derrière lotissement</t>
  </si>
  <si>
    <t>29 659 083</t>
  </si>
  <si>
    <t>Michel ROBERGE,</t>
  </si>
  <si>
    <t>FERME GO FORTIER INC.</t>
  </si>
  <si>
    <t>6 117 548</t>
  </si>
  <si>
    <t>Saint-Pierre-Baptiste</t>
  </si>
  <si>
    <t>100% acéricole, cabane à sucre sur la terre</t>
  </si>
  <si>
    <t>29 661 196</t>
  </si>
  <si>
    <t>ÉRABLIÈRE BELLEBEAUCE S.E.N.C.,Vincent CANTIN et Isabelle LACHANCE</t>
  </si>
  <si>
    <t xml:space="preserve">FERME BERNARD ROY &amp; FILS INC Martin ROY </t>
  </si>
  <si>
    <t>4 083 781</t>
  </si>
  <si>
    <t>Sainte-Marguerite</t>
  </si>
  <si>
    <t>Route 275 à Sainte-Marguerite</t>
  </si>
  <si>
    <t>-70.889569</t>
  </si>
  <si>
    <t>Inclus: contingent et tubulures existantes et 14 barils en stainless. Exclus: équipement. L’acheteur est propriétaire du lot voisin</t>
  </si>
  <si>
    <t>29 663 274</t>
  </si>
  <si>
    <t>4 392 652</t>
  </si>
  <si>
    <t>29 669 026</t>
  </si>
  <si>
    <t>5 981 465</t>
  </si>
  <si>
    <t xml:space="preserve">29 673 457 </t>
  </si>
  <si>
    <t>Réal HAMEL</t>
  </si>
  <si>
    <t>2 151 975</t>
  </si>
  <si>
    <t>Avenue de la Montagne, Québec</t>
  </si>
  <si>
    <t>-71.472144</t>
  </si>
  <si>
    <r>
      <t> </t>
    </r>
    <r>
      <rPr>
        <b/>
        <sz val="11"/>
        <color theme="1"/>
        <rFont val="Arial"/>
        <family val="2"/>
      </rPr>
      <t>Gaétan GENDRON </t>
    </r>
  </si>
  <si>
    <r>
      <t> </t>
    </r>
    <r>
      <rPr>
        <b/>
        <sz val="11"/>
        <color theme="1"/>
        <rFont val="Arial"/>
        <family val="2"/>
      </rPr>
      <t>9045-7912 QUÉBEC INC </t>
    </r>
  </si>
  <si>
    <r>
      <t> </t>
    </r>
    <r>
      <rPr>
        <b/>
        <sz val="11"/>
        <color theme="1"/>
        <rFont val="Arial"/>
        <family val="2"/>
      </rPr>
      <t>5 574 213 </t>
    </r>
  </si>
  <si>
    <t>-70.467176</t>
  </si>
  <si>
    <t>Enclavée, partie du lot dans le parc régional des appalaches</t>
  </si>
  <si>
    <t>Jean-Marc CÔTÉ,</t>
  </si>
  <si>
    <t>Alain BRASSARD</t>
  </si>
  <si>
    <t>3 259 809</t>
  </si>
  <si>
    <t>Saint-vallier</t>
  </si>
  <si>
    <t>bon potentiel acéricole, terre enclavée</t>
  </si>
  <si>
    <r>
      <t> </t>
    </r>
    <r>
      <rPr>
        <b/>
        <sz val="11"/>
        <color theme="1"/>
        <rFont val="Arial"/>
        <family val="2"/>
      </rPr>
      <t>Suzanne VERRET, Lucie VERRET</t>
    </r>
  </si>
  <si>
    <r>
      <t> </t>
    </r>
    <r>
      <rPr>
        <b/>
        <sz val="11"/>
        <color theme="1"/>
        <rFont val="Arial"/>
        <family val="2"/>
      </rPr>
      <t>Ariane BABIN </t>
    </r>
  </si>
  <si>
    <t> 1 820 218 </t>
  </si>
  <si>
    <t>Enclavé, grande superficie humide et rivière en bordure</t>
  </si>
  <si>
    <t>29 683 608</t>
  </si>
  <si>
    <t>9162-1615 QUÉBEC INC.</t>
  </si>
  <si>
    <t>9362-6216 QUÉBEC INC</t>
  </si>
  <si>
    <t>6 418 795</t>
  </si>
  <si>
    <t>zone blanche, au bout d'un cul de sac, accessible</t>
  </si>
  <si>
    <t>29 687 121</t>
  </si>
  <si>
    <t>Léonard LAFLAMME</t>
  </si>
  <si>
    <t>C. CHABOT &amp; FILS LTÉE (Jean-Michel CHABOT) et LES SUCRERIES CHABOT LTÉE (Sébastien CHABOT)</t>
  </si>
  <si>
    <t>3 821 527, 4 332 715, 3 821 623, 4 332 714, 3 821 624</t>
  </si>
  <si>
    <t>Route Saint-Jean-Baptiste, Notre-Dame-Auxiliatrice-de-Buckland</t>
  </si>
  <si>
    <t>-70.614284</t>
  </si>
  <si>
    <t xml:space="preserve">Déclivité </t>
  </si>
  <si>
    <t>2 sites</t>
  </si>
  <si>
    <t>29 693 052</t>
  </si>
  <si>
    <t>5 740 619</t>
  </si>
  <si>
    <t>29 696 087</t>
  </si>
  <si>
    <t>BOISÉS A.C. (2015), SOCIÉTÉ EN NOM COLLECTIF, Monsieur André RATTÉ, Madame Caroline MÉRETTE</t>
  </si>
  <si>
    <t>Monsieur Jean-Pierre BLAIS</t>
  </si>
  <si>
    <t>4 793 778, 5 833 188</t>
  </si>
  <si>
    <t xml:space="preserve"> Saint-Rosaire</t>
  </si>
  <si>
    <t>6e Rang, Saint-Rosaire</t>
  </si>
  <si>
    <t>-72.053844</t>
  </si>
  <si>
    <t>Feuillis</t>
  </si>
  <si>
    <t>29 707 766</t>
  </si>
  <si>
    <t>5 532 744, 5 532 932</t>
  </si>
  <si>
    <t>29 713 972</t>
  </si>
  <si>
    <t>5 873 798, 5 874 072, 5 874 073, 5 874 200, 5 874 406, 5 874 549, 3 298 633, 3 301 829, 3 382 334, 5 073 752, 5 073 753</t>
  </si>
  <si>
    <t>29 716 73</t>
  </si>
  <si>
    <t>29 724 232</t>
  </si>
  <si>
    <t>6 585 617, 6 447 365, 5 961 197, 5 962 936, 6 447 364</t>
  </si>
  <si>
    <t>sainte-Béatrix</t>
  </si>
  <si>
    <t xml:space="preserve">29 727 686 </t>
  </si>
  <si>
    <t>Claude HOULE</t>
  </si>
  <si>
    <t>Réal DIONNE</t>
  </si>
  <si>
    <t>2 151 202</t>
  </si>
  <si>
    <t>chemin Bélair, Québec</t>
  </si>
  <si>
    <t>-71.483014</t>
  </si>
  <si>
    <t>29 732 037</t>
  </si>
  <si>
    <t>Aldée ROUSSIN et Thérèse PLANTE</t>
  </si>
  <si>
    <t>LES TERRES DE MOOSE ET CHUCKY S.E.N.C Mario PLOUFFE et NadinePERRON</t>
  </si>
  <si>
    <t>3 516 951, 3 516 907</t>
  </si>
  <si>
    <t>Saint-Paul-d'Abbotsford</t>
  </si>
  <si>
    <t>1261, chemin Jodoin, Saint-Paul-d'Abbotsford</t>
  </si>
  <si>
    <t>-72.847570</t>
  </si>
  <si>
    <t>Cabane à sucre, station de pompage, hangar, garage</t>
  </si>
  <si>
    <t>Équipements acéricole et machinerie (liste à l'acte)</t>
  </si>
  <si>
    <t>29 741 215</t>
  </si>
  <si>
    <t>René TRUDEL, Yves TRUDEL</t>
  </si>
  <si>
    <t>Isabelle COSSETTE</t>
  </si>
  <si>
    <t>5 803 290, 5 803 605</t>
  </si>
  <si>
    <t>rang Saint-Charles, Saint-Prosper-de-Champlain</t>
  </si>
  <si>
    <t>-72.341204</t>
  </si>
  <si>
    <t>Traversé par corridor récréatif. Contigu lac à la Barbotte. Gravière (autorisation) 1 ha</t>
  </si>
  <si>
    <t>Norbert LATULIPPE</t>
  </si>
  <si>
    <t>Patrick ROY, Anne-Marie PELLETIER</t>
  </si>
  <si>
    <t>3 259 857</t>
  </si>
  <si>
    <t xml:space="preserve">potentiel acéricole sur la terre, sporadique, petite superficie résineuse </t>
  </si>
  <si>
    <t>29 747 506</t>
  </si>
  <si>
    <t>29 750 458</t>
  </si>
  <si>
    <t>Robin GAGNON,</t>
  </si>
  <si>
    <t>Samuel CÔTÉ</t>
  </si>
  <si>
    <t>4 923 676</t>
  </si>
  <si>
    <t>Stanstead</t>
  </si>
  <si>
    <t>potentiel acéricole, forme en triangle</t>
  </si>
  <si>
    <t>29 750 232</t>
  </si>
  <si>
    <t>6 712 435, 6 712 436, 6 712 437, 6 712 438</t>
  </si>
  <si>
    <t>Saint-Jean-de-matha</t>
  </si>
  <si>
    <t>CLAUDE LEFEBVRE, PATRICIA LEMIRE</t>
  </si>
  <si>
    <t>pente importante</t>
  </si>
  <si>
    <t>enclavée, forme irrégulière</t>
  </si>
  <si>
    <t>29 760 479</t>
  </si>
  <si>
    <t>MICHAEL D. BECK 2011 FAMILY TRUST</t>
  </si>
  <si>
    <t>INVESTISSEMENTS FPL INC François PARENT-LÉVEILLÉ</t>
  </si>
  <si>
    <t xml:space="preserve">3 193 414
</t>
  </si>
  <si>
    <t>Saint-Denis-de-Brompton</t>
  </si>
  <si>
    <t>chemin Roarke, Saint-Denis-de-Brompton</t>
  </si>
  <si>
    <t>-72.059677</t>
  </si>
  <si>
    <t>67,29</t>
  </si>
  <si>
    <t>29 758 504</t>
  </si>
  <si>
    <t>Jean-François LAROCQUE</t>
  </si>
  <si>
    <t>Alexis ROY-GODIN et Tristan HOUDE</t>
  </si>
  <si>
    <t>1 818 518</t>
  </si>
  <si>
    <t>1400, boulevard Sir-Wilfrid-Laurier, Mont-Saint-Hilaire</t>
  </si>
  <si>
    <t>-73.144137</t>
  </si>
  <si>
    <t>29 765 757</t>
  </si>
  <si>
    <t>Jacques BRUNEAU, Paul-Armand BRUNEAU</t>
  </si>
  <si>
    <t>GESTION MÉTHOT 2021 INC Martin MÉTHOT</t>
  </si>
  <si>
    <t>4 706 245</t>
  </si>
  <si>
    <t>Saint-Nazaire-de-Dorchester</t>
  </si>
  <si>
    <t>3e Rang Sud, à Saint-Nazaire-de-Dorchester</t>
  </si>
  <si>
    <t>-70.661256</t>
  </si>
  <si>
    <t>Roger PARENT</t>
  </si>
  <si>
    <t>Christian SASSEVILLE, David SASSEVILLE</t>
  </si>
  <si>
    <t>1 820 214</t>
  </si>
  <si>
    <t>Enclavé, ligne d'hydro-québec</t>
  </si>
  <si>
    <t>29 772 674</t>
  </si>
  <si>
    <t>DOMAINE FORESTIER CLAUDREY INC Éric HUBERT Alicia ZEMANEK</t>
  </si>
  <si>
    <t>4 378 929</t>
  </si>
  <si>
    <t>chemin du Brûlé, Compton</t>
  </si>
  <si>
    <t>-71.901808</t>
  </si>
  <si>
    <t>Zone dénudé humide (17.5 ha)</t>
  </si>
  <si>
    <t>29 771 849</t>
  </si>
  <si>
    <t>DENIS ROCHON, Martin ROCHON</t>
  </si>
  <si>
    <t>LUDOVICK DENIS</t>
  </si>
  <si>
    <t>5 387 373</t>
  </si>
  <si>
    <t>Saint-Ubalde</t>
  </si>
  <si>
    <t>rang Saint-Anne, Saint-Ubalde</t>
  </si>
  <si>
    <t>-72.304381</t>
  </si>
  <si>
    <t xml:space="preserve">33.06
</t>
  </si>
  <si>
    <t>Enclavé (Servitude de passage pour accéder à la route)</t>
  </si>
  <si>
    <t>=[@[[Prix de vente ($)]]]/[@[Superficie totale (ha)]]</t>
  </si>
  <si>
    <t>29 771 748</t>
  </si>
  <si>
    <t>29 778 400</t>
  </si>
  <si>
    <t>4 352 519, 4 352 522, 6 683 463</t>
  </si>
  <si>
    <t>29 788 638</t>
  </si>
  <si>
    <t>VICTORIEN LEMAY LTÉE</t>
  </si>
  <si>
    <t>Élie BOURGAULT</t>
  </si>
  <si>
    <t>4 855 696</t>
  </si>
  <si>
    <t>5e Rang Sud</t>
  </si>
  <si>
    <t xml:space="preserve">en face du lac jerry, </t>
  </si>
  <si>
    <t>Michèle FRENETTE</t>
  </si>
  <si>
    <t>FERME NORMAND GAUTHIER INC</t>
  </si>
  <si>
    <t>4 896 920</t>
  </si>
  <si>
    <t>1ha de résineux reboisé, accessible</t>
  </si>
  <si>
    <t>29 792 472</t>
  </si>
  <si>
    <t>SYLFOTECH INC François DOUVILLE et Mario PERRON</t>
  </si>
  <si>
    <t>Érablière Mékinac inc Éric GAGNON et Maryse TROTTIER</t>
  </si>
  <si>
    <t>5 802 308, 5 802 301</t>
  </si>
  <si>
    <t>Saint-Adelphe-de-Champlain</t>
  </si>
  <si>
    <t>Route 352, Saint-Adelphe-de-Champlain</t>
  </si>
  <si>
    <t>-72.452195</t>
  </si>
  <si>
    <t>Bâtisse</t>
  </si>
  <si>
    <t>11 151</t>
  </si>
  <si>
    <t>Avec bâtisse, équipements et contingent. Lac partiellement inclus. Secteur inondé 4.7 ha. Prix équipements dans l'acte=73900$</t>
  </si>
  <si>
    <t>Ferme Malaire S.E.N.C.</t>
  </si>
  <si>
    <t>L'Erabliere Stephalie Inc.</t>
  </si>
  <si>
    <t>5 691 400</t>
  </si>
  <si>
    <t>St-Julien</t>
  </si>
  <si>
    <t>4e Rang</t>
  </si>
  <si>
    <t>-71.615739,</t>
  </si>
  <si>
    <t>29 799 685</t>
  </si>
  <si>
    <t>Elisabeth TESSIER</t>
  </si>
  <si>
    <t>Loïc BRONSARD</t>
  </si>
  <si>
    <t>5 618 385</t>
  </si>
  <si>
    <t>route Fraser, Saint-Prosper-de-Champlain</t>
  </si>
  <si>
    <t>-72.237202</t>
  </si>
  <si>
    <t>Forme très allongée</t>
  </si>
  <si>
    <t>29 807 507</t>
  </si>
  <si>
    <t>Sylvie GOUPIL</t>
  </si>
  <si>
    <t>Marie-Claude BEAULIEU, Eric SAINT-PIERRE</t>
  </si>
  <si>
    <t>4 742 194</t>
  </si>
  <si>
    <t>Chemin des Ormeaux, Sainte-Catherine-de-la-Jacques-Cartier</t>
  </si>
  <si>
    <t>-71.659977</t>
  </si>
  <si>
    <t>29 817 586</t>
  </si>
  <si>
    <t>29 816 716</t>
  </si>
  <si>
    <t>5 961 812</t>
  </si>
  <si>
    <t>29 827 521</t>
  </si>
  <si>
    <t>29 831 737</t>
  </si>
  <si>
    <t>Succession Alphonse Larose</t>
  </si>
  <si>
    <t>GESTION AGRICOLE MARIO BLAIS INC</t>
  </si>
  <si>
    <t>2 359 218</t>
  </si>
  <si>
    <t>-71.028004</t>
  </si>
  <si>
    <t>6 ha en dénudé humide</t>
  </si>
  <si>
    <t>29 835 239</t>
  </si>
  <si>
    <t>5 465 312, 6 465 606</t>
  </si>
  <si>
    <t>29 835 612</t>
  </si>
  <si>
    <t>Micheline Thibeault</t>
  </si>
  <si>
    <t>GESTION EPT INC Éric P. Tremblay, GESTION TREK INC Marc Bérubé, ROSE MAX INC Jean-Philippe Lepage</t>
  </si>
  <si>
    <t>6 200 752, 6 202 096</t>
  </si>
  <si>
    <t>Les Méchins</t>
  </si>
  <si>
    <t>route de Saint-Thomas, Les Méchins</t>
  </si>
  <si>
    <t>-67.056215</t>
  </si>
  <si>
    <t>29 838 454</t>
  </si>
  <si>
    <t>Martin GUILLEMETTE</t>
  </si>
  <si>
    <t>Jean-François FRADETTE</t>
  </si>
  <si>
    <t>5 184 538</t>
  </si>
  <si>
    <t>Saint-Damien-de-Buckland</t>
  </si>
  <si>
    <t>chemin du Lac-Dion, Saint-Damien-de-Buckland</t>
  </si>
  <si>
    <t>-70.658942</t>
  </si>
  <si>
    <t>Proximité lac Dion. Plan d'aménagement forestier</t>
  </si>
  <si>
    <t>29 841 973</t>
  </si>
  <si>
    <t>Sabatino CAUCCI</t>
  </si>
  <si>
    <t>ÉRABLIÈRE LA FORGE DU SUCRE B&amp;C INC. Marie-Hélène COLLETTE</t>
  </si>
  <si>
    <t>5 805 950</t>
  </si>
  <si>
    <t>-74.030590</t>
  </si>
  <si>
    <t>29 850 967</t>
  </si>
  <si>
    <t>5  018  341</t>
  </si>
  <si>
    <t>9110-8977 Québec inc.</t>
  </si>
  <si>
    <t>Nicolas Gingues, Alicia Robitaille</t>
  </si>
  <si>
    <t>zone blacnhe, terre enclavée, située derrière lotissement</t>
  </si>
  <si>
    <t>29 860 112</t>
  </si>
  <si>
    <t>Yvon BEAUDOIN</t>
  </si>
  <si>
    <t>Maxime GODBOUT</t>
  </si>
  <si>
    <t>6 691 024</t>
  </si>
  <si>
    <t>proximité de saint-raphael, zone verte, petit potentiel acéricole</t>
  </si>
  <si>
    <t>Delisle Catherine</t>
  </si>
  <si>
    <t>Bolduc Dominique</t>
  </si>
  <si>
    <t>4 602 472</t>
  </si>
  <si>
    <t>3e Rang</t>
  </si>
  <si>
    <t>-71.240225</t>
  </si>
  <si>
    <t>Tour électrique</t>
  </si>
  <si>
    <t>Leduc Marie-Andree</t>
  </si>
  <si>
    <t>Touchette Genevieve</t>
  </si>
  <si>
    <t>St-Fortunat</t>
  </si>
  <si>
    <t>ch du 8e-Rang E</t>
  </si>
  <si>
    <t>29 933 245</t>
  </si>
  <si>
    <t>4 647 167</t>
  </si>
  <si>
    <t>29 930 303</t>
  </si>
  <si>
    <t>6 362 472, 5 517 650, 5 246 083, 5  245  800, 5 246 082</t>
  </si>
  <si>
    <t>29 935 783</t>
  </si>
  <si>
    <t>5 981 934, 5 981 936</t>
  </si>
  <si>
    <t>29 939 999</t>
  </si>
  <si>
    <t>ÉRABLIÈRE JACQUELYN OUELLET</t>
  </si>
  <si>
    <t>Karl DÉRY</t>
  </si>
  <si>
    <t>3 225 750</t>
  </si>
  <si>
    <t>Saint-louis-du-Ha! Ha!</t>
  </si>
  <si>
    <t>zoneverte, bâtiments sur la propriété et inclusion de matériel</t>
  </si>
  <si>
    <t>Guay Gemma</t>
  </si>
  <si>
    <t>Ferme R. Giguere Inc.</t>
  </si>
  <si>
    <t>4 448 802</t>
  </si>
  <si>
    <t>St-Pierre-De-Broughton</t>
  </si>
  <si>
    <t>15e Rang</t>
  </si>
  <si>
    <t>-71.168909</t>
  </si>
  <si>
    <t>29 942 281</t>
  </si>
  <si>
    <t>3 055 804, 3 202 793</t>
  </si>
  <si>
    <t>Saint-augustin-de-desmaures</t>
  </si>
  <si>
    <t xml:space="preserve">29 942 317 </t>
  </si>
  <si>
    <t>Ambois inc Jeannot Simard</t>
  </si>
  <si>
    <t>Boisés Famille Gilbert inc Marc Gilbert</t>
  </si>
  <si>
    <t>4 700 207, 5 034 259, 5 034 260, 5 034 261, 6 058 284</t>
  </si>
  <si>
    <t xml:space="preserve"> La Haute-Côte-Nord</t>
  </si>
  <si>
    <t>Sacré-Cœur</t>
  </si>
  <si>
    <t>Route 172 Nord, Sacré-Cœur</t>
  </si>
  <si>
    <t>-69.907489</t>
  </si>
  <si>
    <t>LIgne HydroQuébec, inclusions 48 000 $ (dont véhicules)</t>
  </si>
  <si>
    <t>29 945 541</t>
  </si>
  <si>
    <t>5 077 472</t>
  </si>
  <si>
    <t xml:space="preserve">Lot enclavé, érable argenté sur la propriété. </t>
  </si>
  <si>
    <t>29 972 456</t>
  </si>
  <si>
    <t>Cyrille Gauvin FRANCOEUR</t>
  </si>
  <si>
    <t>Dylan WELSH</t>
  </si>
  <si>
    <t>4 303 577</t>
  </si>
  <si>
    <t>Potentiel acéricole au milieu de la terre, accessible</t>
  </si>
  <si>
    <t>29 975 971</t>
  </si>
  <si>
    <t>Monique TREMBLAY</t>
  </si>
  <si>
    <t>Jean-François CHASSÉ, Amélie CANUEL</t>
  </si>
  <si>
    <t>5 148 909</t>
  </si>
  <si>
    <t>2e Rang, Ragueneau</t>
  </si>
  <si>
    <t>-68.472468</t>
  </si>
  <si>
    <t>Relativement plane</t>
  </si>
  <si>
    <t>Ligne HydroQuébec, déboisé à l'avant</t>
  </si>
  <si>
    <t>Cote Agathe</t>
  </si>
  <si>
    <t>Erabliere L'Agatri Inc.</t>
  </si>
  <si>
    <t>6 702 912, 5 692 037</t>
  </si>
  <si>
    <t>-71.544023</t>
  </si>
  <si>
    <t>29 993 834</t>
  </si>
  <si>
    <t>Christian PERREAULT, Katia PERREAULT,Maxime PERREAULT,  Gabrielle TESSIER,</t>
  </si>
  <si>
    <t>Benoît ROUSSY, Christine GAGNON</t>
  </si>
  <si>
    <t>3 927 223</t>
  </si>
  <si>
    <t>Saint-Casimir</t>
  </si>
  <si>
    <t>rang de l'Hêtrière, Saint-Casimir</t>
  </si>
  <si>
    <t>-72.205211</t>
  </si>
  <si>
    <t>Forme régulière. Accès favorable</t>
  </si>
  <si>
    <t>30 004 396</t>
  </si>
  <si>
    <t>4 130 709</t>
  </si>
  <si>
    <t>Sainte-Victoire-de-Sorel</t>
  </si>
  <si>
    <t>enclavée, superficie acéricole avec relief et zone humide</t>
  </si>
  <si>
    <t>30 024 714</t>
  </si>
  <si>
    <t>5 861 674</t>
  </si>
  <si>
    <t>30 030 999</t>
  </si>
  <si>
    <t>4 852 718</t>
  </si>
  <si>
    <t>30 047 997</t>
  </si>
  <si>
    <t>6 503 349</t>
  </si>
  <si>
    <t>30 090 348</t>
  </si>
  <si>
    <t>Alain BACON, Johanne SOUCY</t>
  </si>
  <si>
    <t>Alex COSSETTE</t>
  </si>
  <si>
    <t>5 803 433</t>
  </si>
  <si>
    <t>-72.309556</t>
  </si>
  <si>
    <t>Enclavement. Ligne Hydro-Québec</t>
  </si>
  <si>
    <t>30 091 179</t>
  </si>
  <si>
    <t>6 677 469</t>
  </si>
  <si>
    <t xml:space="preserve">30 103 414 </t>
  </si>
  <si>
    <t>5 922 360, 5 922 421, 6 268 455, 6 268 457</t>
  </si>
  <si>
    <t>Entrelacs</t>
  </si>
  <si>
    <t>30 110 356</t>
  </si>
  <si>
    <t>5 109 144, 5 111 053, 5 111 056, 5 109 145, 5 111 048, 5 111 054</t>
  </si>
  <si>
    <t>30 111 495</t>
  </si>
  <si>
    <t>6 638 829</t>
  </si>
  <si>
    <t>30 168 078</t>
  </si>
  <si>
    <t>5 713 266, 6 410 464</t>
  </si>
  <si>
    <t>30 193 324</t>
  </si>
  <si>
    <t>BOMA S.E.N.C.Joey MAROIS, Richard MAROIS, Olivier BOLDUC</t>
  </si>
  <si>
    <t>GESTION MTF INC Marc-Olivier DION</t>
  </si>
  <si>
    <t>6 677 874, 5 262 369</t>
  </si>
  <si>
    <t>chemin de l'Aéroport, Thetford-Mines</t>
  </si>
  <si>
    <t>-71.275192</t>
  </si>
  <si>
    <r>
      <t> </t>
    </r>
    <r>
      <rPr>
        <sz val="10"/>
        <color theme="1"/>
        <rFont val="Arial"/>
        <family val="2"/>
      </rPr>
      <t>29 600 680 </t>
    </r>
  </si>
  <si>
    <r>
      <t> </t>
    </r>
    <r>
      <rPr>
        <sz val="10"/>
        <color theme="1"/>
        <rFont val="Arial"/>
        <family val="2"/>
      </rPr>
      <t>2025-07-14 </t>
    </r>
  </si>
  <si>
    <r>
      <t> </t>
    </r>
    <r>
      <rPr>
        <sz val="10"/>
        <color theme="1"/>
        <rFont val="Arial"/>
        <family val="2"/>
      </rPr>
      <t>29 690 196 </t>
    </r>
  </si>
  <si>
    <r>
      <t> </t>
    </r>
    <r>
      <rPr>
        <sz val="10"/>
        <color theme="1"/>
        <rFont val="Arial"/>
        <family val="2"/>
      </rPr>
      <t>2025-08-22 </t>
    </r>
  </si>
  <si>
    <r>
      <t> </t>
    </r>
    <r>
      <rPr>
        <sz val="10"/>
        <color theme="1"/>
        <rFont val="Arial"/>
        <family val="2"/>
      </rPr>
      <t>29 712 763 </t>
    </r>
  </si>
  <si>
    <r>
      <t> </t>
    </r>
    <r>
      <rPr>
        <sz val="10"/>
        <color theme="1"/>
        <rFont val="Arial"/>
        <family val="2"/>
      </rPr>
      <t>2025-09-02 </t>
    </r>
  </si>
  <si>
    <r>
      <t> </t>
    </r>
    <r>
      <rPr>
        <sz val="10"/>
        <color theme="1"/>
        <rFont val="Arial"/>
        <family val="2"/>
      </rPr>
      <t>29 725 765 </t>
    </r>
  </si>
  <si>
    <r>
      <t> </t>
    </r>
    <r>
      <rPr>
        <sz val="10"/>
        <color theme="1"/>
        <rFont val="Arial"/>
        <family val="2"/>
      </rPr>
      <t>2025-09-08 </t>
    </r>
  </si>
  <si>
    <r>
      <t> </t>
    </r>
    <r>
      <rPr>
        <sz val="10"/>
        <color theme="1"/>
        <rFont val="Arial"/>
        <family val="2"/>
      </rPr>
      <t>29 922 472 </t>
    </r>
  </si>
  <si>
    <r>
      <t> </t>
    </r>
    <r>
      <rPr>
        <sz val="10"/>
        <color theme="1"/>
        <rFont val="Arial"/>
        <family val="2"/>
      </rPr>
      <t>2025-11-26 </t>
    </r>
  </si>
  <si>
    <t>Monsieur Dany HUOT</t>
  </si>
  <si>
    <t>Monsieur Martin SPÉNARD, Madame Vicky SPÉNARD</t>
  </si>
  <si>
    <t>4 904 850</t>
  </si>
  <si>
    <t>Érable à sucre, sur la propriété, sans potentiel acériocle</t>
  </si>
  <si>
    <t>Monsieur Dany Delisle, Monsieur David Croteau,</t>
  </si>
  <si>
    <t>Monsieur Mihai Draghici</t>
  </si>
  <si>
    <t>5 303 733, 5 304 869</t>
  </si>
  <si>
    <t>Route du Portage, La Rédemption</t>
  </si>
  <si>
    <t>48.405542</t>
  </si>
  <si>
    <t>-67.961337</t>
  </si>
  <si>
    <t>2 lots séparés par un chemin d'accès. Un lot bordé par la rivière Mitis. Milieux humides (marécages et tourbières boisées)</t>
  </si>
  <si>
    <t>6 484 009, 6 484 008</t>
  </si>
  <si>
    <t>6 483 830, 6 483 831</t>
  </si>
  <si>
    <t>6 507 433, 5 722 553</t>
  </si>
  <si>
    <t>5 005 994, 5 006 296</t>
  </si>
  <si>
    <t>Lac-Des-Aigles</t>
  </si>
  <si>
    <t>Saint-Pierre-de-Lamy</t>
  </si>
  <si>
    <t>5 304 592, 5 304 157</t>
  </si>
  <si>
    <t>5 303 801, 5 304 784</t>
  </si>
  <si>
    <t>5 304 682, 5 304 268</t>
  </si>
  <si>
    <t>5 099 001, 5 099 007, 5 628 993, 5 628 994, 5 628 995, 5 628 996, 5 628 997, 5 628 998</t>
  </si>
  <si>
    <t>6 578 210</t>
  </si>
  <si>
    <t>27 909 794</t>
  </si>
  <si>
    <t>4 872 383, 4 873 562, 4 873 563, 5 103 521, 5 802 264, 5 804 230, 5 802 278, 5 802 279, 5 802 280, 5 802 281, 5 802 282, 5 802 283, 5 802 304, 5 802 307, 5 802 348, 5 803 836, 5 468 817, 5 471 802, 5 471 803</t>
  </si>
  <si>
    <t>27 936 468</t>
  </si>
  <si>
    <t>27 909 667</t>
  </si>
  <si>
    <t>3926839, 3923763, 3925809, 3160013, 3401819, 3401820, 3401821, 3401822, 3401823, 4444864, 5394450, 5617506, 5617513, 5619560, 5619561, 5619562, 5619563, 5619594, 5619598, 5619606, 5619607, 5619608, 5619614, 5619618, 5619624, 5619628, 5914223, 5914224, 5617647</t>
  </si>
  <si>
    <t>5 618 806</t>
  </si>
  <si>
    <t>28 779 538</t>
  </si>
  <si>
    <t>5 189 220, 5 190 892, 5 190 893</t>
  </si>
  <si>
    <t>4176009, 4306130</t>
  </si>
  <si>
    <t>28 388 614</t>
  </si>
  <si>
    <t>5 802 277</t>
  </si>
  <si>
    <t>29 067 990</t>
  </si>
  <si>
    <t>6 322 670</t>
  </si>
  <si>
    <t>29 579 370</t>
  </si>
  <si>
    <t>29 312 338</t>
  </si>
  <si>
    <t>5 387 088, 5 955 475</t>
  </si>
  <si>
    <t>29 709 439</t>
  </si>
  <si>
    <t>5 387 110</t>
  </si>
  <si>
    <t>29 816 342</t>
  </si>
  <si>
    <t>5 189 214, 5 190 686</t>
  </si>
  <si>
    <t>29 825 054</t>
  </si>
  <si>
    <t>5 389 417</t>
  </si>
  <si>
    <t>28 656 506</t>
  </si>
  <si>
    <t>3 488 951, 3 490 034</t>
  </si>
  <si>
    <t>28 679 371</t>
  </si>
  <si>
    <t>4 770 907</t>
  </si>
  <si>
    <t>28 719 369</t>
  </si>
  <si>
    <t>4 770 218</t>
  </si>
  <si>
    <t>29 071 371</t>
  </si>
  <si>
    <t>5 089 301, 6 389 944</t>
  </si>
  <si>
    <t>28 538 798</t>
  </si>
  <si>
    <t>3 587 506</t>
  </si>
  <si>
    <t>29 046 685</t>
  </si>
  <si>
    <t>3 487 728, 3 490 043, 3 802 632</t>
  </si>
  <si>
    <t>28 503 294</t>
  </si>
  <si>
    <t>5 794 542</t>
  </si>
  <si>
    <t>29 416 376</t>
  </si>
  <si>
    <t>4 083 886</t>
  </si>
  <si>
    <t>29 601 103</t>
  </si>
  <si>
    <t>29 560 039</t>
  </si>
  <si>
    <t>4 342 066, 4 341 236</t>
  </si>
  <si>
    <t>29 701 995</t>
  </si>
  <si>
    <t>4 083 803</t>
  </si>
  <si>
    <t>29 709 619</t>
  </si>
  <si>
    <t>2 639 813</t>
  </si>
  <si>
    <t>29 677 576</t>
  </si>
  <si>
    <t>4 769 953</t>
  </si>
  <si>
    <t>28 945 076</t>
  </si>
  <si>
    <t>3 821 547, 3 821 569, 6303675, 6303676</t>
  </si>
  <si>
    <t>6 631 070</t>
  </si>
  <si>
    <t>29 741 884</t>
  </si>
  <si>
    <t>5 457 665, 3 488 187</t>
  </si>
  <si>
    <t>29 087 145</t>
  </si>
  <si>
    <t>6 646 581</t>
  </si>
  <si>
    <t>29 765 456</t>
  </si>
  <si>
    <t>3 581 506</t>
  </si>
  <si>
    <t>29 753 962</t>
  </si>
  <si>
    <t>4 127 986</t>
  </si>
  <si>
    <t>29 853 700</t>
  </si>
  <si>
    <t>3 582 409, 3 975 296</t>
  </si>
  <si>
    <t>29 773 659</t>
  </si>
  <si>
    <t>4 127 968</t>
  </si>
  <si>
    <t>29 862 070</t>
  </si>
  <si>
    <t>6 699 652</t>
  </si>
  <si>
    <t>29 722 569</t>
  </si>
  <si>
    <t>5 847862</t>
  </si>
  <si>
    <t>29 907 284</t>
  </si>
  <si>
    <t>29 696 091</t>
  </si>
  <si>
    <t>4 793 777</t>
  </si>
  <si>
    <t>29 852 307</t>
  </si>
  <si>
    <t>4 793 678, 4 793 668, 4 477 483, 4 793 666, 4 793 667, 4 793 679, 4 793 669, 4 793 672, 4 793 671, 4 309 137, 4 309 138, 4 309 139, 4 308 060</t>
  </si>
  <si>
    <t>L'ÉRABLIÈRE MARC-ANDRÉ BOUILLON Marc-André BOUILLON, et Gaétane ST-PIERRE</t>
  </si>
  <si>
    <t>6 525 224, 6 525 223</t>
  </si>
  <si>
    <t>69, 3e Rang de Neigette, Saint-Anaclet-de-Lessard</t>
  </si>
  <si>
    <t>-68.346834</t>
  </si>
  <si>
    <t>Cabane dans la résidence, stations de pompage</t>
  </si>
  <si>
    <t>Résidence (2002). Tous les équipements inclus (55 000 $ à l'acte)</t>
  </si>
  <si>
    <t>30 054 350</t>
  </si>
  <si>
    <t>3 995 312, 3 995 306, 3 995 307</t>
  </si>
  <si>
    <t>29 727 387</t>
  </si>
  <si>
    <t>3 674 667</t>
  </si>
  <si>
    <t>29 631 189</t>
  </si>
  <si>
    <t>5 189 254</t>
  </si>
  <si>
    <t>30 048 179</t>
  </si>
  <si>
    <t>3 995 595</t>
  </si>
  <si>
    <t>29 938 526</t>
  </si>
  <si>
    <t>4 504 262, 4 504 263, 4 504 264</t>
  </si>
  <si>
    <t>30 077 145</t>
  </si>
  <si>
    <t>3 349 257</t>
  </si>
  <si>
    <t>29 196 942</t>
  </si>
  <si>
    <t>6 582 353, 6 582 354</t>
  </si>
  <si>
    <t>Succession Yves Leclerc</t>
  </si>
  <si>
    <t>Bouchard Alain</t>
  </si>
  <si>
    <t>199 900 $</t>
  </si>
  <si>
    <t>Pont-Rouge</t>
  </si>
  <si>
    <t>0 rang du Brule</t>
  </si>
  <si>
    <t>L'Ecuyer Normand</t>
  </si>
  <si>
    <t>Cote Nathalie, Marc, Luc</t>
  </si>
  <si>
    <t>35 000 $</t>
  </si>
  <si>
    <t>St-Raymond</t>
  </si>
  <si>
    <t>0 rue Lirette</t>
  </si>
  <si>
    <t>Boucher Lise, Serge Trudel</t>
  </si>
  <si>
    <t>Trudel Cedrick</t>
  </si>
  <si>
    <t>65 000 $</t>
  </si>
  <si>
    <t>St-Leonard-De-Portneuf</t>
  </si>
  <si>
    <t>0 rang St-Jean-Baptiste</t>
  </si>
  <si>
    <t>Cardinal Sophie</t>
  </si>
  <si>
    <t>Beaupre Carole</t>
  </si>
  <si>
    <t>100 000 $</t>
  </si>
  <si>
    <t>0 rang de l'Enfant-Jesus</t>
  </si>
  <si>
    <t>Succession Jeanne-D'Arc Greffard</t>
  </si>
  <si>
    <t>Bernard Pierre</t>
  </si>
  <si>
    <t>58 300 $</t>
  </si>
  <si>
    <t>0 rang du Coteau-Des-Roches</t>
  </si>
  <si>
    <t>Beaumier Gilles, Denis MALENFANT, Jacques TREMBLAY</t>
  </si>
  <si>
    <t>Baillargeon Jimmy, Jacques, Marcel</t>
  </si>
  <si>
    <t>2979785, 2979787, 2979788</t>
  </si>
  <si>
    <t>400 000 $</t>
  </si>
  <si>
    <t>0 rang de la Chapelle</t>
  </si>
  <si>
    <t>Ferme Mado Senc (Donat Genois, Martin Genois, et Sylvie Alain)</t>
  </si>
  <si>
    <t>Bois A-K S.E.N.C. (Alexis Genois et Kathleen Gauthier)</t>
  </si>
  <si>
    <t>4623561, 4623560</t>
  </si>
  <si>
    <t>202 000 $</t>
  </si>
  <si>
    <t>Perreault Christian, Katia, Maxime, Gabrielle</t>
  </si>
  <si>
    <t>Gagnon Christine, Benoit Roussy</t>
  </si>
  <si>
    <t>90 000 $</t>
  </si>
  <si>
    <t>St-Casimir</t>
  </si>
  <si>
    <t>0 rang de l'Hetriere</t>
  </si>
  <si>
    <t>Perron Ginette</t>
  </si>
  <si>
    <t>Bernier Martin</t>
  </si>
  <si>
    <t>3926538, 3 926 526</t>
  </si>
  <si>
    <t>150 000 $</t>
  </si>
  <si>
    <t>0 ch Piche</t>
  </si>
  <si>
    <t>Denis Jules</t>
  </si>
  <si>
    <t>Ferme Eric Cantin Inc.</t>
  </si>
  <si>
    <t>325 000 $</t>
  </si>
  <si>
    <t>0 ch de la Peche</t>
  </si>
  <si>
    <t>Richard Bruno</t>
  </si>
  <si>
    <t>Gestion Marc Lewis Inc.</t>
  </si>
  <si>
    <t>245 000 $</t>
  </si>
  <si>
    <t>0 4e Rang E</t>
  </si>
  <si>
    <t>Succession Raymond Cote</t>
  </si>
  <si>
    <t>Garneau Francois</t>
  </si>
  <si>
    <t>3831221, 3 831 724, 3 832 298, 3 832 299</t>
  </si>
  <si>
    <t>475 575 $</t>
  </si>
  <si>
    <t>0 2e Rang</t>
  </si>
  <si>
    <t>Les Gestions Valere Ouellet Inc.</t>
  </si>
  <si>
    <t>9433-9819 Quebec Inc. Guillaume St-Gelais</t>
  </si>
  <si>
    <t>165 600 $</t>
  </si>
  <si>
    <t>La Haute-Saint-Charles</t>
  </si>
  <si>
    <t>0 av du Lac-St-Charles</t>
  </si>
  <si>
    <t>Legare Robert</t>
  </si>
  <si>
    <t>Verret Martin</t>
  </si>
  <si>
    <t>40 000 $</t>
  </si>
  <si>
    <t>Laurentien</t>
  </si>
  <si>
    <t>0 av de la Montagne O</t>
  </si>
  <si>
    <t>9447-0093 Quebec Inc. Raynald GRENIER</t>
  </si>
  <si>
    <t>Sanfacon Caroline</t>
  </si>
  <si>
    <t>680 000 $</t>
  </si>
  <si>
    <t>0 boul Valcartier</t>
  </si>
  <si>
    <t>Gestion R.C.V.V.M. Inc.</t>
  </si>
  <si>
    <t>Groupe P.G.L. S.E.N.C.</t>
  </si>
  <si>
    <t>590 000 $</t>
  </si>
  <si>
    <t>St-Augustin-De-Desmaures</t>
  </si>
  <si>
    <t>0 4e Rang O</t>
  </si>
  <si>
    <t>Villeneuve Normand</t>
  </si>
  <si>
    <t>Despres Jean Michael</t>
  </si>
  <si>
    <t>80 000 $</t>
  </si>
  <si>
    <t>La Cite Quebec</t>
  </si>
  <si>
    <t>Francoeur Cyrille Gauvin</t>
  </si>
  <si>
    <t>Welsh Dylan</t>
  </si>
  <si>
    <t>95 000 $</t>
  </si>
  <si>
    <t>Dumais Daniel</t>
  </si>
  <si>
    <t>Gestion Martin Grenier Inc.</t>
  </si>
  <si>
    <t>125 000 $</t>
  </si>
  <si>
    <t>Charlesbourg</t>
  </si>
  <si>
    <t>0 ch de Chateau-Bigot</t>
  </si>
  <si>
    <t>Ferme Thomas-Louis Denis Et Ses Fils Ltee</t>
  </si>
  <si>
    <t>Gravel-Denis Laurent</t>
  </si>
  <si>
    <t>St-Ubalde</t>
  </si>
  <si>
    <t>Marcotte Jean</t>
  </si>
  <si>
    <t>Germain Maxime</t>
  </si>
  <si>
    <t>50 000 $</t>
  </si>
  <si>
    <t>St-Alban</t>
  </si>
  <si>
    <t>0 5e Rang</t>
  </si>
  <si>
    <t>Savard Real, Ghislain THIBEAULT</t>
  </si>
  <si>
    <t>Chabot Mario, Dany LAFRANCE</t>
  </si>
  <si>
    <t>3926929, 3 926 951</t>
  </si>
  <si>
    <t>12 000 $</t>
  </si>
  <si>
    <t>Lessard Jerome</t>
  </si>
  <si>
    <t>Bourque David</t>
  </si>
  <si>
    <t>3926808, 3 926 902</t>
  </si>
  <si>
    <t>105 000 $</t>
  </si>
  <si>
    <t>Gaouette Yvon</t>
  </si>
  <si>
    <t>Erabliere Wayagamak Inc. Patrick Juneau</t>
  </si>
  <si>
    <t>6435727, 5 387 255</t>
  </si>
  <si>
    <t>1 360 000 $</t>
  </si>
  <si>
    <t>0 rang St-Paul N</t>
  </si>
  <si>
    <t xml:space="preserve">29 998 963 </t>
  </si>
  <si>
    <t>5 148 542</t>
  </si>
  <si>
    <t>30 049 871</t>
  </si>
  <si>
    <t>4 918 523</t>
  </si>
  <si>
    <t>Pointe-aux-Outardes</t>
  </si>
  <si>
    <t>30 107 388</t>
  </si>
  <si>
    <t>6 383 131, 6 548 253</t>
  </si>
  <si>
    <t>29 575 244</t>
  </si>
  <si>
    <t>4 343 276, 4 343 775</t>
  </si>
  <si>
    <t>29 613 600</t>
  </si>
  <si>
    <t>4 343 268, 4 703 831</t>
  </si>
  <si>
    <t>29 726 419</t>
  </si>
  <si>
    <t>6 642 206</t>
  </si>
  <si>
    <t>Forestville</t>
  </si>
  <si>
    <t>29 885 625</t>
  </si>
  <si>
    <t>5 565 848</t>
  </si>
  <si>
    <t>Les Escoumins</t>
  </si>
  <si>
    <t>30 027 799</t>
  </si>
  <si>
    <t>5 565 561</t>
  </si>
  <si>
    <t>30 051 971</t>
  </si>
  <si>
    <t>4 701 616, 4 701 617, 4 701 670, 4 700 482, 4 701 385, 5 559 243, 5 559 244, 5 559 246, 6 540 813</t>
  </si>
  <si>
    <t>29 543 084</t>
  </si>
  <si>
    <t>3 668 594</t>
  </si>
  <si>
    <t>Sept-Rivières</t>
  </si>
  <si>
    <t>Sept-îles</t>
  </si>
  <si>
    <t>29 853 032</t>
  </si>
  <si>
    <t>3  668  455</t>
  </si>
  <si>
    <t>27 162 361</t>
  </si>
  <si>
    <t>4 919 200, 4 919 201, 6 303 672</t>
  </si>
  <si>
    <t>29 222 707</t>
  </si>
  <si>
    <t>6 200 903, 6 201 871,6 674 131,  6 674 132,  6 674 133,  6 674 134,  6 674 135,  6 674 136,  6 674 137,  6 674 138,  6 674 139,  6 674 140,  6 674 141, 6 674 142</t>
  </si>
  <si>
    <t>29 229 312</t>
  </si>
  <si>
    <t>6 201 678</t>
  </si>
  <si>
    <t>29 413 486</t>
  </si>
  <si>
    <t>6 049 732, 6 329 547</t>
  </si>
  <si>
    <t>Saint-Jean-de-Cherbourg</t>
  </si>
  <si>
    <t>29 428 134</t>
  </si>
  <si>
    <t>6 670  444</t>
  </si>
  <si>
    <t>Matane</t>
  </si>
  <si>
    <t>29 459 077</t>
  </si>
  <si>
    <t>6  527  941</t>
  </si>
  <si>
    <t>Grosses-Roches</t>
  </si>
  <si>
    <t>29 489 337</t>
  </si>
  <si>
    <t>6 201 712</t>
  </si>
  <si>
    <t>29 539 185</t>
  </si>
  <si>
    <t>5 679 689</t>
  </si>
  <si>
    <t>Saint-René-de-Matane</t>
  </si>
  <si>
    <t>29 556 899</t>
  </si>
  <si>
    <t>3 380 638, 3 380 639, 5 184 673</t>
  </si>
  <si>
    <t>29 599 672</t>
  </si>
  <si>
    <t>6 404 823</t>
  </si>
  <si>
    <t>29 776 310</t>
  </si>
  <si>
    <t>6 050  246, 6 050  262, 6 329   546</t>
  </si>
  <si>
    <t>Saint-Adelme</t>
  </si>
  <si>
    <t>29 817 704</t>
  </si>
  <si>
    <t>6 050 212, 6 050 389</t>
  </si>
  <si>
    <t>29 866 424</t>
  </si>
  <si>
    <t>3 169 473, 4 816 975</t>
  </si>
  <si>
    <t>30 076 443</t>
  </si>
  <si>
    <t>5 933 411</t>
  </si>
  <si>
    <t>Baie-Des-Sables</t>
  </si>
  <si>
    <t>30 160 199</t>
  </si>
  <si>
    <t>3 169 569</t>
  </si>
  <si>
    <t>29 195 046</t>
  </si>
  <si>
    <t>6 127 928</t>
  </si>
  <si>
    <t>La-Haute-Gaspésie</t>
  </si>
  <si>
    <t>Cap-Chat</t>
  </si>
  <si>
    <t>29 238 027</t>
  </si>
  <si>
    <t>6 665 316</t>
  </si>
  <si>
    <t>Marsoui</t>
  </si>
  <si>
    <t>29 391 281</t>
  </si>
  <si>
    <t>4 882  427, 4 882 407</t>
  </si>
  <si>
    <t>Saint-Anne-des-Monts</t>
  </si>
  <si>
    <t>29 482 817</t>
  </si>
  <si>
    <t>6 200 512, 6 202 138</t>
  </si>
  <si>
    <t>29 504 324</t>
  </si>
  <si>
    <t>5  407  162, 5  407  141</t>
  </si>
  <si>
    <t>La Martre</t>
  </si>
  <si>
    <t>29 518 438</t>
  </si>
  <si>
    <t>4 325  469, 5 406 868, 5 407 557, 5 407 558</t>
  </si>
  <si>
    <t>29 789 273</t>
  </si>
  <si>
    <t>4 882 503, 4 882 504, 4 882 505</t>
  </si>
  <si>
    <t xml:space="preserve">29 809 181 </t>
  </si>
  <si>
    <t>5 406 999</t>
  </si>
  <si>
    <t>29 843 176</t>
  </si>
  <si>
    <t>6 129 056, 6 127 923, 6 129 054, 6 129 055, 6 129 057</t>
  </si>
  <si>
    <t>29 846 065</t>
  </si>
  <si>
    <t>6 200 678, 6 200 708</t>
  </si>
  <si>
    <t>30 035 341</t>
  </si>
  <si>
    <t>5  857  794</t>
  </si>
  <si>
    <t>Saint-Maxime-du-Mont-Louis</t>
  </si>
  <si>
    <t>30 061 182</t>
  </si>
  <si>
    <t>6  127  927</t>
  </si>
  <si>
    <t>30 070 521</t>
  </si>
  <si>
    <t>5 406 957</t>
  </si>
  <si>
    <t>30 150 038</t>
  </si>
  <si>
    <t>6 127 931</t>
  </si>
  <si>
    <t>29 867 995</t>
  </si>
  <si>
    <t>6 395 180</t>
  </si>
  <si>
    <t>Château-Richer</t>
  </si>
  <si>
    <t>30 109 319</t>
  </si>
  <si>
    <t>5 952 019</t>
  </si>
  <si>
    <t>Saint-Ferréol-les-Neiges</t>
  </si>
  <si>
    <t>30 119 731</t>
  </si>
  <si>
    <t>6 212  255</t>
  </si>
  <si>
    <t>30 248 175</t>
  </si>
  <si>
    <t>5 458  977,5 637  214, 6 269 354</t>
  </si>
  <si>
    <t>29 631 977</t>
  </si>
  <si>
    <t>6 179 440</t>
  </si>
  <si>
    <t>29 722 042</t>
  </si>
  <si>
    <t>4 582 955</t>
  </si>
  <si>
    <t>29 773 535</t>
  </si>
  <si>
    <t>5 949  655</t>
  </si>
  <si>
    <t>29 783 079</t>
  </si>
  <si>
    <t>4 582 992</t>
  </si>
  <si>
    <t>29 854 382</t>
  </si>
  <si>
    <t>6 656 106</t>
  </si>
  <si>
    <t>Sault-au-Cochon</t>
  </si>
  <si>
    <t>9341-0504 Quebec Inc.</t>
  </si>
  <si>
    <t>Boulet Melanie</t>
  </si>
  <si>
    <t>Gestion J.M.J. (2024) Inc.</t>
  </si>
  <si>
    <t>Giguere Mario</t>
  </si>
  <si>
    <t>St-Jacques-De-Leeds</t>
  </si>
  <si>
    <t>11e Rang, St-Jacques-De-Leeds</t>
  </si>
  <si>
    <t>Faucher Luc</t>
  </si>
  <si>
    <t>5569184, 5 261 869, 5 262 363, 5 569 181, 5 569 183</t>
  </si>
  <si>
    <t>ch de l'Aeroport, Thetford-Mines</t>
  </si>
  <si>
    <t>Del Pilar Lopez Eva</t>
  </si>
  <si>
    <t>Conservation De La Nature - Quebec</t>
  </si>
  <si>
    <t>6637938, 5 691 904, 5 692 502</t>
  </si>
  <si>
    <t>Disraeli (Paroisse)</t>
  </si>
  <si>
    <t>ch Couture, Disraeli (Paroisse)</t>
  </si>
  <si>
    <t>Daigle Yvon</t>
  </si>
  <si>
    <t>Rene Morin Inc.</t>
  </si>
  <si>
    <t>rte 263, Disraeli (Paroisse)</t>
  </si>
  <si>
    <t>Bussiere Charles-David</t>
  </si>
  <si>
    <t>Roy Gagnon Jennifer</t>
  </si>
  <si>
    <t>5e Rang, Adstock</t>
  </si>
  <si>
    <t>-71.108797</t>
  </si>
  <si>
    <t>Tourbière boisée</t>
  </si>
  <si>
    <t>Les Entreprises S. Rodrigue Inc. Samuel RODRIGUE</t>
  </si>
  <si>
    <t>9072-1168 Quebec Inc. Alain LAMARRE</t>
  </si>
  <si>
    <t>3e Rang, Adstock</t>
  </si>
  <si>
    <t>-71.111829</t>
  </si>
  <si>
    <t>Mathieu Patrice</t>
  </si>
  <si>
    <t>C Roy Foresterie Inc. Charlie ROY</t>
  </si>
  <si>
    <t>11e Rang, Adstock</t>
  </si>
  <si>
    <t>-71.112948</t>
  </si>
  <si>
    <t>Drouin Charles</t>
  </si>
  <si>
    <t>Gestion Maxia Inc. Martin Roy</t>
  </si>
  <si>
    <t>Petit-11e-Rang, Adstock</t>
  </si>
  <si>
    <t>-71.148957</t>
  </si>
  <si>
    <t>Erabliere Du Reservoir Inc. (André et Gilles Turgeon)</t>
  </si>
  <si>
    <t>-71.233096</t>
  </si>
  <si>
    <t>Forte décivité</t>
  </si>
  <si>
    <t>Lapierre Gisele</t>
  </si>
  <si>
    <t>9511-3700 Quebec Inc. Simon GAMACHE</t>
  </si>
  <si>
    <t>-71.093166</t>
  </si>
  <si>
    <t xml:space="preserve"> Résineux </t>
  </si>
  <si>
    <t>Marécage</t>
  </si>
  <si>
    <t>Lacroix Jacques</t>
  </si>
  <si>
    <t>Ferme Rock Cote Inc.</t>
  </si>
  <si>
    <t>5661037, 5 660 699, 5 661 772</t>
  </si>
  <si>
    <t>St-Jean-De-Brebeuf</t>
  </si>
  <si>
    <t>Cabane à sucre, station de pompage</t>
  </si>
  <si>
    <t>Tous les équipements et la tubulure</t>
  </si>
  <si>
    <t>Lanouette Sylvie</t>
  </si>
  <si>
    <t>Lemay-Hebert Emilie</t>
  </si>
  <si>
    <t>2 999 828</t>
  </si>
  <si>
    <t>La Vallée-de-l'Or</t>
  </si>
  <si>
    <t>Riviere-Heva</t>
  </si>
  <si>
    <t>-78.141401</t>
  </si>
  <si>
    <t>5 372 151, 5 372 153, 5 373 913, 5 373 921, 5 374 543, 5 374 544, 5 374 545</t>
  </si>
  <si>
    <t>Senneterre</t>
  </si>
  <si>
    <t>5 372 134, 5 373 915</t>
  </si>
  <si>
    <t>-77.317521</t>
  </si>
  <si>
    <t>Proche d'un lac</t>
  </si>
  <si>
    <t>Desaulniers Alain</t>
  </si>
  <si>
    <t>Filiatreault Benjamin</t>
  </si>
  <si>
    <t>5 751 056, 5 121 925, 5 123 173</t>
  </si>
  <si>
    <t>ch des Cygnes</t>
  </si>
  <si>
    <t>-78.167210,</t>
  </si>
  <si>
    <t>Leblond Martin</t>
  </si>
  <si>
    <t>Lavigne Francois</t>
  </si>
  <si>
    <t>3 615 224</t>
  </si>
  <si>
    <t>Abitibi</t>
  </si>
  <si>
    <t>Amos</t>
  </si>
  <si>
    <t>rang 7e Et 8e E</t>
  </si>
  <si>
    <t>-78.073197</t>
  </si>
  <si>
    <t>Tourbière, marécage</t>
  </si>
  <si>
    <t>30 265 493</t>
  </si>
  <si>
    <t>Ibitiba Compagnie Ltee</t>
  </si>
  <si>
    <t>Lesage David</t>
  </si>
  <si>
    <t>4283933, 4 283 327, 4 283 934</t>
  </si>
  <si>
    <t>Trecesson</t>
  </si>
  <si>
    <t>ch Roulier</t>
  </si>
  <si>
    <t>-78.376116</t>
  </si>
  <si>
    <t>28 755 478</t>
  </si>
  <si>
    <t>Ferme Everest S.E.N.C.</t>
  </si>
  <si>
    <t>9452-4170 Quebec Inc</t>
  </si>
  <si>
    <t>3 371 738, 5 933 089</t>
  </si>
  <si>
    <t>3482 ch Rivest</t>
  </si>
  <si>
    <t>-78.040858</t>
  </si>
  <si>
    <t>3 614 826</t>
  </si>
  <si>
    <t>St-Felix-De-Dalquier</t>
  </si>
  <si>
    <t>Paquin Fernand</t>
  </si>
  <si>
    <t>Dubreuil David</t>
  </si>
  <si>
    <t>Belcourt</t>
  </si>
  <si>
    <t>rte 386</t>
  </si>
  <si>
    <t>-77.333053</t>
  </si>
  <si>
    <t>Paradis Rachel</t>
  </si>
  <si>
    <t>Leblanc Kevin</t>
  </si>
  <si>
    <t>Sanneterre</t>
  </si>
  <si>
    <t>rte 113 N</t>
  </si>
  <si>
    <t>-77.194871</t>
  </si>
  <si>
    <t>Cote Yvon</t>
  </si>
  <si>
    <t>Bernard Julie</t>
  </si>
  <si>
    <t>St-Apollinaire</t>
  </si>
  <si>
    <t>rang St-Lazare</t>
  </si>
  <si>
    <t>-71.501646</t>
  </si>
  <si>
    <t>Succession D'Isidore Martineau</t>
  </si>
  <si>
    <t>Mailly Keven</t>
  </si>
  <si>
    <t>3 387 417, 3 388 533</t>
  </si>
  <si>
    <t>-71.422994</t>
  </si>
  <si>
    <t>Lobinière</t>
  </si>
  <si>
    <t>Liée</t>
  </si>
  <si>
    <t>Laroche Monique</t>
  </si>
  <si>
    <t>Rousseau David</t>
  </si>
  <si>
    <t>St-Flavien</t>
  </si>
  <si>
    <t>rte de la Seigneurie</t>
  </si>
  <si>
    <t>Dubois Annette</t>
  </si>
  <si>
    <t>Ferme Laitiere Moreau Inc</t>
  </si>
  <si>
    <t>rang de la Pointe-Du-Jour</t>
  </si>
  <si>
    <t>-71.581385</t>
  </si>
  <si>
    <t>Mosiman Christian</t>
  </si>
  <si>
    <t>Soucy Gabrielle</t>
  </si>
  <si>
    <t>St-Janvier-De-Joly</t>
  </si>
  <si>
    <t>345 3e-Et-4e Rang E</t>
  </si>
  <si>
    <t>-71.641406</t>
  </si>
  <si>
    <t xml:space="preserve">Lemay Roger </t>
  </si>
  <si>
    <t>9188-5079 Quebec Inc</t>
  </si>
  <si>
    <t>6 082 928, 6 084 743</t>
  </si>
  <si>
    <t>Leclercville</t>
  </si>
  <si>
    <t>Gilbert Marcel</t>
  </si>
  <si>
    <t>Albert David</t>
  </si>
  <si>
    <t>5 992 733, 5 992 744, 5 992 777</t>
  </si>
  <si>
    <t>3e-Et-4e Rang O</t>
  </si>
  <si>
    <t>-71.690495</t>
  </si>
  <si>
    <t>24 153 050</t>
  </si>
  <si>
    <t>Lucie LEBEL, Damien OUELLET</t>
  </si>
  <si>
    <t>Claude PELLETIER</t>
  </si>
  <si>
    <t>4 108 685, 4 522 955</t>
  </si>
  <si>
    <t>Dosquet</t>
  </si>
  <si>
    <t>route 116</t>
  </si>
  <si>
    <t>Carmen VAILLANCOURT, Nicole BOUDREAU, Serge ALIE</t>
  </si>
  <si>
    <t>LOGIS LALIBERTÉ INC.,</t>
  </si>
  <si>
    <t>5 992 842, 6 290 623</t>
  </si>
  <si>
    <t>1er Rang</t>
  </si>
  <si>
    <t>-71.708611</t>
  </si>
  <si>
    <t>Croteau Armand</t>
  </si>
  <si>
    <t>Dubois Raphael</t>
  </si>
  <si>
    <t>3 949 562</t>
  </si>
  <si>
    <t>rang du Bois-de-l'Ail</t>
  </si>
  <si>
    <t>3 590 282</t>
  </si>
  <si>
    <t>Notre-Dame-Du-Sacre-Coeur-D'Issoudu</t>
  </si>
  <si>
    <t>5 994 268</t>
  </si>
  <si>
    <t>Michelle PARENT</t>
  </si>
  <si>
    <t>Yves BOILARD</t>
  </si>
  <si>
    <t>5 993 001</t>
  </si>
  <si>
    <t>route de l'Église</t>
  </si>
  <si>
    <t>-71.778684</t>
  </si>
  <si>
    <t>Tourbière</t>
  </si>
  <si>
    <t>29 221 691</t>
  </si>
  <si>
    <t>5 673 487</t>
  </si>
  <si>
    <t>29 228 465</t>
  </si>
  <si>
    <t>5 673 925</t>
  </si>
  <si>
    <t xml:space="preserve">29 238 816 </t>
  </si>
  <si>
    <t>6 583 656</t>
  </si>
  <si>
    <t>29 279 287</t>
  </si>
  <si>
    <t>5 547 587</t>
  </si>
  <si>
    <t>Saint-Éloi</t>
  </si>
  <si>
    <t>29 325 902</t>
  </si>
  <si>
    <t>4 476 222, 4 476 640</t>
  </si>
  <si>
    <t>29 421 507</t>
  </si>
  <si>
    <t>4 476 428, 4 476 429, 4 476 438, 4 477 134, 4 696 423</t>
  </si>
  <si>
    <t>29 612 706</t>
  </si>
  <si>
    <t>4 476 808, 4 476 862, 4 476 906</t>
  </si>
  <si>
    <t>29 714 745</t>
  </si>
  <si>
    <t>5 547 794</t>
  </si>
  <si>
    <t>29 748 233</t>
  </si>
  <si>
    <t>6 698 367, 6 698 368, 6 698 369, 6 698 370</t>
  </si>
  <si>
    <t>29 753 645</t>
  </si>
  <si>
    <t>6 121 930, 6 120 854, 6 121 929</t>
  </si>
  <si>
    <t>29 777 625</t>
  </si>
  <si>
    <t>6 120 768</t>
  </si>
  <si>
    <t>Sainte-Rita</t>
  </si>
  <si>
    <t>29 809 369</t>
  </si>
  <si>
    <t>5 673 698, 5 675 140, 5 675 141, 5 675 142, 5 675 143, 5 675 144, 5 675 145</t>
  </si>
  <si>
    <t>29 860 504</t>
  </si>
  <si>
    <t>5 547 254</t>
  </si>
  <si>
    <t>Notre-Dame-des-Neiges</t>
  </si>
  <si>
    <t>29 908 742</t>
  </si>
  <si>
    <t>6 120 926</t>
  </si>
  <si>
    <t>29 956 952</t>
  </si>
  <si>
    <t>4 476 644</t>
  </si>
  <si>
    <t>29 968 687</t>
  </si>
  <si>
    <t>5 673 919</t>
  </si>
  <si>
    <t>30 038 444</t>
  </si>
  <si>
    <t>5 547 311</t>
  </si>
  <si>
    <t>30 091 941</t>
  </si>
  <si>
    <t xml:space="preserve"> 4 476 221, 4 476 361, 4 476 366, 4 476 362, 4 696 447, 4 696 448, 4 476 365, 4 476 360, 4 476 368, 4 476 364, 5 491 619</t>
  </si>
  <si>
    <t>6 586 425</t>
  </si>
  <si>
    <t>La Nouvelle-Beauce</t>
  </si>
  <si>
    <t>St-Elzear</t>
  </si>
  <si>
    <t>3 581 618</t>
  </si>
  <si>
    <t>2 639 381</t>
  </si>
  <si>
    <t>St-Lambert-De-Lauzon</t>
  </si>
  <si>
    <t>4 232 848, 4 446 124</t>
  </si>
  <si>
    <t>Frampton</t>
  </si>
  <si>
    <t>30 195 744</t>
  </si>
  <si>
    <t>6 711 287</t>
  </si>
  <si>
    <t>-70.618437</t>
  </si>
  <si>
    <t>Legère déclivité</t>
  </si>
  <si>
    <t>30 224 241</t>
  </si>
  <si>
    <t>4 128 293</t>
  </si>
  <si>
    <t>St-Philemon</t>
  </si>
  <si>
    <t>30 103 614</t>
  </si>
  <si>
    <t>4 706 139</t>
  </si>
  <si>
    <t>St-Malachie</t>
  </si>
  <si>
    <t>Prixdevente($)</t>
  </si>
  <si>
    <t>Région administrative</t>
  </si>
  <si>
    <t>Superficie drainée (ha)</t>
  </si>
  <si>
    <t>Source superficie drainée</t>
  </si>
  <si>
    <t>Type de sol</t>
  </si>
  <si>
    <t>Type de culture</t>
  </si>
  <si>
    <t>Superficie plantation</t>
  </si>
  <si>
    <t>Superficie terrain résidentiel (m²)</t>
  </si>
  <si>
    <t>Droit acquis</t>
  </si>
  <si>
    <t>Maison(s)</t>
  </si>
  <si>
    <t>Valeur contributive maison(s) + terrain ($)</t>
  </si>
  <si>
    <t>Source valeur constributive maison(s) + terrain ($)</t>
  </si>
  <si>
    <t>Autres inclusions</t>
  </si>
  <si>
    <t>Valeur autres inclusions ($)</t>
  </si>
  <si>
    <t>Réjean Lemire, Claude Lemire</t>
  </si>
  <si>
    <t>Michel Proulx</t>
  </si>
  <si>
    <t>Route Marie-Victorin
Baie-du-Febvre</t>
  </si>
  <si>
    <t>46.154336</t>
  </si>
  <si>
    <t>-72.706115</t>
  </si>
  <si>
    <t>FW</t>
  </si>
  <si>
    <t>FADQ</t>
  </si>
  <si>
    <t>Potentiel acéricole dans les terrains riverrains,(érables rouges)</t>
  </si>
  <si>
    <t>Ovide Savard</t>
  </si>
  <si>
    <t>La Ferme des Quatre-Temps Inc (Marguerite Tremblay)</t>
  </si>
  <si>
    <t>Boulevard Malcolm-Fraser
La Malbaie</t>
  </si>
  <si>
    <t>47.797659</t>
  </si>
  <si>
    <t>-69.934839</t>
  </si>
  <si>
    <t>Prairie</t>
  </si>
  <si>
    <t>P</t>
  </si>
  <si>
    <t>bande de terre située entre deux terres qui étais probablement manquante pour la compagnie, non drainée</t>
  </si>
  <si>
    <t>FERME MARTEL 1999 INC (Jean-Jacques MARTEL)</t>
  </si>
  <si>
    <t>LES BELLES RÉCOLTES DE CHARLEVOIX INC (Stéphane DUFOUR)</t>
  </si>
  <si>
    <t>5 400 604, 3 560 775, 5 063 796, 5 400 619</t>
  </si>
  <si>
    <t>chemin des Loisirs et chemin de la Vallée
La Malbaie</t>
  </si>
  <si>
    <t>47.688972</t>
  </si>
  <si>
    <t>-70.171369</t>
  </si>
  <si>
    <t>FMT</t>
  </si>
  <si>
    <t>Vente de 2 terres, en face de la rivière, non drainées,voisin d'une propriété acéricole</t>
  </si>
  <si>
    <t>Camille TREMBLAY</t>
  </si>
  <si>
    <t>Denis LAPOINTE</t>
  </si>
  <si>
    <t>Saint-Irénée</t>
  </si>
  <si>
    <t>chemin des Bains
Saint-Irénée</t>
  </si>
  <si>
    <t>47.533781</t>
  </si>
  <si>
    <t>-70.225115</t>
  </si>
  <si>
    <t>PT</t>
  </si>
  <si>
    <t>vente à un prix élevé à la municipalité</t>
  </si>
  <si>
    <t>La BLEUETIÈRE BEAULIEU INC.</t>
  </si>
  <si>
    <t xml:space="preserve">9161-2754 QUÉBEC INC. </t>
  </si>
  <si>
    <t xml:space="preserve">5 219 647 </t>
  </si>
  <si>
    <t>pointe-lebel</t>
  </si>
  <si>
    <t>Route de l'aréoport, Pointe-Lebel</t>
  </si>
  <si>
    <t>FD</t>
  </si>
  <si>
    <t>infosol</t>
  </si>
  <si>
    <t>très grand terrains boisée combiné avec terre agricole. FADQ médiocre sur terre donc certaine mesures sont faites a la main.</t>
  </si>
  <si>
    <t>ANDRÉ LEMAIRE INC</t>
  </si>
  <si>
    <t>CULTURES ROUSSEAU INC (Paul ROUSSEAU)</t>
  </si>
  <si>
    <t>5743147, 5745024, 5 743 148, 5433045, 5434246, 5434247, 5434264, 5 433 041</t>
  </si>
  <si>
    <t>Rg du Petit-Bois
Baie-du-Febvre</t>
  </si>
  <si>
    <t>46.112650</t>
  </si>
  <si>
    <t>-72.773585</t>
  </si>
  <si>
    <t>non drainée</t>
  </si>
  <si>
    <t>Mario GAMELIN</t>
  </si>
  <si>
    <t>Marie-Philippe FRENETTE DANEAU</t>
  </si>
  <si>
    <t>chemin du Marais-Blazon
Pierreville</t>
  </si>
  <si>
    <t>-72.900294</t>
  </si>
  <si>
    <t>Non drainé, zone agricole mais non délimité par la FADQ</t>
  </si>
  <si>
    <t>FERME PROMAS INC (Martine Massé)</t>
  </si>
  <si>
    <t>FERME MICHDALE (Michael Leduc)</t>
  </si>
  <si>
    <t>5 691 498, 5 691 427, 5 691 439</t>
  </si>
  <si>
    <t>2e Rang Ouest
Saint-Julien</t>
  </si>
  <si>
    <t>46.046685</t>
  </si>
  <si>
    <t>-71.567924</t>
  </si>
  <si>
    <t>3 hangars, fosse</t>
  </si>
  <si>
    <t>Acte</t>
  </si>
  <si>
    <t>Équipements, matériel</t>
  </si>
  <si>
    <t>En partie mineure de classe 5, droit d'usage conféré au vendeur (superficie négligeable)</t>
  </si>
  <si>
    <t> </t>
  </si>
  <si>
    <t>Pavage C.S.F. Inc.</t>
  </si>
  <si>
    <t>9122-3388 Quebec Inc.</t>
  </si>
  <si>
    <t>653 175</t>
  </si>
  <si>
    <t>Notre-Dame-De-L'Ile-Perrot</t>
  </si>
  <si>
    <t>Petite bois, non CPTAQ</t>
  </si>
  <si>
    <t>2858967 CANADA INC Claude DESROCHERS</t>
  </si>
  <si>
    <t>9391-5619 QUÉBEC INC Pierre COUILLARD</t>
  </si>
  <si>
    <t>6 312 083, 5 310 276</t>
  </si>
  <si>
    <t>Rue Richelieu, Saint-Marc-sur-Richelieu</t>
  </si>
  <si>
    <t>1 hangar (mauvais état)</t>
  </si>
  <si>
    <t>Sylvain TESSIER</t>
  </si>
  <si>
    <t>Hughes LEBOEUF</t>
  </si>
  <si>
    <t>4 175 797, 4 176 629</t>
  </si>
  <si>
    <t>Mauricie</t>
  </si>
  <si>
    <t>46.626915</t>
  </si>
  <si>
    <t>-72.228613</t>
  </si>
  <si>
    <t>W</t>
  </si>
  <si>
    <t>non drainé</t>
  </si>
  <si>
    <t>FERME BOIS-DU-MERLE S.E.N.C. (Marcel et Martin Juneau)</t>
  </si>
  <si>
    <t>FERME RAINIER ET ASSOCIÉS S.E.N.C (Christian et Mario Germain)</t>
  </si>
  <si>
    <t>46.564578</t>
  </si>
  <si>
    <t>-72.241371</t>
  </si>
  <si>
    <t>Jocelyn GIROUARD</t>
  </si>
  <si>
    <t>FERME GHISLAIN CLOUTIER INC Ghislain CLOUTIER</t>
  </si>
  <si>
    <t>St-Barnabé-Sud</t>
  </si>
  <si>
    <t>Rang St-Amable, St-Barnabé-Sud</t>
  </si>
  <si>
    <t>45.759554</t>
  </si>
  <si>
    <t>-72.904675</t>
  </si>
  <si>
    <t>FERME P. &amp; M. CHAMPAGNE INC</t>
  </si>
  <si>
    <t>FERME TERREBONNE INC</t>
  </si>
  <si>
    <t>2 849 451, 2 849 450, 3 283 310</t>
  </si>
  <si>
    <t>chemin petit St Jean, Lévis</t>
  </si>
  <si>
    <t>46.671480</t>
  </si>
  <si>
    <t>-71.318910</t>
  </si>
  <si>
    <t>WP</t>
  </si>
  <si>
    <t>LE SANCTUAIRE DE LA VALLÉE DU RICHELIEU INC. André SIMONEAU</t>
  </si>
  <si>
    <t>9342-4497 QUÉBEC INC Dave VILLENEUVE</t>
  </si>
  <si>
    <t>St-Mathieu-de-Beloeil</t>
  </si>
  <si>
    <t>Rue Bernard-PilonSt-Mathieu-de-Beloeil</t>
  </si>
  <si>
    <t>45.581457</t>
  </si>
  <si>
    <t>-73.277008</t>
  </si>
  <si>
    <t>Solde du prix de 550 000 $ au plus tard soit au moment du dézonage (agricole) soit au 13 mars 2023</t>
  </si>
  <si>
    <t>Claude CHÉNIER</t>
  </si>
  <si>
    <t>FERME NINON INC</t>
  </si>
  <si>
    <t>4 652 183, 6 370 298</t>
  </si>
  <si>
    <t>Lochaber-Partie-Ouest</t>
  </si>
  <si>
    <t>Rang 4e, Lochaber-Partie-Ouest</t>
  </si>
  <si>
    <t>45.591390</t>
  </si>
  <si>
    <t>-75.287421</t>
  </si>
  <si>
    <t>Legere pente</t>
  </si>
  <si>
    <t>3</t>
  </si>
  <si>
    <t>FERME DIANE S.E.N.C. Diane PHANEUF et Patrick LAVALLÉE</t>
  </si>
  <si>
    <t>Lison BÉDARD</t>
  </si>
  <si>
    <t>Saint-Jude</t>
  </si>
  <si>
    <t>Rang des Quarante-huit, Saint-Jude</t>
  </si>
  <si>
    <t>45.808984</t>
  </si>
  <si>
    <t>-72.967530</t>
  </si>
  <si>
    <t>X</t>
  </si>
  <si>
    <t>Jocelyn RICHER</t>
  </si>
  <si>
    <t>SOCIÉTÉ CBCA SNC Chrétien ARCHAMBAULT</t>
  </si>
  <si>
    <t>Saint-Denis-sur-Richelieu</t>
  </si>
  <si>
    <t>3e rang des Moulins est, Saint-Denis-sur-Richelieu</t>
  </si>
  <si>
    <t>45.776104</t>
  </si>
  <si>
    <t>-73.123560</t>
  </si>
  <si>
    <t>Marie-Joseph PIGEON</t>
  </si>
  <si>
    <t>FERME VIAGRICO INC Bruno VIENS et Jessica BÉRUBÉ</t>
  </si>
  <si>
    <t>5 310 296, 5 312 004, 5 312 098</t>
  </si>
  <si>
    <t>45.731186</t>
  </si>
  <si>
    <t>-73.202806</t>
  </si>
  <si>
    <t>2 et 4</t>
  </si>
  <si>
    <t>Ghyslain PROVOST, JARDINS PROVOST INC</t>
  </si>
  <si>
    <t>9417-9082 QUÉBEC INC Serge ARCHAMBAULT</t>
  </si>
  <si>
    <t>1 912 197, 1 912 199, 1 912 733, 1 912 952, 1 912 953</t>
  </si>
  <si>
    <t>Marguerite-D'Youville</t>
  </si>
  <si>
    <t>1381, chemin Général-Vanier à Boucherville</t>
  </si>
  <si>
    <t>Kiosque de vente, hangar 90'x50'</t>
  </si>
  <si>
    <t>le tracteur John Deer modèle 3320, 2011, dont le numéro d’identification est le 1LV3320HKBH711054; et,
- un camion GMC modèle Savana, 2002, dont le numéro d’identification est le 1GTFG25M921240884.un semoir à blé d’inde;
- un vibroculteur;
- un set de roulettes; et,
- un véhicule de Marque Dodge, modèle RMV, année 2002, dont le numéro d’identification est le 2B7JB21YX2K132098</t>
  </si>
  <si>
    <t>FERME HÉLÉNOISE INC</t>
  </si>
  <si>
    <t>FERME BIENVU &amp; FILS INC.</t>
  </si>
  <si>
    <t>1 956 966, 1 959 926</t>
  </si>
  <si>
    <t>les Maskoutains</t>
  </si>
  <si>
    <t>Sainte-Hélène-de-Bagot</t>
  </si>
  <si>
    <t xml:space="preserve">2e rang Sainte-Hélène-de-Bagot
</t>
  </si>
  <si>
    <t>45.714528</t>
  </si>
  <si>
    <t>-72.758705</t>
  </si>
  <si>
    <t>OUI</t>
  </si>
  <si>
    <t xml:space="preserve">Plane  </t>
  </si>
  <si>
    <t>Bâtiment d’élevage, garage, Silos et Fosse à lisier</t>
  </si>
  <si>
    <t>Drainé</t>
  </si>
  <si>
    <t>FERME BAZINET ET FILS INC</t>
  </si>
  <si>
    <t>Martin BRODEUR-CHOQUETTE</t>
  </si>
  <si>
    <t>45.681639</t>
  </si>
  <si>
    <t>-73.171122</t>
  </si>
  <si>
    <t>Martin LAPOINTE, Manon BOUCHARD</t>
  </si>
  <si>
    <t>Pierre PAQUET</t>
  </si>
  <si>
    <t>2490, Route du Fleuve
Les Éboulements</t>
  </si>
  <si>
    <t>47.479265</t>
  </si>
  <si>
    <t>-70.309319</t>
  </si>
  <si>
    <t>Bâtiment de 2006</t>
  </si>
  <si>
    <t>Tracteur et équipements aratoires</t>
  </si>
  <si>
    <t>Presence de bâtiment</t>
  </si>
  <si>
    <t>Steeve POULIN</t>
  </si>
  <si>
    <t>FERME FAMILLE ST-HILAIRE S.E.N.C.</t>
  </si>
  <si>
    <t>Saint-Odilon-de-Cranbourne</t>
  </si>
  <si>
    <t>8e Rang Ouest
Saint-Odilon-de-Cranbourne</t>
  </si>
  <si>
    <t>46.305958</t>
  </si>
  <si>
    <t>-70.687122</t>
  </si>
  <si>
    <t>PW</t>
  </si>
  <si>
    <t>Maïs fourrager</t>
  </si>
  <si>
    <t>Drainée</t>
  </si>
  <si>
    <t>25 640 643</t>
  </si>
  <si>
    <t>Pachanos Margaret Rose</t>
  </si>
  <si>
    <t>Venne Matthieu</t>
  </si>
  <si>
    <t>5 372 421, 5 373 988</t>
  </si>
  <si>
    <t>La Vallé-de-l'Or</t>
  </si>
  <si>
    <t>ch Croinor</t>
  </si>
  <si>
    <t>-77.26329</t>
  </si>
  <si>
    <t>oui/non</t>
  </si>
  <si>
    <t>4</t>
  </si>
  <si>
    <t>TD</t>
  </si>
  <si>
    <t>Mesures aériennes</t>
  </si>
  <si>
    <t>Argileux</t>
  </si>
  <si>
    <t>La terre semble plus cultivé, la friche repousse</t>
  </si>
  <si>
    <t>Témiscouata-sur-le-Lac</t>
  </si>
  <si>
    <t>rue Commerciale Nord,
Témiscouata-sur-le-Lac</t>
  </si>
  <si>
    <t>47.652577</t>
  </si>
  <si>
    <t>-68.835944</t>
  </si>
  <si>
    <t>tp</t>
  </si>
  <si>
    <t>fadq</t>
  </si>
  <si>
    <t>Yvon DAUPHINAIS</t>
  </si>
  <si>
    <t>9320-3792 Québec Inc Mohamed-Elyès JOUINI</t>
  </si>
  <si>
    <t>2 600 783, 2 601 574</t>
  </si>
  <si>
    <t>45.421964</t>
  </si>
  <si>
    <t>-73.367582</t>
  </si>
  <si>
    <t>à l’intérieur d’une zone
d’inondation de grand courant (récurrence 0-20 ans) et faible courant
(récurrence 20-100 ans)</t>
  </si>
  <si>
    <t>LES GRAINS DE LA MAURICIE INC (Roger GAUTHIER, Jacqueline HÉBERT)</t>
  </si>
  <si>
    <t>Vincent COULOMBE</t>
  </si>
  <si>
    <t>4 175 743, 4 175 753, 4 306 126, 5 618 790, 5 618 345, 5 618 903, 5 619 121</t>
  </si>
  <si>
    <t>Rang Sainte-
Elisabeth
Saint-Prosper-de-Champlain</t>
  </si>
  <si>
    <t>46.621800</t>
  </si>
  <si>
    <t>-72.249023</t>
  </si>
  <si>
    <t>Laval RICHARD, Margaret POULIN</t>
  </si>
  <si>
    <t>FERME PIAL INC (Mathieu CHÉNARD)</t>
  </si>
  <si>
    <t>6 422 974, 5 170 539</t>
  </si>
  <si>
    <t>Saint-Josephde- Kamouraska</t>
  </si>
  <si>
    <t>4e Rang Est
St-Joseph-de-Kamouraska</t>
  </si>
  <si>
    <t>47.627697</t>
  </si>
  <si>
    <t>-69.640950</t>
  </si>
  <si>
    <t>FM</t>
  </si>
  <si>
    <t>André LAMBERT</t>
  </si>
  <si>
    <t>FERME BÉLANGEOISE INC</t>
  </si>
  <si>
    <t>1 964 910, 3 387 636</t>
  </si>
  <si>
    <t>chemin Filteau, Lévis</t>
  </si>
  <si>
    <t>46.646697</t>
  </si>
  <si>
    <t>-71.441468</t>
  </si>
  <si>
    <t>441527 (usage résidentiel, exclus de la vente)</t>
  </si>
  <si>
    <t>Serge MACHABEE, Marcel CHARTRAND, Isabelle CHARTRAND, Patrice CHARTRAND</t>
  </si>
  <si>
    <t>SAFRAN AGRICULTURE S.E.N.C. Sasan BAYAT MAKOU, Fereidoun
HARANDIAN, Nader SADEGHI et Ramin KHODAYARI</t>
  </si>
  <si>
    <t>Longueuil</t>
  </si>
  <si>
    <t>Grande Alle, Longueuil</t>
  </si>
  <si>
    <t>45.445508</t>
  </si>
  <si>
    <t>-73.397179</t>
  </si>
  <si>
    <t>FERME ELAMARC INC.</t>
  </si>
  <si>
    <t>2 819 306, 6 434 818, 6 434 819</t>
  </si>
  <si>
    <t>Saint-Charles-de-
Bellechasse</t>
  </si>
  <si>
    <t>rang Sud-Ouest</t>
  </si>
  <si>
    <t>Déméter et FADQ</t>
  </si>
  <si>
    <t xml:space="preserve">Infosols </t>
  </si>
  <si>
    <t xml:space="preserve">Orge, foin </t>
  </si>
  <si>
    <t>Valeur inclusions selon acte</t>
  </si>
  <si>
    <t>Hélène BERGERON</t>
  </si>
  <si>
    <t>Samuel BEAURIVAGE</t>
  </si>
  <si>
    <t>2 245 214, 2 332 167, 5 663 807</t>
  </si>
  <si>
    <t>46.680184</t>
  </si>
  <si>
    <t>-71.483376</t>
  </si>
  <si>
    <t>FADQ et mesures Démeter</t>
  </si>
  <si>
    <t>Bibianne Daneau</t>
  </si>
  <si>
    <t>Denis Courchesne</t>
  </si>
  <si>
    <t>5 743 071, 5 743 223</t>
  </si>
  <si>
    <t>Rg Courchesne, Rg du Petit-Bois
Pierreville</t>
  </si>
  <si>
    <t>46.107132</t>
  </si>
  <si>
    <t>-72.813624</t>
  </si>
  <si>
    <t>3 et 4</t>
  </si>
  <si>
    <t>Demeter</t>
  </si>
  <si>
    <t>infosols</t>
  </si>
  <si>
    <t>9377-2416 Quebec Inc.</t>
  </si>
  <si>
    <t>Teri Chelminski</t>
  </si>
  <si>
    <t>607 959</t>
  </si>
  <si>
    <t>0 ch de Senneville</t>
  </si>
  <si>
    <t>Boisé pour constrution</t>
  </si>
  <si>
    <t>FERME DATONY ENR</t>
  </si>
  <si>
    <t>FERME L. POULIOT &amp; FILS INC.,</t>
  </si>
  <si>
    <t>3 586 505, 3 586 507</t>
  </si>
  <si>
    <t xml:space="preserve">Rang Buckland </t>
  </si>
  <si>
    <t xml:space="preserve">Legere pente </t>
  </si>
  <si>
    <t>Foin, céréales</t>
  </si>
  <si>
    <t>Anne LEGAULT</t>
  </si>
  <si>
    <t>9423-0695 QUÉBEC INC</t>
  </si>
  <si>
    <t>4 852 645, 6 302 527, 4 852 680 </t>
  </si>
  <si>
    <t>Lochaber</t>
  </si>
  <si>
    <t>Route 148 Est, Lochaber</t>
  </si>
  <si>
    <t>45.600339</t>
  </si>
  <si>
    <t>-75.215190</t>
  </si>
  <si>
    <t>2</t>
  </si>
  <si>
    <t>Cyrille LEFEBVRE</t>
  </si>
  <si>
    <t>FERME GERVILLE INC (Simon Lefebvre)</t>
  </si>
  <si>
    <t>5 433 072, 5 434
197</t>
  </si>
  <si>
    <t>LORRAIN HEPPELL</t>
  </si>
  <si>
    <t>Nadine HEPPELL</t>
  </si>
  <si>
    <t>5 148 902, 5 148 914, 5 149 044</t>
  </si>
  <si>
    <t>2ieme rang, Ragueneau</t>
  </si>
  <si>
    <t xml:space="preserve">legere pente </t>
  </si>
  <si>
    <t>w</t>
  </si>
  <si>
    <t>9116-3493 QUÉBEC INC. Yvan LUSIGNAN</t>
  </si>
  <si>
    <t>LES ENTREPRISES PHILIPPE DAIGNEAULT INC</t>
  </si>
  <si>
    <t>Saint-Bruno-de-Montarville</t>
  </si>
  <si>
    <t>Grand Boulevard Ouest, Saint-Bruno-de-Montarville</t>
  </si>
  <si>
    <t>Charles MARCIL</t>
  </si>
  <si>
    <t>2741-9605 QUÉBEC INC Stéphane LAMOUREUX</t>
  </si>
  <si>
    <t>chemin Salaberry à Carignan</t>
  </si>
  <si>
    <t>Developpement Simi Inc.</t>
  </si>
  <si>
    <t>Lotissement Sm Inc.</t>
  </si>
  <si>
    <t>6405922 (Nv lot: 6 432 893, 6 432 894 et 6 432 895)</t>
  </si>
  <si>
    <t>125 000</t>
  </si>
  <si>
    <t>Lotissement résidentiel</t>
  </si>
  <si>
    <t>Francine GOULET</t>
  </si>
  <si>
    <t>FERME PROLIFIC INC (Donald CY, et Marie-Pier PERREAULT)</t>
  </si>
  <si>
    <t>Nouvelle Beauce</t>
  </si>
  <si>
    <t>Saint-Elzéar</t>
  </si>
  <si>
    <t>rang du Bas-Sainte-Anne
Saint-Elzéar</t>
  </si>
  <si>
    <t>46.414588</t>
  </si>
  <si>
    <t>-71.147432</t>
  </si>
  <si>
    <t>Maïs</t>
  </si>
  <si>
    <t>AMENAGEMENT CAVALCADE INC Cathie SMITH</t>
  </si>
  <si>
    <t>Martin VINCENT</t>
  </si>
  <si>
    <t xml:space="preserve">2 600 789, 2 601 052 </t>
  </si>
  <si>
    <t>lot 2 600 789 devenu 6 453 819 et 6 453 818. Bordure chemin de Chambly</t>
  </si>
  <si>
    <t>Daniel Belval</t>
  </si>
  <si>
    <t>FERME J.T Chagnon &amp; Fils inc.</t>
  </si>
  <si>
    <t>1 956 894 </t>
  </si>
  <si>
    <t>45.706195</t>
  </si>
  <si>
    <t>-72.727843</t>
  </si>
  <si>
    <t>FERME DUVERGER S.E.N.C. (Marie-Ève
GODBOUT et Alain GAGNÉ)</t>
  </si>
  <si>
    <t>SOCIÉTÉ DA-MY S.E.N.C. (Myriane GARON et David CYR)</t>
  </si>
  <si>
    <t>46.407981</t>
  </si>
  <si>
    <t>-71.111959</t>
  </si>
  <si>
    <t xml:space="preserve">	045119</t>
  </si>
  <si>
    <t>Alain HÉBERT</t>
  </si>
  <si>
    <t>FERME MONDRÉ INC Marc-André CHAGNON</t>
  </si>
  <si>
    <t>4 833 075, 4 833 660</t>
  </si>
  <si>
    <t>Saint-Antoine-sur-Richelieu</t>
  </si>
  <si>
    <t>Rang de l'Acadie, Saint-Antoine-sur-Richelieu</t>
  </si>
  <si>
    <t>45.795692</t>
  </si>
  <si>
    <t>-73.197964</t>
  </si>
  <si>
    <t>310880 (Aliénation / lotissement,Morcellement de ferme
Utilisation non agricole seule,Agrand. usage exist. ou access,Résid. non rattach. à une terr)</t>
  </si>
  <si>
    <t>2319-0887 Quebec Inc. (Denise
Séguin)</t>
  </si>
  <si>
    <t>Municipalite Des Cedres (Bernard Daoust)</t>
  </si>
  <si>
    <t>6536420, 6536419</t>
  </si>
  <si>
    <t>Vaudreuil-Soulanges</t>
  </si>
  <si>
    <t>Les Cedres</t>
  </si>
  <si>
    <t>Terrain redéveloppé Petite terre, prox. Devl</t>
  </si>
  <si>
    <t>Décision430302</t>
  </si>
  <si>
    <t>FERME PATENAUDE ENR Jean-Denis PATENAUDE</t>
  </si>
  <si>
    <t>LES MARAÎCHERS BEC SUCRÉ INC Denis DESGROSEILLIERS</t>
  </si>
  <si>
    <t>Roussillon</t>
  </si>
  <si>
    <t>St-Isidore</t>
  </si>
  <si>
    <t>Rang St-Régis, St-Isidore</t>
  </si>
  <si>
    <t>45.307764</t>
  </si>
  <si>
    <t>-73.675017</t>
  </si>
  <si>
    <t>Jean-Hubert DUBOIS</t>
  </si>
  <si>
    <t>AGRICOLE S.A.E.L.B. INC Martin FORTIER</t>
  </si>
  <si>
    <t>1 912 195, 1 912 198, 1 912 680, 1 912 938, 2 436 410</t>
  </si>
  <si>
    <t>1291, chemin du Général-Vanier, Boucherville</t>
  </si>
  <si>
    <t>1 maison</t>
  </si>
  <si>
    <t>Bordure route 132. Lots non contigus. Lot 1912195 devenu 6586481 et 6586480. 2 436 410 partie du lot 6558038</t>
  </si>
  <si>
    <t>2 114 752, 2 112 016</t>
  </si>
  <si>
    <t>Hangar état moyen 6000 pc</t>
  </si>
  <si>
    <t>PIERRE DU MOULIN INC (Rudy
Laixhay)</t>
  </si>
  <si>
    <t>FERME DU GOUFFRE S.E.N.C. (Nicol Simard et Lucie Tremblay)</t>
  </si>
  <si>
    <t>4001203, 4001215</t>
  </si>
  <si>
    <t>Chemin Saint-Laurent
Baie-Saint-Paul</t>
  </si>
  <si>
    <t>47.509150</t>
  </si>
  <si>
    <t>-70.494905</t>
  </si>
  <si>
    <t>Ferme M. Lavoie inc (Réjean Côté)</t>
  </si>
  <si>
    <t>Groupe Lamoureux 2021 inc (Stéphane Lamoureux)</t>
  </si>
  <si>
    <t>2600802, 2600999, 2601004, 2601021</t>
  </si>
  <si>
    <t>Chemin Salaberry, Carignan</t>
  </si>
  <si>
    <t>45.428160</t>
  </si>
  <si>
    <t>-73.321445</t>
  </si>
  <si>
    <t>à calculer</t>
  </si>
  <si>
    <t>1 lot article 59</t>
  </si>
  <si>
    <t>FERME BEAU SITE 2015 INC.</t>
  </si>
  <si>
    <t>FERME S. PARÉ ET FILS S.E.N.C.</t>
  </si>
  <si>
    <t>FT</t>
  </si>
  <si>
    <t>Foin, soya</t>
  </si>
  <si>
    <t>FERME FRANÇOIS CHAMPAGNE ENR.</t>
  </si>
  <si>
    <t>FERME RICHARD QUINTAL &amp; FILS SENC.</t>
  </si>
  <si>
    <t>Rang 2, Acton Vale</t>
  </si>
  <si>
    <t>45.612907</t>
  </si>
  <si>
    <t>-72.632196</t>
  </si>
  <si>
    <t>Ferme Maurite Guertin (Réjean Côté)</t>
  </si>
  <si>
    <t>9441-8068 Québec inc (Steve Mathieu)</t>
  </si>
  <si>
    <t>2951305, 2 044645 , 3138455</t>
  </si>
  <si>
    <t>Bordure de l'A10</t>
  </si>
  <si>
    <t>316919 (Nouvel usage,Énergie)</t>
  </si>
  <si>
    <t>FERMES CHRISTIAN ET JOSÉE S.E.N.C.,</t>
  </si>
  <si>
    <t>Guillaume LACHAINE</t>
  </si>
  <si>
    <t>5 090 178,</t>
  </si>
  <si>
    <t>Les cultures CRC inc (Réjean Côté), Ferme agricole Côté inc (Réal Côté)</t>
  </si>
  <si>
    <t>Ferme BJD SENC (Bernard Gélineau)</t>
  </si>
  <si>
    <t>2600981, 2601663, 2601681</t>
  </si>
  <si>
    <t>45.407568</t>
  </si>
  <si>
    <t>-73.334088</t>
  </si>
  <si>
    <t>3 lots séparés</t>
  </si>
  <si>
    <t>316919 (énergie)</t>
  </si>
  <si>
    <t>SUCCESSION GISELE GEMME</t>
  </si>
  <si>
    <t>LES GAZONNIÈRES FAIRLAWN JUNIOR INC Gabriel RICHER</t>
  </si>
  <si>
    <t>Sainte-Julie</t>
  </si>
  <si>
    <t>Servitude de passage (fonds dominant). Lignes Hydro-Québec sur toute la longueur. Bordure A10</t>
  </si>
  <si>
    <t>349764 (Nouvel usage,Énergie)</t>
  </si>
  <si>
    <t>Steve BLANCHETTE</t>
  </si>
  <si>
    <t>FERME ST-CHARLES INC Stéphane BLANCHETTE</t>
  </si>
  <si>
    <t>4e rang Sud, Saint-Charles-sur-Richelieu</t>
  </si>
  <si>
    <t>45.645598</t>
  </si>
  <si>
    <t>-73.131880</t>
  </si>
  <si>
    <t>servitude de passage en faveur d’Ultramar</t>
  </si>
  <si>
    <t>FERME ST-MARIN ET FRERES SENC.</t>
  </si>
  <si>
    <t>FERME VITELLO INC.</t>
  </si>
  <si>
    <t>Saint-Nazaire-d'Acton</t>
  </si>
  <si>
    <t>Rang 12e, Saint-Nazaire-d'Acton</t>
  </si>
  <si>
    <t>45.763130</t>
  </si>
  <si>
    <t>-72.611947</t>
  </si>
  <si>
    <t>legere pente</t>
  </si>
  <si>
    <t>Forme optimale, Partie en classe 2</t>
  </si>
  <si>
    <t>7512830 CANADA INC (Danyel PHÉNIX)</t>
  </si>
  <si>
    <t>6342485 CANADA INC (Vincenzo BARRASSO)</t>
  </si>
  <si>
    <t>chemin Bellerive 
Carignan</t>
  </si>
  <si>
    <t>45.445506</t>
  </si>
  <si>
    <t>-73.323945</t>
  </si>
  <si>
    <t>7512830 Canada Inc. (Danyel PHÉNIX)</t>
  </si>
  <si>
    <t>6342485 Canada Inc. (Vincenzo BARRASSO)</t>
  </si>
  <si>
    <t>0 ch Bellerive</t>
  </si>
  <si>
    <t>2,5</t>
  </si>
  <si>
    <t>Aucune</t>
  </si>
  <si>
    <t>Caroline TAILLEUR</t>
  </si>
  <si>
    <t>FERME TROISCÔTES INC</t>
  </si>
  <si>
    <t>6 364 423, 6 186 694</t>
  </si>
  <si>
    <t>Saint-pierre-de-l'ile-d'orléans</t>
  </si>
  <si>
    <t>3 et 7</t>
  </si>
  <si>
    <t>bâtiment sur la terre</t>
  </si>
  <si>
    <t>GESTION DANY LAGACÉ INC</t>
  </si>
  <si>
    <t>GESTION ALOA INC Larry ST-ONGE</t>
  </si>
  <si>
    <t>46.700212</t>
  </si>
  <si>
    <t>-71.447347</t>
  </si>
  <si>
    <t>I</t>
  </si>
  <si>
    <t>Bord du fleuve</t>
  </si>
  <si>
    <t>Susan Irene Marshall</t>
  </si>
  <si>
    <t>Douglas Stewart Mossey</t>
  </si>
  <si>
    <t>5 500</t>
  </si>
  <si>
    <t>0 boul St-Joseph</t>
  </si>
  <si>
    <t>Saint-eusèbe</t>
  </si>
  <si>
    <t>Route prinicpale, Saint-Eusèbe</t>
  </si>
  <si>
    <t>En partie</t>
  </si>
  <si>
    <t>T</t>
  </si>
  <si>
    <t>Jean-Luc GOSSELIN</t>
  </si>
  <si>
    <t>FERME FX ORLÉANS INC (Philippe
BEAULIEU)</t>
  </si>
  <si>
    <t>6 282 076, 6 282 233</t>
  </si>
  <si>
    <t>Saint-François-de-l'île-d'Orléans</t>
  </si>
  <si>
    <t>chemin Royal
Saint-François-de-l'île-d'Orléans</t>
  </si>
  <si>
    <t>46.978109</t>
  </si>
  <si>
    <t>-70.848473</t>
  </si>
  <si>
    <t>Ferme Bernard GARIEPY</t>
  </si>
  <si>
    <t>Mickael THIBAULT</t>
  </si>
  <si>
    <t>2e rang 
Deschambault-Grondines</t>
  </si>
  <si>
    <t xml:space="preserve"> 46.639754</t>
  </si>
  <si>
    <t xml:space="preserve">	-72.008068</t>
  </si>
  <si>
    <t>Infosols</t>
  </si>
  <si>
    <t>-</t>
  </si>
  <si>
    <t>Pas d'accès direct, grange</t>
  </si>
  <si>
    <t>Marielle CÔTÉ</t>
  </si>
  <si>
    <t>Patrick RACINE</t>
  </si>
  <si>
    <t>6 265 965</t>
  </si>
  <si>
    <t>-72.798091</t>
  </si>
  <si>
    <t>45.150205</t>
  </si>
  <si>
    <t>FADQ et mesures Déméter</t>
  </si>
  <si>
    <t>Infosol</t>
  </si>
  <si>
    <t>non Drainée, partie en classe 7</t>
  </si>
  <si>
    <t>9213-5466 QUÉBEC INC Dominique Cimon</t>
  </si>
  <si>
    <t>FERME SIMAJÉ INC Christian Riendeau</t>
  </si>
  <si>
    <t>Mercier</t>
  </si>
  <si>
    <t>Rang Saint-Charles, Mercier</t>
  </si>
  <si>
    <t>45.308774</t>
  </si>
  <si>
    <t>-73.768482</t>
  </si>
  <si>
    <t>Ferme C.M. Gagnon Inc.</t>
  </si>
  <si>
    <t>Ferme Lugano Inc.</t>
  </si>
  <si>
    <t>3259720, 3259693</t>
  </si>
  <si>
    <t>Saint-Charles-de-Bellechasse</t>
  </si>
  <si>
    <t>2ième Rang
Ouest</t>
  </si>
  <si>
    <t xml:space="preserve">Oui </t>
  </si>
  <si>
    <t>Soya, foin</t>
  </si>
  <si>
    <t>FERME VERGON INC.</t>
  </si>
  <si>
    <t>FERME J.E.S. POULIOT INC.</t>
  </si>
  <si>
    <t xml:space="preserve">6 449 114, 6 449 113 </t>
  </si>
  <si>
    <t>TP</t>
  </si>
  <si>
    <t>R. Howard Webster Foundation</t>
  </si>
  <si>
    <t>Ville De Montreal</t>
  </si>
  <si>
    <t>Île Bizard</t>
  </si>
  <si>
    <t>0 rue Cherrier</t>
  </si>
  <si>
    <t>Boisé</t>
  </si>
  <si>
    <t>Richard FERLAND</t>
  </si>
  <si>
    <t>LE VIGNOBLE DE L'ISLE DE BACCHUS INC</t>
  </si>
  <si>
    <t>6 186 584, 6 186 588</t>
  </si>
  <si>
    <t>4 et 3</t>
  </si>
  <si>
    <t>Verger semble sur la terre</t>
  </si>
  <si>
    <t>Jean-François PELLETIER</t>
  </si>
  <si>
    <t>FERME POCATOISE LTÉE (Charles-Étienne PELLETIER)</t>
  </si>
  <si>
    <t>Sainte- Anne-de-la-Pocatière</t>
  </si>
  <si>
    <t>chemin de la Montagne-Thiboutot
Sainte- Anne-de-la-Pocatière</t>
  </si>
  <si>
    <t>47.362847</t>
  </si>
  <si>
    <t>-69.967281</t>
  </si>
  <si>
    <t>WD</t>
  </si>
  <si>
    <t>Simonne ROUILLIER</t>
  </si>
  <si>
    <t>FERMES DEUX-MONT INC Sylvain BENOIT</t>
  </si>
  <si>
    <t>St-Jean-Baptiste</t>
  </si>
  <si>
    <t>Rang de la rivière Sud ,St-Jean-Baptiste</t>
  </si>
  <si>
    <t>45.508635</t>
  </si>
  <si>
    <t>-73.135505</t>
  </si>
  <si>
    <t>Renald Latraverse</t>
  </si>
  <si>
    <t>Fruits Des Iles Inc.(r Éric LUPIEN)</t>
  </si>
  <si>
    <t>Ste-Anne-De-Sorel</t>
  </si>
  <si>
    <t>Chemin du Chenal du Moine</t>
  </si>
  <si>
    <t>5,21 ha</t>
  </si>
  <si>
    <t>2-W</t>
  </si>
  <si>
    <t>434981; Autorisation; Aliénation/Lotissement,Morcellement de terres</t>
  </si>
  <si>
    <t>FADQ et mesures</t>
  </si>
  <si>
    <t>Pierre BACHAND, Lyne MONTPETIT</t>
  </si>
  <si>
    <t>9445-4279 QUÉBEC INC Sylvain BERGERON</t>
  </si>
  <si>
    <t>2 267 359, 6 270 108, 6 330 896</t>
  </si>
  <si>
    <t>Laprairie</t>
  </si>
  <si>
    <t>Rang St-Raphael, Laprairie</t>
  </si>
  <si>
    <t>45.380522</t>
  </si>
  <si>
    <t>-73.431160</t>
  </si>
  <si>
    <t>Droit de refus au profit de l'acheteur du lot 6 330 897</t>
  </si>
  <si>
    <t>Andre DEXTRAZE</t>
  </si>
  <si>
    <t>FERME DESTRAMBLEY</t>
  </si>
  <si>
    <t>1 840 247, 1 840 986, 6 439 711, 6 439 719</t>
  </si>
  <si>
    <t>Saint Simon</t>
  </si>
  <si>
    <t xml:space="preserve">Rang Saint-Édouard </t>
  </si>
  <si>
    <t>45.701842</t>
  </si>
  <si>
    <t>-72.808342</t>
  </si>
  <si>
    <t>Mesures Démeter</t>
  </si>
  <si>
    <t>majoritairement boisée, non drainé</t>
  </si>
  <si>
    <t>FERME G C K MARTEL S.E.N.C (M. Georges Martel)</t>
  </si>
  <si>
    <t>SIDCLOVI INC (SIDCLOVI INC)</t>
  </si>
  <si>
    <t>rang du Petit-Bois
Pierreville</t>
  </si>
  <si>
    <t>46.104932</t>
  </si>
  <si>
    <t>-72.787986</t>
  </si>
  <si>
    <t>Ghislaine GIRARD</t>
  </si>
  <si>
    <t>FERME YANNIC LÉTOURNEAU INC</t>
  </si>
  <si>
    <t>3 800 831, 3 800 837</t>
  </si>
  <si>
    <t>Saint-Constant</t>
  </si>
  <si>
    <t>45.361130610079925</t>
  </si>
  <si>
    <t>-73.57754457324118</t>
  </si>
  <si>
    <t>servitude de non-accès à l'autoroute 30</t>
  </si>
  <si>
    <t>Marcel FORTIN, Paul FORTIN</t>
  </si>
  <si>
    <t>FERME DESBOISÉS INC</t>
  </si>
  <si>
    <t>Saint-Michel-de-Bellechasse</t>
  </si>
  <si>
    <t>3e rang Est
Saint-Michel-de-Bellechasse</t>
  </si>
  <si>
    <t>46.854064</t>
  </si>
  <si>
    <t>-70.872593</t>
  </si>
  <si>
    <t>îlot destructuré</t>
  </si>
  <si>
    <t>Vincent BLOUIN</t>
  </si>
  <si>
    <t>GESTION BEAU LIEU INC (Philippe BEAULIEU)</t>
  </si>
  <si>
    <t>6 282 003, 6 282 024</t>
  </si>
  <si>
    <t>Saint-Jean-de-l'Ile-d'Orléans</t>
  </si>
  <si>
    <t>4392, chemin Royal
Saint-Jean-de-l'Ile-d'Orléans</t>
  </si>
  <si>
    <t>46.952156</t>
  </si>
  <si>
    <t>-70.906884</t>
  </si>
  <si>
    <t>Presence d'un batiment, non drainée</t>
  </si>
  <si>
    <t>Normand NOISEUX</t>
  </si>
  <si>
    <t>FERME NORMI S.E.N.C Normand NOISEUX et Mireille BIENVENUE</t>
  </si>
  <si>
    <t>4 149 084, 4 149 300</t>
  </si>
  <si>
    <t>Saint-Jean-Baptiste</t>
  </si>
  <si>
    <t>Rang de la Rivière Nord, Saint-Jean-Baptiste</t>
  </si>
  <si>
    <t>45.497831</t>
  </si>
  <si>
    <t>-73.165272</t>
  </si>
  <si>
    <t>Avec équipemens agricoles et semences</t>
  </si>
  <si>
    <t>Ecodev Inc.</t>
  </si>
  <si>
    <t>J.S. Procom Inc.</t>
  </si>
  <si>
    <t>35 000 000</t>
  </si>
  <si>
    <t>0 av Forest</t>
  </si>
  <si>
    <t>Marcel BOILEAU</t>
  </si>
  <si>
    <t>Sinan TEZGEL</t>
  </si>
  <si>
    <t>rue Cherrier</t>
  </si>
  <si>
    <t>433201; Autorisation; Article 15.2</t>
  </si>
  <si>
    <t>2X, 4FM, 2W</t>
  </si>
  <si>
    <t>Bon 30%, imparfait 30% et mauvais 30%</t>
  </si>
  <si>
    <t>Terre</t>
  </si>
  <si>
    <t>Edmond Martin</t>
  </si>
  <si>
    <t>Ferme N.C. Amesse S.E.N.C. (Normand Amesse)</t>
  </si>
  <si>
    <t>140 000</t>
  </si>
  <si>
    <t>Salaberry-De-Valleyfield</t>
  </si>
  <si>
    <t>Terre proximité devlop.</t>
  </si>
  <si>
    <t>Gilles , René BILODEAU</t>
  </si>
  <si>
    <t>FERME BERTHIER-SUR-MER INC</t>
  </si>
  <si>
    <t>Berthier-sur-Mer</t>
  </si>
  <si>
    <t>Boulevard Blais Ouest
Berthier-sur-Mer</t>
  </si>
  <si>
    <t>46.914629</t>
  </si>
  <si>
    <t>-70.73863</t>
  </si>
  <si>
    <t>François BÉLANGER</t>
  </si>
  <si>
    <t>9085-9513 QUÉBEC INC (Étienne ROY)</t>
  </si>
  <si>
    <t>Sainte-Croix</t>
  </si>
  <si>
    <t>rang du Petit-Village
Baie-du-Febvre</t>
  </si>
  <si>
    <t>46.617319</t>
  </si>
  <si>
    <t>-71.760982</t>
  </si>
  <si>
    <t>Terres louées, Présence d'un hangar, boisé en forte pente (feuillus), environ 20 ha en friches et 10 ha de terres non cultivables en l'état</t>
  </si>
  <si>
    <t>Gabrielle BLANC BOUVIER</t>
  </si>
  <si>
    <t>9341-6691 QUEBEC INC India BIENVENUE</t>
  </si>
  <si>
    <t>Saint-Basile-le-Grand</t>
  </si>
  <si>
    <t>5, rue Principale, Saint-Basile-le-Grand</t>
  </si>
  <si>
    <t>Clément PAQUET</t>
  </si>
  <si>
    <t>FERME RAYMOND DORÉ &amp; FILS INC.</t>
  </si>
  <si>
    <t>3 826 259</t>
  </si>
  <si>
    <t>la route Grand-Capsa, Pont-Rouge</t>
  </si>
  <si>
    <t xml:space="preserve">avoine </t>
  </si>
  <si>
    <t>Présence de 3 hangars (état moyen)</t>
  </si>
  <si>
    <t>SOCIÉTÉ EN COMMANDITE FERMES AUX PORTES
DE LA NATURE</t>
  </si>
  <si>
    <t>9454-3162 QUÉBEC INC Pierrick GRIPON</t>
  </si>
  <si>
    <t>Bd Ste-Marguerite, Mercier</t>
  </si>
  <si>
    <t>45.292106</t>
  </si>
  <si>
    <t>-73.726854</t>
  </si>
  <si>
    <t>3 autorisations caduques (Utilisation non agricole seule,Nouvel usage,Subst. min. granul. (sab-grav)0</t>
  </si>
  <si>
    <t>LOUISETTE PARADIS</t>
  </si>
  <si>
    <t>FERME J.P. CÔTÉ &amp; FILS INC (Janie Côté)</t>
  </si>
  <si>
    <t>5 004 434, 5 004 436, 3 055 746</t>
  </si>
  <si>
    <t>ch du Petit Village Nord
Saint-Augustin-de-Desmaures</t>
  </si>
  <si>
    <t>46.737014</t>
  </si>
  <si>
    <t>-71.529517</t>
  </si>
  <si>
    <t>drainée, terre cultivable disperser</t>
  </si>
  <si>
    <t> FERME DAUPHINAIS ET BLAIN S.E.N.C </t>
  </si>
  <si>
    <t> GESTION NICOLAS PERREAULT INC </t>
  </si>
  <si>
    <t>3e rang des Moulins ouest, Saint-Denis-sur-Richelieu</t>
  </si>
  <si>
    <t>45.748728</t>
  </si>
  <si>
    <t>-73.138876</t>
  </si>
  <si>
    <t>WT</t>
  </si>
  <si>
    <t>ROSE-HÉLÈNE DEBLOIS</t>
  </si>
  <si>
    <t>GESTION FAMILLE POMERLEAU INC</t>
  </si>
  <si>
    <t>6 473 322, 6 318 636</t>
  </si>
  <si>
    <t>rang Marigot
Saint-Apollinaire</t>
  </si>
  <si>
    <t>46.602325</t>
  </si>
  <si>
    <t>-71.553605</t>
  </si>
  <si>
    <t>Traverser par une rivière, partiellement</t>
  </si>
  <si>
    <t>Céline CÔTÉ</t>
  </si>
  <si>
    <t>La FERME BENICO (Carl
CÔTÉ)</t>
  </si>
  <si>
    <t>3 202 773, 3 056 339, 3 202 774</t>
  </si>
  <si>
    <t>rang des Mines
Saint-Augustin-de-Desmaures</t>
  </si>
  <si>
    <t>46.767268</t>
  </si>
  <si>
    <t>-71.478504</t>
  </si>
  <si>
    <t>Jean-Paul ROGER</t>
  </si>
  <si>
    <t>SOCIÉTÉ ROGTHE S.E.N.C.,</t>
  </si>
  <si>
    <t>6 447 665,6 447 664</t>
  </si>
  <si>
    <t>Rang de la ligne, Saint-Agapit</t>
  </si>
  <si>
    <t>Potentiel acéricole à la fin des terres agricoles</t>
  </si>
  <si>
    <t>Mariette PROVOST</t>
  </si>
  <si>
    <t>LES FERMES P.M. ARCHAMBAULT INC</t>
  </si>
  <si>
    <t>5 881 463, 6 343 614, 6 224 561</t>
  </si>
  <si>
    <t>Sainte-Julie et Varennes</t>
  </si>
  <si>
    <t>45.618615</t>
  </si>
  <si>
    <t>-73.367562</t>
  </si>
  <si>
    <t>2 hangars</t>
  </si>
  <si>
    <t>Rôle municipal</t>
  </si>
  <si>
    <t>enclavé, partiellement drainée</t>
  </si>
  <si>
    <t>Daniel Beauchamp</t>
  </si>
  <si>
    <t>Cultures Brisson Inc.</t>
  </si>
  <si>
    <t>St-Jacques</t>
  </si>
  <si>
    <t>0 rang des Continuations</t>
  </si>
  <si>
    <t>2-7W 2-3X</t>
  </si>
  <si>
    <t>Drainage imparfait</t>
  </si>
  <si>
    <t>Hélène LANDRY, Christian LANDRY</t>
  </si>
  <si>
    <t>FERME HIRONDELLE SAINTE-HÉLÈNE INC (Vital
MORIN)</t>
  </si>
  <si>
    <t>Sainte-Hélène-de-Kamouraska</t>
  </si>
  <si>
    <t>47.591417</t>
  </si>
  <si>
    <t>-69.737855</t>
  </si>
  <si>
    <t>Hangar (120 m2)</t>
  </si>
  <si>
    <t>forme non optimal</t>
  </si>
  <si>
    <t>Michel Plante</t>
  </si>
  <si>
    <t>Martine Rocheleau</t>
  </si>
  <si>
    <t>400 000</t>
  </si>
  <si>
    <t>St-Lazare</t>
  </si>
  <si>
    <t>0 ch Ste-Angelique</t>
  </si>
  <si>
    <t>Bois, non CPTAQ</t>
  </si>
  <si>
    <t>ALAIN CUSSON</t>
  </si>
  <si>
    <t>FERME GMS BENOIT INC.</t>
  </si>
  <si>
    <t>Rang 10e, Saint-Nazaire-d'Acton</t>
  </si>
  <si>
    <t>45.743595</t>
  </si>
  <si>
    <t>-72.585517</t>
  </si>
  <si>
    <t>4-3</t>
  </si>
  <si>
    <t>MFW</t>
  </si>
  <si>
    <t>Sebastien Rivest</t>
  </si>
  <si>
    <t>Ferme Julie Et Sebastien</t>
  </si>
  <si>
    <t>Cadastre du Quebec 4995522</t>
  </si>
  <si>
    <t>0 ch de Kildare</t>
  </si>
  <si>
    <t xml:space="preserve">153156, Autorisation, Aliénation / lotissement, </t>
  </si>
  <si>
    <t xml:space="preserve">3-8FW  / 7-7T </t>
  </si>
  <si>
    <t>9161-8231 Quebec Inc (Philippe SCHRYVE)</t>
  </si>
  <si>
    <t>Les Cultures M.T.P. Inc (TROTTIER PHARAND)</t>
  </si>
  <si>
    <t>2399370, 2396380, 2399561, 3580125, 5592420</t>
  </si>
  <si>
    <t>2 000 000</t>
  </si>
  <si>
    <t>St-Clet</t>
  </si>
  <si>
    <t>0 ch du Ruisseau N</t>
  </si>
  <si>
    <t xml:space="preserve"> Inès THOOS</t>
  </si>
  <si>
    <t>Benoit HERVIEUX</t>
  </si>
  <si>
    <t>2565825_2568340</t>
  </si>
  <si>
    <t>St-Lin-Laurentide</t>
  </si>
  <si>
    <t>Rosario Bossé</t>
  </si>
  <si>
    <t>Ferme Berthier-sur-Mer inc</t>
  </si>
  <si>
    <t>rue Principale Est
Berthier-sur-Mer</t>
  </si>
  <si>
    <t>46.929417</t>
  </si>
  <si>
    <t>-70.731807</t>
  </si>
  <si>
    <t>tres accesible, drainé</t>
  </si>
  <si>
    <t>Michel Tanguay</t>
  </si>
  <si>
    <t>Ferme L. Leblanc Et Fils Inc. (Pierrette GAUDETTE)</t>
  </si>
  <si>
    <t>6 473 288</t>
  </si>
  <si>
    <t>St-Hyacinthe</t>
  </si>
  <si>
    <t>0 rue St-Pierre O</t>
  </si>
  <si>
    <t>13,02 ha</t>
  </si>
  <si>
    <t>Soya</t>
  </si>
  <si>
    <t>2- X</t>
  </si>
  <si>
    <t>Autorisation caduque : Aliénation/Lotissement,Autres aliénations</t>
  </si>
  <si>
    <t>Myriam Villiard,</t>
  </si>
  <si>
    <t>MARCHÉ AU PAS MARAÎCHER INC. Marie-Chantal Rondeau</t>
  </si>
  <si>
    <t>5 079 606</t>
  </si>
  <si>
    <t>Route Marie-Victorin O.</t>
  </si>
  <si>
    <t>4,10 ha</t>
  </si>
  <si>
    <t>4-FW</t>
  </si>
  <si>
    <t>Imparfait</t>
  </si>
  <si>
    <t>Ville De Salaberry-De-Valleyfield</t>
  </si>
  <si>
    <t>Investissements Marie Curie Ltee/Marie Curie Invstments Ltd.</t>
  </si>
  <si>
    <t>1 563 386</t>
  </si>
  <si>
    <t>FERME M. et M. DESROCHERS INC.</t>
  </si>
  <si>
    <t>FERME MABANCY INC.</t>
  </si>
  <si>
    <t>2ème Rang Ouest
Sainte-Croix</t>
  </si>
  <si>
    <t>46.608752</t>
  </si>
  <si>
    <t xml:space="preserve">-71.730823, </t>
  </si>
  <si>
    <t>DW</t>
  </si>
  <si>
    <t>imparfaitement drainé, lots separés</t>
  </si>
  <si>
    <t>CLUB DE GOLF DE COWANSVILLE INC (Luc HARBEC)</t>
  </si>
  <si>
    <t>Pascal NAUD</t>
  </si>
  <si>
    <t>6 620 038</t>
  </si>
  <si>
    <t>Cowansville</t>
  </si>
  <si>
    <t>-72.814959</t>
  </si>
  <si>
    <t>imparfaitement drainé</t>
  </si>
  <si>
    <t>Laurent PAQUET</t>
  </si>
  <si>
    <t>FERME ANDRÉ BLOUIN S.E.N.C.</t>
  </si>
  <si>
    <t>46.965000</t>
  </si>
  <si>
    <t>-70.961408</t>
  </si>
  <si>
    <t>2 bâtiments</t>
  </si>
  <si>
    <t>FERME DEBLONDE INC</t>
  </si>
  <si>
    <t>FERME RICHARD BLANCHETTE &amp; FILS INC</t>
  </si>
  <si>
    <t>3 407 503, 3 408 121</t>
  </si>
  <si>
    <t>Rang Salvail Sud, La Présentation</t>
  </si>
  <si>
    <t>45.698353</t>
  </si>
  <si>
    <t>-73.055978</t>
  </si>
  <si>
    <t>Claude GOSSELIN</t>
  </si>
  <si>
    <t>FERME ROBERGE ET GOSSELIN INC (David Gosselin)</t>
  </si>
  <si>
    <t>6282059, 6282040, 6282036, 6282202</t>
  </si>
  <si>
    <t>chemin Royal
Saint-Jean-de-l'Ile-d'Orléans</t>
  </si>
  <si>
    <t>46.964552</t>
  </si>
  <si>
    <t>-70.882959</t>
  </si>
  <si>
    <t>9016-7404 QUÉBEC INC</t>
  </si>
  <si>
    <t>9300-4372 QUÉBEC INC</t>
  </si>
  <si>
    <t>4 960 987, 4 006 756, 3 655 120</t>
  </si>
  <si>
    <t>Chemin de la montagne, Saint-Philippe-de-Néri</t>
  </si>
  <si>
    <t>47.478788</t>
  </si>
  <si>
    <t>-69.889673</t>
  </si>
  <si>
    <t>Yvan Leroux</t>
  </si>
  <si>
    <t>9469-4395 Quebec Inc.(Roland CZECH)</t>
  </si>
  <si>
    <t>3968219, 3 245 506, 3 245 503, 3 245 502, 3 245 497, 3 245 490, 3 245 484, 3 473 440, 3 473 439</t>
  </si>
  <si>
    <t>3 000 000</t>
  </si>
  <si>
    <t>0 boul Mgr-Langlois</t>
  </si>
  <si>
    <t>Marcel LEBOEUF</t>
  </si>
  <si>
    <t>FERME R.M.A.GERVAIS INC</t>
  </si>
  <si>
    <t>6 294 416, 3 407 619, 6 294 576, 3 407 646, 6 441 113, 3 407 622, 3 407 655, 3 407 620, 6 277 333</t>
  </si>
  <si>
    <t>Rang Amyot, Saint-Charles-sur-Richelieu</t>
  </si>
  <si>
    <t>45.711061</t>
  </si>
  <si>
    <t>-73.177931</t>
  </si>
  <si>
    <t xml:space="preserve">Lots separés, traversé par une decharge </t>
  </si>
  <si>
    <t>Renée DAIGNEAULT</t>
  </si>
  <si>
    <t>FERME AGRI-MAX INC Denis GÉLINEAU</t>
  </si>
  <si>
    <t>2267377, 2 267 378, 2 267 411, 6 473 467</t>
  </si>
  <si>
    <t>Ch. De la Bataille Sud, Laprairie</t>
  </si>
  <si>
    <t>45.377416</t>
  </si>
  <si>
    <t>-73.411554</t>
  </si>
  <si>
    <t>4 lots non contigus</t>
  </si>
  <si>
    <t>FERME MARGIS S.E.N.C (Jonathan et Éric Bergeron)</t>
  </si>
  <si>
    <t>GESTION DANIEL FORCIER INC</t>
  </si>
  <si>
    <t>6458438, 5 434 429, 5 434 178, 5 434 424</t>
  </si>
  <si>
    <t>chemin du Pays-Brûlé
Baie-du-Febvre</t>
  </si>
  <si>
    <t>46.151874</t>
  </si>
  <si>
    <t>-72.657043</t>
  </si>
  <si>
    <t>Hangar, bâtiment d'élevage, 6 silos, hangar léger</t>
  </si>
  <si>
    <t>FERME ROCAL INC (Robin
LAPOINTE)</t>
  </si>
  <si>
    <t>FERME SOFIA INC. (Tasie FORTIN)</t>
  </si>
  <si>
    <t>5 170 580,4 948 416, 4 948 443, 4 948 558</t>
  </si>
  <si>
    <t>St-Alexandre-de-Kamouraska</t>
  </si>
  <si>
    <t>Rang Saint-Gérard
St-Alexandre-de-Kamouraska</t>
  </si>
  <si>
    <t>47.648249</t>
  </si>
  <si>
    <t>-69.601142</t>
  </si>
  <si>
    <t>Vente effectué par des parties liées</t>
  </si>
  <si>
    <t> FERMES BLANCHETTE ET FILS INC </t>
  </si>
  <si>
    <t> FERME DES GAUDETTE SNC </t>
  </si>
  <si>
    <t>3 698 617, 3 408 022, 3 407 962, 3 698 615, 3 698 593, 3 408 023, 3 407 961</t>
  </si>
  <si>
    <t>5e rang, La présentation</t>
  </si>
  <si>
    <t>45.703051</t>
  </si>
  <si>
    <t>-73.091838</t>
  </si>
  <si>
    <t>le terrain est traversé par un decharge, homogéne</t>
  </si>
  <si>
    <t>Alain MORIN</t>
  </si>
  <si>
    <t>9080-6845 QUÉBEC INC</t>
  </si>
  <si>
    <t>5 112 393, 5 441 723, 5 590 668, 5 590 669, 5 441 744, 5 590 667, 6 425 482, 5 590 667</t>
  </si>
  <si>
    <t>Plane, 
déclivité dans le boisé</t>
  </si>
  <si>
    <t>petit bâtiments sur le lot, potentiel acéricole</t>
  </si>
  <si>
    <t>FERME ANDRE LEMAIRE INC</t>
  </si>
  <si>
    <t>GESTION STEVEN RAYMOND INC</t>
  </si>
  <si>
    <t>Rang Saint-Pierre
Saint-Zéphirin-de-Courval</t>
  </si>
  <si>
    <t>46.052764</t>
  </si>
  <si>
    <t>-72.612366</t>
  </si>
  <si>
    <t>le terrain est traversé par un ruisseau, 1 bâtiment, servitude de passage</t>
  </si>
  <si>
    <t>Richard DROUIN</t>
  </si>
  <si>
    <t>FERME LABBÉ &amp; FILS INC</t>
  </si>
  <si>
    <t>4 119 480, 3 876 450</t>
  </si>
  <si>
    <t>Saint-Joseph-de-Beauce</t>
  </si>
  <si>
    <t>rang de la Grande-Montagne, Saint-Joseph-de-Beauce</t>
  </si>
  <si>
    <t>46.367725</t>
  </si>
  <si>
    <t>-70.795730</t>
  </si>
  <si>
    <t>FPW</t>
  </si>
  <si>
    <t xml:space="preserve">FADQ </t>
  </si>
  <si>
    <t>forme optimal, non drainée</t>
  </si>
  <si>
    <t>PAUL LAVOIE ET FILS INC</t>
  </si>
  <si>
    <t>FERME SAMERAY INC (Samuel
BOUCHARD)</t>
  </si>
  <si>
    <t>5 727 136, 5 727 572, 5 727 573, 3 655 563, 3 655 564</t>
  </si>
  <si>
    <t>Saint-Pascal</t>
  </si>
  <si>
    <t>4e Rang Ouest
Saint-Pascal</t>
  </si>
  <si>
    <t>47.487273</t>
  </si>
  <si>
    <t>-69.786212</t>
  </si>
  <si>
    <t>Pierre-georges-TREMBLAY</t>
  </si>
  <si>
    <t>Thomas BOUCHARD</t>
  </si>
  <si>
    <t>4 919 200,4 919 201,6 303 672</t>
  </si>
  <si>
    <t>Pointes-aux-Outardes</t>
  </si>
  <si>
    <t>pas de potentiel acericole pour le boisé, servitude de passage</t>
  </si>
  <si>
    <t>Gestion Steeve Brisson Inc.</t>
  </si>
  <si>
    <t>Immeuble Avenue Pierre-Dansereau Inc.</t>
  </si>
  <si>
    <t>6436239 , 6436238 (nv. Lot 6 537 720)</t>
  </si>
  <si>
    <t>2 100 000</t>
  </si>
  <si>
    <t>0 av Pierre-Dansereau</t>
  </si>
  <si>
    <t>Non CPTAQ = commercial</t>
  </si>
  <si>
    <t>François Parent</t>
  </si>
  <si>
    <t>Ferme J. A. Paquin &amp; Cie Inc. (Famille Paquin)</t>
  </si>
  <si>
    <t>Ste-Victoire-De-Sorel</t>
  </si>
  <si>
    <t>rang Nord</t>
  </si>
  <si>
    <t>14,12 ha</t>
  </si>
  <si>
    <t>1,9</t>
  </si>
  <si>
    <t>222425, Autorisation caduque, Utilisation non agricole seule,Nouvel usage,Subst. min. granul. (sab-grav)</t>
  </si>
  <si>
    <t>Alta Industriel Ltee</t>
  </si>
  <si>
    <t>Cdl Industrial Park Limited Partnership</t>
  </si>
  <si>
    <t>1686983, 1688595, 1686982, 1686986, 1688590, 6391353, 1686897, 3506236</t>
  </si>
  <si>
    <t>115 000 000</t>
  </si>
  <si>
    <t>Coteau-Du-Lac</t>
  </si>
  <si>
    <t>NORMAND LACHANCE</t>
  </si>
  <si>
    <t>DAMIEN RACINE</t>
  </si>
  <si>
    <t>6 212 202 </t>
  </si>
  <si>
    <t>La Côte-de-Beaupré</t>
  </si>
  <si>
    <t>47.204558</t>
  </si>
  <si>
    <t>-70.733137</t>
  </si>
  <si>
    <t>déclivité modérée</t>
  </si>
  <si>
    <t>pas de potentiel acericole pour le boisé, pas de culture declaré</t>
  </si>
  <si>
    <t>Yves LEMIEUX</t>
  </si>
  <si>
    <t>FERME VIAU INC Roger VIAU</t>
  </si>
  <si>
    <t>2 867 332, 2 867 333, 2 867 334, 2 867 335, 2 867 336, 2 867 337, 2 867 338</t>
  </si>
  <si>
    <t>Saint-Isidore</t>
  </si>
  <si>
    <t>Rang saint-Régis Sud, Saint-Isidore</t>
  </si>
  <si>
    <t>45.335344</t>
  </si>
  <si>
    <t>-73.648965</t>
  </si>
  <si>
    <t>9361-9369 QUEBEC INC.</t>
  </si>
  <si>
    <t>9185-1352 QUEBEC INC.</t>
  </si>
  <si>
    <t>4 175 414, 5 618 722</t>
  </si>
  <si>
    <t>chemin du Cordon
Sainte-Anne-de-la-Pérade</t>
  </si>
  <si>
    <t>46.577849</t>
  </si>
  <si>
    <t>-72.258634</t>
  </si>
  <si>
    <t>Maïs, soya</t>
  </si>
  <si>
    <t>pas de potentiel acericole pour le boisé</t>
  </si>
  <si>
    <t>Societe En Commandite Gerard-Cadieux</t>
  </si>
  <si>
    <t>3 898 364</t>
  </si>
  <si>
    <t>12883724 Canada Inc.</t>
  </si>
  <si>
    <t>Societe En Commandite Rf Coteau-Du-Lac I/ Rf Coteau-Du-Lac Limited Partnership I</t>
  </si>
  <si>
    <t>10 000 000</t>
  </si>
  <si>
    <t>Marc-André RACINE, Ménandre RACINE, Diane GAUTHIER</t>
  </si>
  <si>
    <t>JEAN RODRIGUE, RADIOLOGUE INC</t>
  </si>
  <si>
    <t>5 438 770, 5 438 769</t>
  </si>
  <si>
    <t>rang Saint-Joseph
Les Éboulements</t>
  </si>
  <si>
    <t>47.499830</t>
  </si>
  <si>
    <t>-70.365300</t>
  </si>
  <si>
    <t>Majeure partie</t>
  </si>
  <si>
    <t>le lot est traversé par un petit ruisseau</t>
  </si>
  <si>
    <t>Johanne PAQUIN</t>
  </si>
  <si>
    <t xml:space="preserve"> Nick MAJEAU</t>
  </si>
  <si>
    <t>2568194_2568193,  5560629_2537928</t>
  </si>
  <si>
    <t>VÉRIFIER PRIX VENTE   4 lots totals</t>
  </si>
  <si>
    <t>Claudine Perreault</t>
  </si>
  <si>
    <t>Les Fermes C. Gregoire &amp; Fils Inc.</t>
  </si>
  <si>
    <t xml:space="preserve"> 2538145_2538160</t>
  </si>
  <si>
    <t>St-Esprit</t>
  </si>
  <si>
    <t>0 rte 125</t>
  </si>
  <si>
    <t>FERME PORCITÉ INC (Gaétan CYR)</t>
  </si>
  <si>
    <t>LE VERGER À TI-PAUL INC (Daniel TURMEL et Josiane SIMARD)</t>
  </si>
  <si>
    <t>3 581 572, 3 975 286, 6 443 054</t>
  </si>
  <si>
    <t>rang du Bas-Saint-Olivier
Saint-Elzéar</t>
  </si>
  <si>
    <t>46.401108</t>
  </si>
  <si>
    <t>-71.096703</t>
  </si>
  <si>
    <t>le boisé a un potentiel acericole, servitude de passage</t>
  </si>
  <si>
    <t>Ferme Gully Vert Senc</t>
  </si>
  <si>
    <t>Line Charlebois</t>
  </si>
  <si>
    <t>6 963</t>
  </si>
  <si>
    <t>PROGAB INC Denis MESSIER</t>
  </si>
  <si>
    <t>VILLE DE BOUCHERVILLE</t>
  </si>
  <si>
    <t>9272-1729 QUÉBEC INC André PÉPIN</t>
  </si>
  <si>
    <t>Daniel DUBÉ, Francine HÉBERT</t>
  </si>
  <si>
    <t>Gérard VERMEULEN</t>
  </si>
  <si>
    <t>5 603 177</t>
  </si>
  <si>
    <t>Bedford</t>
  </si>
  <si>
    <t>Route 202, Canton de Bedford</t>
  </si>
  <si>
    <t>-72.955738</t>
  </si>
  <si>
    <t>45.120207</t>
  </si>
  <si>
    <t>WF</t>
  </si>
  <si>
    <t>le boisé a un potentiel acericole</t>
  </si>
  <si>
    <t>FERME M.A.C.K. ENR, Michaël DUQUETTE, Kathleen DUQUETTE, Alex DUQUETTE</t>
  </si>
  <si>
    <t>Léo HAMEL</t>
  </si>
  <si>
    <t>Route 108, Lingwick</t>
  </si>
  <si>
    <t>45.629468</t>
  </si>
  <si>
    <t>-71.289738</t>
  </si>
  <si>
    <t>FERME TOURTERELLE INC</t>
  </si>
  <si>
    <t>FERME BERLUMIL INC.,</t>
  </si>
  <si>
    <t>Rang 5e Ouest, Saint-Lazare-de-Bellechasse</t>
  </si>
  <si>
    <t>46.644597</t>
  </si>
  <si>
    <t>-70.830566</t>
  </si>
  <si>
    <t xml:space="preserve">le lot 6 285 879 a un servitude de passage </t>
  </si>
  <si>
    <t>ENTREPRISE STEDEN INC Stéphane DENEAULT</t>
  </si>
  <si>
    <t>FERME GRAINS D’OR INC Stéphane ROBERT</t>
  </si>
  <si>
    <t>Saint-Philippe</t>
  </si>
  <si>
    <t>Route Edouard VII, Saint-Philippe</t>
  </si>
  <si>
    <t>45.374590</t>
  </si>
  <si>
    <t>-73.471690</t>
  </si>
  <si>
    <t>bail consenti en faveur CULTURE MULTI-GRAINS INC</t>
  </si>
  <si>
    <t>Allyre GAGNON</t>
  </si>
  <si>
    <t>FERME DU FJORD INC Daniel Gobeil</t>
  </si>
  <si>
    <t>Saguenay</t>
  </si>
  <si>
    <t>Boulevard de la Grande Baie Nord, Saguenay (La Baie)</t>
  </si>
  <si>
    <t>48.380907</t>
  </si>
  <si>
    <t>-70.951104</t>
  </si>
  <si>
    <t>Pierre MARCHARD</t>
  </si>
  <si>
    <t>Benoit REGINSTER</t>
  </si>
  <si>
    <t>5 601 580, 4 376 395</t>
  </si>
  <si>
    <t>Notre-Dame-de-Stanbridge</t>
  </si>
  <si>
    <t>Stanbridge Station</t>
  </si>
  <si>
    <t>-73.038889</t>
  </si>
  <si>
    <t>45.148810</t>
  </si>
  <si>
    <t>le lot est divisé en deux par un ruisseau</t>
  </si>
  <si>
    <t>Investissements Marie Curie Ltee / Marie Curie Investments Ltd.</t>
  </si>
  <si>
    <t>Societe En Commandite Claric Marcur</t>
  </si>
  <si>
    <t>14 275 000</t>
  </si>
  <si>
    <t>2970-5530 Quebec Inc.</t>
  </si>
  <si>
    <t>Ferme Wallu Inc.</t>
  </si>
  <si>
    <t xml:space="preserve"> 2538044_2540175_2538045_2538043</t>
  </si>
  <si>
    <t>0 rang Montcalm</t>
  </si>
  <si>
    <t>FERME ABRACIO S.E.N.C. (Daniel ST-JEAN)</t>
  </si>
  <si>
    <t>LA FERME RIVIEREMONTAGNE INC (Odrey LANE BLAIS)</t>
  </si>
  <si>
    <t>Chemin Richelieu</t>
  </si>
  <si>
    <t>Mauvais</t>
  </si>
  <si>
    <t>3 725 573</t>
  </si>
  <si>
    <t>12,70 ha</t>
  </si>
  <si>
    <t>JACQUES CARRIER</t>
  </si>
  <si>
    <t>FRANCIS CINQ-MARS</t>
  </si>
  <si>
    <t>47.200071</t>
  </si>
  <si>
    <t>-70.733767</t>
  </si>
  <si>
    <t>sol organique, terre boisée avec potentiel acericole majoritaire</t>
  </si>
  <si>
    <t>Richard BOURGOUIN</t>
  </si>
  <si>
    <t>AGRI-SIDMA INC (Manon CÔTÉ)</t>
  </si>
  <si>
    <t>5744554, 5744575, 5744576, 5744578</t>
  </si>
  <si>
    <t>Chemin du Marais-Blazon
Pierreville</t>
  </si>
  <si>
    <t>46.103788</t>
  </si>
  <si>
    <t>-72.900149</t>
  </si>
  <si>
    <t xml:space="preserve">la classe de sol est heterogene </t>
  </si>
  <si>
    <t>Monique MORENCY</t>
  </si>
  <si>
    <t>FERME R. LEHOUX S.E.N.C.</t>
  </si>
  <si>
    <t>875-891 Rue Gosford</t>
  </si>
  <si>
    <t>potentiel acéricole en bas des lots 4090738 et 4090737</t>
  </si>
  <si>
    <t>FERME FRANCOIS DUPUIS INC</t>
  </si>
  <si>
    <t>ANTOINE BEAUCHEMIN</t>
  </si>
  <si>
    <t>2 329 617, 2 326 635</t>
  </si>
  <si>
    <t>45.648404</t>
  </si>
  <si>
    <t>-72.620810</t>
  </si>
  <si>
    <t>le lot est divise en deux par une rivière</t>
  </si>
  <si>
    <t>Normand Poirier</t>
  </si>
  <si>
    <t>Sebastien Roy</t>
  </si>
  <si>
    <t>33 000</t>
  </si>
  <si>
    <t>Petit bout de terre cptaq</t>
  </si>
  <si>
    <t>9130-3784 Quebec Inc.</t>
  </si>
  <si>
    <t>Ministre Des Transports</t>
  </si>
  <si>
    <t>18 386</t>
  </si>
  <si>
    <t>Senneville</t>
  </si>
  <si>
    <t>Petit terrain agricole</t>
  </si>
  <si>
    <t>Daniel GAGNON</t>
  </si>
  <si>
    <t>Sylvain DUMONT, Nathalie PAILLE</t>
  </si>
  <si>
    <t>Sainte-Geneviève de Batiscan</t>
  </si>
  <si>
    <t>rang de la Pointe-Trudel
Sainte-Geneviève-de-Batiscan</t>
  </si>
  <si>
    <t>46.549253</t>
  </si>
  <si>
    <t xml:space="preserve">	-72.371077</t>
  </si>
  <si>
    <t>Blé, soya</t>
  </si>
  <si>
    <t>FERME NADEAU &amp; FRÈRES INC.</t>
  </si>
  <si>
    <t>FERME FORVINO INC.</t>
  </si>
  <si>
    <t>4 084 316, 4 300 444</t>
  </si>
  <si>
    <t>Sainte-Hénédine</t>
  </si>
  <si>
    <t>route Sainte-Thérèse</t>
  </si>
  <si>
    <t>mais fourrager, foin</t>
  </si>
  <si>
    <t>Bénéficie d'un droit de passage sur le chemin menant à la route 139</t>
  </si>
  <si>
    <t>YANNICK SIMARD</t>
  </si>
  <si>
    <t>ÉLIE BEAUDRY</t>
  </si>
  <si>
    <t>3 831 657, 6 285 677, 6 285 679, 6 285 681, 3 831 625, 3 831 627</t>
  </si>
  <si>
    <t>Rue de la station, Neuville</t>
  </si>
  <si>
    <t>46.711412</t>
  </si>
  <si>
    <t>-71.596862</t>
  </si>
  <si>
    <t>PTW</t>
  </si>
  <si>
    <t>Pepiniere Cramer Inc.</t>
  </si>
  <si>
    <t>Ferme Jcpg S.E.N.C.</t>
  </si>
  <si>
    <t>2048354, 2048546</t>
  </si>
  <si>
    <t>3 400 000</t>
  </si>
  <si>
    <t>Terre aménagé style vignoble</t>
  </si>
  <si>
    <t>R.M.O.P. L'HEUREUX INC.</t>
  </si>
  <si>
    <t>FERME LAVERDIÈRE &amp; FILS INC.</t>
  </si>
  <si>
    <t>5 853 703</t>
  </si>
  <si>
    <t xml:space="preserve">Non </t>
  </si>
  <si>
    <t>Aucune précision</t>
  </si>
  <si>
    <t xml:space="preserve">servitude de drainage </t>
  </si>
  <si>
    <t>Carmen Courtemanche</t>
  </si>
  <si>
    <t>Stefania Biacchi</t>
  </si>
  <si>
    <t>58 500</t>
  </si>
  <si>
    <t>0 ch du Fleuve</t>
  </si>
  <si>
    <t>Petit bout de terre</t>
  </si>
  <si>
    <t>FERME MARICAN INC.</t>
  </si>
  <si>
    <t>4 084 330</t>
  </si>
  <si>
    <t xml:space="preserve">mais fourrager, foin </t>
  </si>
  <si>
    <t>presence de sol organique</t>
  </si>
  <si>
    <t>Guy LEMELIN</t>
  </si>
  <si>
    <t>47.005562</t>
  </si>
  <si>
    <t>-70.819488</t>
  </si>
  <si>
    <t>Shirley-Ann Brenner</t>
  </si>
  <si>
    <t>Sukhjinder Singh Sanghera</t>
  </si>
  <si>
    <t>0 rte Harwood</t>
  </si>
  <si>
    <t>3-WD</t>
  </si>
  <si>
    <t>Terre proximité devlop. (DATE ET PRIX)</t>
  </si>
  <si>
    <t>Claude DIONNE, Annie THÉRIAULT</t>
  </si>
  <si>
    <t>FERME DES PERLES INC (Martin DIONNE)</t>
  </si>
  <si>
    <t>5 959 138, 6 324 341, 3 655 260</t>
  </si>
  <si>
    <t>Route Octave, Saint-Pascal</t>
  </si>
  <si>
    <t>47.532803</t>
  </si>
  <si>
    <t>-69.809696</t>
  </si>
  <si>
    <t>Walter Cramerstetter</t>
  </si>
  <si>
    <t>1 442 800</t>
  </si>
  <si>
    <t>Ferme Wilcox Inc. (Danien Van Houtte)</t>
  </si>
  <si>
    <t>Frederick-Olivier Delforge</t>
  </si>
  <si>
    <t>4497685, 2045215</t>
  </si>
  <si>
    <t>ch Riviere-Rouge</t>
  </si>
  <si>
    <t>3-T</t>
  </si>
  <si>
    <t>Terre Lanaudoise Inc.</t>
  </si>
  <si>
    <t>Terra Patrimoine Equite Inc.</t>
  </si>
  <si>
    <t>St-Alexis</t>
  </si>
  <si>
    <t>0 rue Principale</t>
  </si>
  <si>
    <t>Paul PHANEUF</t>
  </si>
  <si>
    <t>FERME LAMONTAGNE INC</t>
  </si>
  <si>
    <t>6 517 815 et 4 833 148</t>
  </si>
  <si>
    <t>rang de l'Acadie
aint-Antoine-sur-Richelieu</t>
  </si>
  <si>
    <t>45.766149</t>
  </si>
  <si>
    <t>-73.231333</t>
  </si>
  <si>
    <t>FERME NADEAU &amp; FRÈRES INC.,</t>
  </si>
  <si>
    <t>FERME BAUVREUIL INC.</t>
  </si>
  <si>
    <t>2719900, 2719901, 4497588, 4778694</t>
  </si>
  <si>
    <t>située route Desjardins, à
Scott</t>
  </si>
  <si>
    <t>Clément LABRECQUE</t>
  </si>
  <si>
    <t>FERME YVON GIGUÈRE INC.</t>
  </si>
  <si>
    <t>2 960 395, 3 138 981, 2 960 341, 2 721 361</t>
  </si>
  <si>
    <t>Rang Saint-Etienne Nord</t>
  </si>
  <si>
    <t>416895 (autorisaiton morcellement)</t>
  </si>
  <si>
    <t>Mathieu Chicoine</t>
  </si>
  <si>
    <t>Maryse Brouillard</t>
  </si>
  <si>
    <t>5626955 et 6 448 585</t>
  </si>
  <si>
    <t>Rg du Grand-Chenal</t>
  </si>
  <si>
    <t>25,73 ha</t>
  </si>
  <si>
    <t>3-5Fw et 4-5FW (80%) et 2-5W 3-5FW (20%)</t>
  </si>
  <si>
    <t>0,00</t>
  </si>
  <si>
    <t>8,15</t>
  </si>
  <si>
    <t>Rodrigue Ranger Inc.</t>
  </si>
  <si>
    <t>9378-2985 Quebec Inc. (Marc-André SIMARD)</t>
  </si>
  <si>
    <t>4257748, 4 547 964</t>
  </si>
  <si>
    <t>240 000</t>
  </si>
  <si>
    <t>50 % boisé et 50% agricole, prox devlop</t>
  </si>
  <si>
    <t>3092-7404 Quebec Inc.</t>
  </si>
  <si>
    <t>Ferme Clerinda Enr.</t>
  </si>
  <si>
    <t xml:space="preserve"> 2538783, 2800431_2538141</t>
  </si>
  <si>
    <t>Guy MCCAUGHRY</t>
  </si>
  <si>
    <t>FERME PELCHAT HOLSTEIN INC</t>
  </si>
  <si>
    <t>Lac-Etchemin</t>
  </si>
  <si>
    <t>route 277, Lac-Etchemin</t>
  </si>
  <si>
    <t>46.405925</t>
  </si>
  <si>
    <t>-70.543850</t>
  </si>
  <si>
    <t>mesures Démeter</t>
  </si>
  <si>
    <t>presence de batiments, non drainée</t>
  </si>
  <si>
    <t>Suzanne ABBOTT</t>
  </si>
  <si>
    <t>Ferme du Mûrier inc</t>
  </si>
  <si>
    <t>6525739, 6525740</t>
  </si>
  <si>
    <t>Saint-Edouard-de-Lotbinière</t>
  </si>
  <si>
    <t>Route Principale
Saint-Edouard-de-Lotbinière</t>
  </si>
  <si>
    <t>46.557243</t>
  </si>
  <si>
    <t>-71.839545</t>
  </si>
  <si>
    <t>1 hangar (dôme)</t>
  </si>
  <si>
    <t>Paul RODOLPHE LAVOIE</t>
  </si>
  <si>
    <t>FIDUCIE AGRICOLE UPA</t>
  </si>
  <si>
    <t>4 175 791, 4 175 441</t>
  </si>
  <si>
    <t>rang du Rapide Nord
Sainte-Anne-de-la-Pérade</t>
  </si>
  <si>
    <t>46.602124</t>
  </si>
  <si>
    <t>-72.214458</t>
  </si>
  <si>
    <t>G</t>
  </si>
  <si>
    <t>Servitude de passage. Grange utilisée par le vendeur (entente publiée)</t>
  </si>
  <si>
    <t>FERME LAROSELAIT S.E.N.C.</t>
  </si>
  <si>
    <t>Benoit Larose</t>
  </si>
  <si>
    <t>5 216 615, 5 216 695</t>
  </si>
  <si>
    <t>Verchères</t>
  </si>
  <si>
    <t>Rang des Terres-Noires
Verchères</t>
  </si>
  <si>
    <t>45.774030</t>
  </si>
  <si>
    <t>-73.313563</t>
  </si>
  <si>
    <t>312771 (morcellement de ferme)</t>
  </si>
  <si>
    <t>Albert CHAGNON</t>
  </si>
  <si>
    <t>FERME FRANÇOIS CHAGNON INC</t>
  </si>
  <si>
    <t>5310197, 6 459 817, 4 832 900</t>
  </si>
  <si>
    <t>Verchères et Calixa-Lavallée</t>
  </si>
  <si>
    <t>45.747722</t>
  </si>
  <si>
    <t>-73.295156</t>
  </si>
  <si>
    <t>Jean-Yves PERREAULT</t>
  </si>
  <si>
    <t>CULTURES H. DOLBEC INC.</t>
  </si>
  <si>
    <t>4175712, 4175803</t>
  </si>
  <si>
    <t>46.597038</t>
  </si>
  <si>
    <t xml:space="preserve">	-72.214426</t>
  </si>
  <si>
    <t>3,5 ha potentiel acéricole</t>
  </si>
  <si>
    <t>2756-2396 Quebec Inc.</t>
  </si>
  <si>
    <t>Maraicher Brisson Inc.</t>
  </si>
  <si>
    <t xml:space="preserve"> 2538442,  2538584, 2539419, 2538441,  2538588, 2538583,  2538559, 2538558, 2538596, 2538586</t>
  </si>
  <si>
    <t>0 rang Petite-Ligne</t>
  </si>
  <si>
    <t>Bernard Jr. Caron</t>
  </si>
  <si>
    <t>9307-4714 Quebec Inc.</t>
  </si>
  <si>
    <t>CPTAQ développé</t>
  </si>
  <si>
    <t>HEIDI ROHLFS</t>
  </si>
  <si>
    <t>DANIEL NOISEUX</t>
  </si>
  <si>
    <t>3 840 882, 4 088 600, 3 843 301, 3 841 583, 4 088 599, 4 064 419</t>
  </si>
  <si>
    <t>Canton de Roxton</t>
  </si>
  <si>
    <t>Petit-11e Rang, Canton de Roxton</t>
  </si>
  <si>
    <t>45.592890</t>
  </si>
  <si>
    <t>-72.559256</t>
  </si>
  <si>
    <t>Lot enclavé, servitude de passage</t>
  </si>
  <si>
    <t>FERME LANIGAN S.E.N.C. (Charles DROUIN)</t>
  </si>
  <si>
    <t>FERME FAMILLE ST-HILAIRE S.E.N.C. (Audrée St-Hilaire, Lisette Boucher et Alain St-Hilaire)</t>
  </si>
  <si>
    <t>6 530 884, 6 338 251</t>
  </si>
  <si>
    <t>46.360507</t>
  </si>
  <si>
    <t>-70.608659</t>
  </si>
  <si>
    <t>Foin</t>
  </si>
  <si>
    <t>Parciellement drainée</t>
  </si>
  <si>
    <t>9390-0181 Quebec Inc.</t>
  </si>
  <si>
    <t>3 500</t>
  </si>
  <si>
    <t>0 boul Ste-Marie</t>
  </si>
  <si>
    <t>Magella DESCHÊNES</t>
  </si>
  <si>
    <t>LES ÉLEVAGES DESPRÉS INC</t>
  </si>
  <si>
    <t>3 655 399,3 655 400</t>
  </si>
  <si>
    <t>Route 230 Est, Saint-Pascal</t>
  </si>
  <si>
    <t>47.548154</t>
  </si>
  <si>
    <t>-69.778516</t>
  </si>
  <si>
    <t>Deux servitudes ( 1/3 de la terres est en classe 3 et 4 avec  facteur limittent T)</t>
  </si>
  <si>
    <t>ANDRÉ NORMAND INC</t>
  </si>
  <si>
    <t>FERME DES PERLES INC</t>
  </si>
  <si>
    <t>3 655 154, 5 923 469, 5 923 466, 3 655 203, 3 656 004, 3 655 141, 3 655 155, 3 656 007, 3 655 508, 3 656 010,3 655 142</t>
  </si>
  <si>
    <t>Rue Hector, Saint-Pascal</t>
  </si>
  <si>
    <t>47.516161</t>
  </si>
  <si>
    <t>-69.828105</t>
  </si>
  <si>
    <t>Servitude d'utilité publique</t>
  </si>
  <si>
    <t>3092-7404 Quebec Inc. (Germain LANOUE)</t>
  </si>
  <si>
    <t>Ferme Oeurifer Inc. (Sébastien RICARD)</t>
  </si>
  <si>
    <t xml:space="preserve"> 2538520, 2538530</t>
  </si>
  <si>
    <t>Lanaudière</t>
  </si>
  <si>
    <t>rang Petite-Ligne</t>
  </si>
  <si>
    <t>3-4P 5-4P 2-2X / 3- W</t>
  </si>
  <si>
    <t>Drainage bon à imparfait avec un sol sableux et organique</t>
  </si>
  <si>
    <t>LISE LESSARD,</t>
  </si>
  <si>
    <t>FERME LUGA SENC,</t>
  </si>
  <si>
    <t>1 963 393, 2 332 185, 4 851 617, 6 488 990, 1 963 394</t>
  </si>
  <si>
    <t>Rue des Merisiers, Lévis</t>
  </si>
  <si>
    <t>46.707139</t>
  </si>
  <si>
    <t> -71.350487</t>
  </si>
  <si>
    <t>Aucuen servitude</t>
  </si>
  <si>
    <t>Normand BEAUCHEMIN</t>
  </si>
  <si>
    <t>LA FERME SABOT DE TERRE INC (Francis CÔTÉ)</t>
  </si>
  <si>
    <t>Varennes</t>
  </si>
  <si>
    <t>Chemin des sucreries
Varennes</t>
  </si>
  <si>
    <t>45.638272</t>
  </si>
  <si>
    <t>-73.363067</t>
  </si>
  <si>
    <t>FERME L'ETOILE &amp; FILS ENR</t>
  </si>
  <si>
    <t>LES ELEVAGES DURHAM SENC</t>
  </si>
  <si>
    <t>Route 116, Sainte-Christine</t>
  </si>
  <si>
    <t>45.636172</t>
  </si>
  <si>
    <t>-72.415204</t>
  </si>
  <si>
    <t>MFWP</t>
  </si>
  <si>
    <t>FORFAITS MARCO INC.</t>
  </si>
  <si>
    <t>Thomas MERKL</t>
  </si>
  <si>
    <t xml:space="preserve">5 878 230, 5 878 227, 5 992 408, 3 949 781, 6 187 169, </t>
  </si>
  <si>
    <t>Saint-Edouard-de-Lotbinière, Notre-Dame-du-Sacré-Cœur-d'Issoudun, Laurier-Station</t>
  </si>
  <si>
    <t>46.546365</t>
  </si>
  <si>
    <t>-71.656917</t>
  </si>
  <si>
    <t>Maïs / Soya / Foin</t>
  </si>
  <si>
    <t>2 bâtiments agricoles + fosse lisier</t>
  </si>
  <si>
    <t>Christian Dalpe</t>
  </si>
  <si>
    <t>9470-4772 Quebec Inc.</t>
  </si>
  <si>
    <t>Gaston BOURASSA</t>
  </si>
  <si>
    <t>FERME NIC ET PIC INC (Michel LEMIRE, Line LECLERC et Nicolas LEMIRE,)</t>
  </si>
  <si>
    <t>5884078, 5 885 346</t>
  </si>
  <si>
    <t>46.068754</t>
  </si>
  <si>
    <t>-72.644474</t>
  </si>
  <si>
    <t xml:space="preserve">   </t>
  </si>
  <si>
    <t>FERME LAMITRICK INC.</t>
  </si>
  <si>
    <t>GROUPE PELLETIER GASPÉSIE INC.</t>
  </si>
  <si>
    <t>5 933 598, 5 934 921, 6 245 442,5 935 045, 5 934 630</t>
  </si>
  <si>
    <t>Baie-des-sables, métis-sur-mer</t>
  </si>
  <si>
    <t>404, 4ième Rang Ouest, 4ième Rang Est</t>
  </si>
  <si>
    <t>Jean-Léon POUPART</t>
  </si>
  <si>
    <t>FERME L.M. BOURDEAU INC Robert BOURDEAU</t>
  </si>
  <si>
    <t>4 088 364, 2 868 821</t>
  </si>
  <si>
    <t>rang Saint-Régis Nord, Saint-Constant</t>
  </si>
  <si>
    <t>45.362726</t>
  </si>
  <si>
    <t>-73.616054</t>
  </si>
  <si>
    <t>servitude de non-accès à l’autoroute 30</t>
  </si>
  <si>
    <t>Berchmans DANCAUSE</t>
  </si>
  <si>
    <t>FERME DU VACHER S.E.N.C</t>
  </si>
  <si>
    <t>3 590 880, 3 590 881</t>
  </si>
  <si>
    <t>Chemin du Petit Village
Sainte-Croix</t>
  </si>
  <si>
    <t>46.611471</t>
  </si>
  <si>
    <t xml:space="preserve">-71.795822, </t>
  </si>
  <si>
    <t>Servitude de non construction, servitude d,accès à la rue Principale</t>
  </si>
  <si>
    <t>Dominique NÉRON</t>
  </si>
  <si>
    <t>FERME EDDY NÉRON &amp; FILS INC (Bernard NÉRON, Cyrille
NÉRON)</t>
  </si>
  <si>
    <t>6 053 596, 6 054 437</t>
  </si>
  <si>
    <t>Rang Saint-Joseph
La Malbaie</t>
  </si>
  <si>
    <t>47.655274</t>
  </si>
  <si>
    <t>-70.261607</t>
  </si>
  <si>
    <t>216717 remisage matériaux excavation (temporaire)</t>
  </si>
  <si>
    <t>Marcel Martel</t>
  </si>
  <si>
    <t>Ferme J. Latendresse Inc.</t>
  </si>
  <si>
    <t>2800431_2538141</t>
  </si>
  <si>
    <t>Gaétan DEMERS</t>
  </si>
  <si>
    <t>LES PORCS ACE INC.</t>
  </si>
  <si>
    <t>5 834 201</t>
  </si>
  <si>
    <t>FERME ANDI S.E.N.C.</t>
  </si>
  <si>
    <t>FERME AUDIBEL S.E.N.C</t>
  </si>
  <si>
    <t>6 357 680, 3 590 509</t>
  </si>
  <si>
    <t>Rang du Bois-Franc Ouest
Notre-Dame-du-Sacré-Cœur-d'Issoudun</t>
  </si>
  <si>
    <t>Foin / Soya</t>
  </si>
  <si>
    <t>Grande / Cabane à sucre / Remise</t>
  </si>
  <si>
    <t>FERME D.R. INC.</t>
  </si>
  <si>
    <t>FERME STEEV LAROSE INC.</t>
  </si>
  <si>
    <t>152, rang de la Grande-Ligne</t>
  </si>
  <si>
    <t>4-5</t>
  </si>
  <si>
    <t>2 lots, forme optimale</t>
  </si>
  <si>
    <t>GEORGES-ÉMILE PROVOST</t>
  </si>
  <si>
    <t>FERME LÉONARD ET ALAIN PROVOST ENR</t>
  </si>
  <si>
    <t>Rue Macdonald, Acton Vale</t>
  </si>
  <si>
    <t>45.606546</t>
  </si>
  <si>
    <t>-72.564684</t>
  </si>
  <si>
    <t>Nombreux fossés. Hangar</t>
  </si>
  <si>
    <t>Sona Saroukhan</t>
  </si>
  <si>
    <t>Sylva Nahas</t>
  </si>
  <si>
    <t>100 000</t>
  </si>
  <si>
    <t>Bois (Non CPTAQ)</t>
  </si>
  <si>
    <t>Delforge Et Freres Inc. ( Frédérick-Olivier DELFORGE)</t>
  </si>
  <si>
    <t>Qualite Delbi Inc. (Josée Drolet)</t>
  </si>
  <si>
    <t>0 ch St-Emmanuel</t>
  </si>
  <si>
    <t>3WF</t>
  </si>
  <si>
    <t>FRANCIS VÉGIARD INC.</t>
  </si>
  <si>
    <t>TRANSPORT J.P.D. CHOQUETTE INC.</t>
  </si>
  <si>
    <t>Béthanie</t>
  </si>
  <si>
    <t>Rang 10 Nord</t>
  </si>
  <si>
    <t>Plat</t>
  </si>
  <si>
    <t>1 BÂTIMENT AGRICOLE SUR LA TERRE</t>
  </si>
  <si>
    <t>FERME LANLOU ENR</t>
  </si>
  <si>
    <t>FERME SEIGNEURIALE GAGNÉ INC</t>
  </si>
  <si>
    <t>3 250 293, 3 250 294</t>
  </si>
  <si>
    <t>montmagny</t>
  </si>
  <si>
    <t>cap-saint-ignace</t>
  </si>
  <si>
    <t>bonne forme de parcelles. Bordure de rivière, bordure d'autoroute</t>
  </si>
  <si>
    <t>FERME AUSTRAL INC</t>
  </si>
  <si>
    <t>FERME BMJ BOUTIN INC.</t>
  </si>
  <si>
    <t>3 580 859, 3 580 860, 3 580 861, 3 580 858, 3 375 024, 3 375 509</t>
  </si>
  <si>
    <t>saint-anselme</t>
  </si>
  <si>
    <t>550, rang Saint-Philippe</t>
  </si>
  <si>
    <t>grande superficie de gravière milieu des terres, boisé en relief</t>
  </si>
  <si>
    <t>YVES ST-AMANT, LUC ST-AMANT</t>
  </si>
  <si>
    <t>FERME ERIC LALIBERTE ET FILS SENC.</t>
  </si>
  <si>
    <t>Route 139 Nord, Acton Vale</t>
  </si>
  <si>
    <t>45.671212</t>
  </si>
  <si>
    <t>-72.562607</t>
  </si>
  <si>
    <t xml:space="preserve">3 grange </t>
  </si>
  <si>
    <t>2 hangars, Autorisation CPTAQ aliénation (1986)</t>
  </si>
  <si>
    <t>Succession De Rollande Desloges (Feu Rollande DESLOGES)</t>
  </si>
  <si>
    <t>Ferme Eric Laliberte Et Fils S.E.N.C. (Éric LALIBERTÉ)</t>
  </si>
  <si>
    <t>6 491 000</t>
  </si>
  <si>
    <t>Acton-Vale</t>
  </si>
  <si>
    <t>0 rte 139</t>
  </si>
  <si>
    <t>FERME THÉRIAN ENR (Paul THÉRIAULT)</t>
  </si>
  <si>
    <t>FERME JACQUES OUELLET INC</t>
  </si>
  <si>
    <t>6e Rang 
St-Hélène-de-Kamouraska</t>
  </si>
  <si>
    <t>47.562334</t>
  </si>
  <si>
    <t>-69.666089</t>
  </si>
  <si>
    <t>PFMW</t>
  </si>
  <si>
    <t>Petit hangar présent. Aucune décision CPTAQ</t>
  </si>
  <si>
    <t>Fernand, Brigitte, Fabienne, André, Patrick, Ginette et Céline Mathieu</t>
  </si>
  <si>
    <t>FERME D.M.S. INC (Stéphane MARC-AURÈLE)</t>
  </si>
  <si>
    <t>Saint-Denis-de-Richelieu</t>
  </si>
  <si>
    <t>5e rang
Saint-Denis-de-Richelieu</t>
  </si>
  <si>
    <t>45.726196</t>
  </si>
  <si>
    <t>-73.084067</t>
  </si>
  <si>
    <t>NICOLE BÉRARD, CLAIRE BÉRARD</t>
  </si>
  <si>
    <t>9034-8707 QUÉBEC INC</t>
  </si>
  <si>
    <t> 4 746 150 </t>
  </si>
  <si>
    <t>Rue Lafranboise, Saint-Nazaire-d'Acton</t>
  </si>
  <si>
    <t>45.740689</t>
  </si>
  <si>
    <t>-72.615144</t>
  </si>
  <si>
    <t>2-3</t>
  </si>
  <si>
    <t>Présence aulnaie</t>
  </si>
  <si>
    <t>4 937 820,4 938 251</t>
  </si>
  <si>
    <t>Langis EMOND</t>
  </si>
  <si>
    <t>FERME DE L'ANSE À GILLES INC</t>
  </si>
  <si>
    <t>3 251 077, 3 250 179, 3 249 996</t>
  </si>
  <si>
    <t>3 &amp; 4</t>
  </si>
  <si>
    <t>petit bâtiment sur les terres, rivière qui passe par la terre</t>
  </si>
  <si>
    <t>Réjean MAILLETTE, Raymonde DIONNE</t>
  </si>
  <si>
    <t>Marie-Ève BERTHIAUME, Guillaume MAILLETTE</t>
  </si>
  <si>
    <t>La Visitation-de-Yamaska</t>
  </si>
  <si>
    <t>rang Châtillon
La Visitation-de-Yamaska</t>
  </si>
  <si>
    <t>46.093227</t>
  </si>
  <si>
    <t>-72.555857</t>
  </si>
  <si>
    <t>CULTURES EXCEL INC.</t>
  </si>
  <si>
    <t>9483-3258 QUEBEC INC.</t>
  </si>
  <si>
    <t>4175390, 4175393, 4175399, 4306133, 5 990 156</t>
  </si>
  <si>
    <t>Rue Gamelin</t>
  </si>
  <si>
    <t>46.56164</t>
  </si>
  <si>
    <t>-72.198484</t>
  </si>
  <si>
    <t>Blé, maïs, soya</t>
  </si>
  <si>
    <t>Ferme JETIZACK INC.</t>
  </si>
  <si>
    <t>9483-3209 QUEBEC INC.</t>
  </si>
  <si>
    <t>4175389, 4175392, 4175395, 4175398, 4175403, 4175577, 5990157, 5990158, 5990159</t>
  </si>
  <si>
    <t>46.559637</t>
  </si>
  <si>
    <t>-72.201863</t>
  </si>
  <si>
    <t xml:space="preserve">27 903 955 </t>
  </si>
  <si>
    <t>2 815 436</t>
  </si>
  <si>
    <t>Robert MALO</t>
  </si>
  <si>
    <t>FERME VIAGRICO INC (Bruno VIENS)</t>
  </si>
  <si>
    <t>chemin du Rivage
aint-Antoine-sur-Richelieu</t>
  </si>
  <si>
    <t>45.740795</t>
  </si>
  <si>
    <t>-73.207618</t>
  </si>
  <si>
    <t>Vieille grange et cabane à sucre</t>
  </si>
  <si>
    <t>6563211, 4763983</t>
  </si>
  <si>
    <t>FERME DEMERS &amp; ASS. INC (Mathieu DEMERS)</t>
  </si>
  <si>
    <t>FERME DENICHEL S.E.N.C. (Michel GUIMOND, Denise LEMAY, Maxime GUIMOND et Victor GUIMOND)</t>
  </si>
  <si>
    <t>5878141, 5 878 146</t>
  </si>
  <si>
    <t>route Marie-Victorin
Lotbinière</t>
  </si>
  <si>
    <t>46.576745</t>
  </si>
  <si>
    <t>-71.986302</t>
  </si>
  <si>
    <t>OMER GINGRAS &amp; FILS INC (Pierre GINGRAS)</t>
  </si>
  <si>
    <t>4 TERRES INC (Denis
LAFRENIÈRE et Jérôme DENIS)</t>
  </si>
  <si>
    <t>chemin de la Butte
Saint-Augustin-de-Desmaures</t>
  </si>
  <si>
    <t>46.745785</t>
  </si>
  <si>
    <t>-71.421006</t>
  </si>
  <si>
    <t>Famille Roy</t>
  </si>
  <si>
    <t>FERME MORINNAL (2005) INC.</t>
  </si>
  <si>
    <t>6 557 388, 3 375 324, 3 581 120 et 3 375 330</t>
  </si>
  <si>
    <t>Rang Saint-Olivier</t>
  </si>
  <si>
    <t>2,9</t>
  </si>
  <si>
    <t>Décision 323118 (morcellement)</t>
  </si>
  <si>
    <t>Rieder Manfred</t>
  </si>
  <si>
    <t>Blouin Jacques</t>
  </si>
  <si>
    <t>4 720 850</t>
  </si>
  <si>
    <t>Val-D'Or</t>
  </si>
  <si>
    <t>ch Leblanc</t>
  </si>
  <si>
    <t>-77.819198</t>
  </si>
  <si>
    <t>D</t>
  </si>
  <si>
    <t>Grande superficie en millieu humide dont un étang et un ruisseau</t>
  </si>
  <si>
    <t>Louis MARCHAND</t>
  </si>
  <si>
    <t>9423-2923 QUEBEC INC.</t>
  </si>
  <si>
    <t>6549728, 4505378, 4503837, 4503890, 6379841, 4503518</t>
  </si>
  <si>
    <t>Rue Principale</t>
  </si>
  <si>
    <t>46.450882</t>
  </si>
  <si>
    <t>-72.278822</t>
  </si>
  <si>
    <t>ALAIN DIONNE</t>
  </si>
  <si>
    <t>PRIVA INC.</t>
  </si>
  <si>
    <t>6 517 073, 3 814 350, 3 815 257</t>
  </si>
  <si>
    <t>Avenue Royale, Saint-Joachim</t>
  </si>
  <si>
    <t>47.050094</t>
  </si>
  <si>
    <t>-70.867134</t>
  </si>
  <si>
    <t>XW</t>
  </si>
  <si>
    <t>Mario PERRON, Sonia PERRON</t>
  </si>
  <si>
    <t>FERME RM PERRON &amp; FILS S.E.N.C. Dominic PERRON, Gaétan PERRON, Éric PERRON et LES
ENTREPRISES E.G.D. PERRON INC</t>
  </si>
  <si>
    <t>boulevard Saint-Jean-
Baptiste, Saguenay (Chicoutimi)</t>
  </si>
  <si>
    <t>48.379566</t>
  </si>
  <si>
    <t>-70.965006</t>
  </si>
  <si>
    <t>3 614 060</t>
  </si>
  <si>
    <t>Jessica NIQUET, Josiane NIQUET</t>
  </si>
  <si>
    <t>9492-9551 QUÉBEC INC. (François GAMELIN)</t>
  </si>
  <si>
    <t>Rang Saint-Louis
Pierreville</t>
  </si>
  <si>
    <t>46.108117</t>
  </si>
  <si>
    <t>-72.833740</t>
  </si>
  <si>
    <t>FERME. SEROL ENR</t>
  </si>
  <si>
    <t>FERME DU RANG CLEARY SENC</t>
  </si>
  <si>
    <t>3 841 653, 3 841 657</t>
  </si>
  <si>
    <t>Roxton</t>
  </si>
  <si>
    <t>Rang 8e, Roxton</t>
  </si>
  <si>
    <t>45.557287</t>
  </si>
  <si>
    <t>-72.608375</t>
  </si>
  <si>
    <t>Monsieur Sébastien RICHARD</t>
  </si>
  <si>
    <t>FERME R.L. RHEAULT INC</t>
  </si>
  <si>
    <t>6 561 021</t>
  </si>
  <si>
    <t>arthabaska</t>
  </si>
  <si>
    <t>Saint-albert</t>
  </si>
  <si>
    <t>Belle terre, bonne fomre de parcelles</t>
  </si>
  <si>
    <t>FERME BIJACQ &amp; FILS INC</t>
  </si>
  <si>
    <t>SMLMJL S.E.N.C</t>
  </si>
  <si>
    <t>8e Rang Ouest, Saint-Odilon-de-Cranbourne</t>
  </si>
  <si>
    <t>46.311622</t>
  </si>
  <si>
    <t>-70.693461</t>
  </si>
  <si>
    <t>PWT</t>
  </si>
  <si>
    <t>Terre non uniforme, non drainée</t>
  </si>
  <si>
    <t>Les Fermes Famille Morgan Inc.</t>
  </si>
  <si>
    <t>Peter Dunster</t>
  </si>
  <si>
    <t>6481278 (Nv lot :6 481 279)</t>
  </si>
  <si>
    <t>30 000</t>
  </si>
  <si>
    <t>Ferme Nault Inc. (Sylvain NAULT)</t>
  </si>
  <si>
    <t>Ferme C.D.M. Inc. (Céline LEBLOND et Mathieu Messier)</t>
  </si>
  <si>
    <t>3 218 785</t>
  </si>
  <si>
    <t>St-Marcel-De-Richelieu</t>
  </si>
  <si>
    <t>rang de l' Eglise S</t>
  </si>
  <si>
    <t>21,37 ha</t>
  </si>
  <si>
    <t>Mais-grain</t>
  </si>
  <si>
    <t>3- FW</t>
  </si>
  <si>
    <t>Gaétan GAGNON</t>
  </si>
  <si>
    <t>FERME C. BERTHIAUME ET FILS INC (Claude BERTHIAUME)</t>
  </si>
  <si>
    <t>4 314 914, 4 314 915, 6 528 635</t>
  </si>
  <si>
    <t>Saint-Jean-sur-Richelieu</t>
  </si>
  <si>
    <t>Chemin du Petit-Bernier, Saint-Jean-sur-Richelieu</t>
  </si>
  <si>
    <t>-73.315627</t>
  </si>
  <si>
    <t>45.282764</t>
  </si>
  <si>
    <t>lot de derrière drainnèe</t>
  </si>
  <si>
    <t>GROUPE VAN VELZEN INC (Paul VAN
VELZEN,)</t>
  </si>
  <si>
    <t>LEMAGE INC (Marc-André CHAPUT)</t>
  </si>
  <si>
    <t xml:space="preserve">1 912 394, 1 912 965, 2 402 378, 2 402 379, 2 402 380, </t>
  </si>
  <si>
    <t>Autoroute 30</t>
  </si>
  <si>
    <t>27 978 216</t>
  </si>
  <si>
    <t>FERMES DINELLE &amp; FILS LTÉE Réal DINELLE</t>
  </si>
  <si>
    <t>LES JARDINS MARTIN RIENDEAU INC Martin
RIENDEAU</t>
  </si>
  <si>
    <t>6 556 119, 6 556 120</t>
  </si>
  <si>
    <t>Les Jardins de Napierville</t>
  </si>
  <si>
    <t>Saint-Rémi</t>
  </si>
  <si>
    <t>rang Notre-Dame, Saint-Rémi</t>
  </si>
  <si>
    <t>-73.652481</t>
  </si>
  <si>
    <t>9345-1136 QUÉBEC INC.,</t>
  </si>
  <si>
    <t>FERME CARON &amp; FILS I</t>
  </si>
  <si>
    <t>4 480 160, 4 480 168, 6 558 419</t>
  </si>
  <si>
    <t>sainte-louise</t>
  </si>
  <si>
    <t>petite terre, bonne parcelles</t>
  </si>
  <si>
    <t>GERARD BERTHIAUME &amp; FILS INC.</t>
  </si>
  <si>
    <t>FERME PORCITÉ INC.</t>
  </si>
  <si>
    <t>6314030, 3582694</t>
  </si>
  <si>
    <t>Rue des Érables</t>
  </si>
  <si>
    <t xml:space="preserve">Foin </t>
  </si>
  <si>
    <t>FERME JENNESSY INC.</t>
  </si>
  <si>
    <t>LES ENTREPRISES AGRICOLES COUTURE INC.</t>
  </si>
  <si>
    <t>5 098 762, 5 098 764, 5 099 419, 5 763 862</t>
  </si>
  <si>
    <t>Padoue</t>
  </si>
  <si>
    <t>chemin Kempt Nord</t>
  </si>
  <si>
    <t>-68.018922</t>
  </si>
  <si>
    <t>LES GESTIONS RICHARD MICHALUK INC.,</t>
  </si>
  <si>
    <t>9390-1569 QUÉBEC INC.</t>
  </si>
  <si>
    <t>5 091 681</t>
  </si>
  <si>
    <t>f</t>
  </si>
  <si>
    <t>baâtiments sur le lots, potentiel acéricole dans la partie boisée</t>
  </si>
  <si>
    <t>4 764 567, 6 517 774</t>
  </si>
  <si>
    <t>chemin Massé, Saint-Eusèbe</t>
  </si>
  <si>
    <t>47.577640</t>
  </si>
  <si>
    <t>-68.994621</t>
  </si>
  <si>
    <t>p</t>
  </si>
  <si>
    <t>2 hangars état moyen</t>
  </si>
  <si>
    <t>Inclusions: équipements et machinerie + troupeau estimé à 97 000 $</t>
  </si>
  <si>
    <t>FERME BERNOVAIN INC (Sylvain BERGERON)</t>
  </si>
  <si>
    <t>CONSERVATION DE LA NATURE - QUÉBEC (Catherine LEFEBVRE)</t>
  </si>
  <si>
    <t>46.161745</t>
  </si>
  <si>
    <t>-72.698451</t>
  </si>
  <si>
    <t>MICHEL SCARDERA</t>
  </si>
  <si>
    <t>FERME LÉZAO INC.</t>
  </si>
  <si>
    <t>Rang Brodeur, Saint-Nazaire-d'Acton</t>
  </si>
  <si>
    <t>45.752880</t>
  </si>
  <si>
    <t>-72.681892</t>
  </si>
  <si>
    <t>O</t>
  </si>
  <si>
    <t>Jean-Pierre LALIBERTÉ</t>
  </si>
  <si>
    <t>FERME MARIERRE INC (Manuel LEMAY)</t>
  </si>
  <si>
    <t>46.606532</t>
  </si>
  <si>
    <t>-71.940542</t>
  </si>
  <si>
    <t>FERME DUVERGER S.E.N.C., Alain GAGNÉ, Marie-Ève GODBOUT</t>
  </si>
  <si>
    <t>LES PRODUITS ADS INC (Steven Cyr)</t>
  </si>
  <si>
    <t>3 581 488, 2 719 527</t>
  </si>
  <si>
    <t>rang du Bas-Saint-Olivier
Saint-Bernard</t>
  </si>
  <si>
    <t>46.440205</t>
  </si>
  <si>
    <t>-71.124979</t>
  </si>
  <si>
    <t>Johanne BERTRAND</t>
  </si>
  <si>
    <t>FERME MAQUILLE INC (Nicolas DUJARDIN, Marc DUJARDIN,  et Martine MUYSSEN)</t>
  </si>
  <si>
    <t>rang St-Michel
Saint-Elphège</t>
  </si>
  <si>
    <t>46.056303</t>
  </si>
  <si>
    <t>-72.678431</t>
  </si>
  <si>
    <t>Michel CORRIVEAU</t>
  </si>
  <si>
    <t>FERME MACO SENC</t>
  </si>
  <si>
    <t>3 260 062, 3 260 066, 6 553 820</t>
  </si>
  <si>
    <t>Chemin de l'Anse
Saint-Vallier</t>
  </si>
  <si>
    <t>46.879158</t>
  </si>
  <si>
    <t>-70.833671</t>
  </si>
  <si>
    <t>FERME NJN INC.</t>
  </si>
  <si>
    <t>FERME P.H. PAQUET ET FILS INC.</t>
  </si>
  <si>
    <t xml:space="preserve">Pont-Rouge </t>
  </si>
  <si>
    <t>rang du Brûlé</t>
  </si>
  <si>
    <t>soya</t>
  </si>
  <si>
    <t>Partie inondable. Nouveaux lots: 6 641 065, 6 641 066</t>
  </si>
  <si>
    <t>28 014 798</t>
  </si>
  <si>
    <t>Janine LAZURE</t>
  </si>
  <si>
    <t>GESTION RÉAL PINSONNEAULT ET FILS LTÉE</t>
  </si>
  <si>
    <t>6 547 888</t>
  </si>
  <si>
    <t xml:space="preserve"> St-Cyprien-de-Napierville</t>
  </si>
  <si>
    <t>Rang des Patriotes Nord, St-Cyprien-de-Napierville</t>
  </si>
  <si>
    <t>MARIELLE JEAN</t>
  </si>
  <si>
    <t>FERME ROMI</t>
  </si>
  <si>
    <t>3 872 321,3 872 704</t>
  </si>
  <si>
    <t>saint-jean-port-joli</t>
  </si>
  <si>
    <t>déclivité et superficie de rivière coupant la terre.</t>
  </si>
  <si>
    <t xml:space="preserve">9354-2926 QUEBEC INC </t>
  </si>
  <si>
    <t>FERME RENELY</t>
  </si>
  <si>
    <t>Sainte-Monique</t>
  </si>
  <si>
    <t>Rang le Petit-Saint-Esprit, Sainte-Monique</t>
  </si>
  <si>
    <t>46.172744</t>
  </si>
  <si>
    <t>-72.530048</t>
  </si>
  <si>
    <t>Gilbert Gauthier</t>
  </si>
  <si>
    <t>Fermes Robert Stephenson Inc. (Robert STEPHENSON)</t>
  </si>
  <si>
    <t>4501896, 3499481</t>
  </si>
  <si>
    <t>0 rte 201</t>
  </si>
  <si>
    <t>2W et 4WF</t>
  </si>
  <si>
    <t>Très mauvais</t>
  </si>
  <si>
    <t>Alexandre Bélanger</t>
  </si>
  <si>
    <t>rue des Peupliers
Berthier-sur-Mer</t>
  </si>
  <si>
    <t>46.936584</t>
  </si>
  <si>
    <t>-70.726669</t>
  </si>
  <si>
    <t>429734 (autorisation morcellement)</t>
  </si>
  <si>
    <t>Raynald Bissonnette</t>
  </si>
  <si>
    <t>Les Entreprises Leandre Viau Inc. (Léandre Viau)</t>
  </si>
  <si>
    <t>2048539, 6558994</t>
  </si>
  <si>
    <t>7-T</t>
  </si>
  <si>
    <t>Petite terre, prox. Devl / Pauvre qualité de sol. Pilone électrique sur la terre.</t>
  </si>
  <si>
    <t>BERGERIE SAUTE-MOUTON S.E.N.C. (Karine BÉLANGER, Éric LACHANCE)</t>
  </si>
  <si>
    <t>GESTION WISA INC (Louis-Philippe CÔTÉ)</t>
  </si>
  <si>
    <t>6 186 798, 6 186 827</t>
  </si>
  <si>
    <t>Sainte-Famille-de-l'Île-d'Orléans</t>
  </si>
  <si>
    <t>chemin royal
Sainte-Famille-de-l'Île-d'Orléans</t>
  </si>
  <si>
    <t>46.958582</t>
  </si>
  <si>
    <t>-70.967528</t>
  </si>
  <si>
    <t>Traversé par ligne Hydro-Québec</t>
  </si>
  <si>
    <t>Éric JOBIN</t>
  </si>
  <si>
    <t>5 020 958, 6 067 383</t>
  </si>
  <si>
    <t>Saint-Thuribe</t>
  </si>
  <si>
    <t>Rang Saint-Joseph
Saint-Thuribe</t>
  </si>
  <si>
    <t>46.755462</t>
  </si>
  <si>
    <t>-72.205343</t>
  </si>
  <si>
    <t>Nombreux fossés de drainage</t>
  </si>
  <si>
    <t>André et Manon LOISELLE</t>
  </si>
  <si>
    <t>FERME P. CÉCYRE 2007 INC</t>
  </si>
  <si>
    <t>6570 006, 6 060 747, 3 861 867</t>
  </si>
  <si>
    <t>Beauharnois-Salaberry</t>
  </si>
  <si>
    <t>Sainte-Martine</t>
  </si>
  <si>
    <t>Rang Saint-Georges, Sainte-Martine</t>
  </si>
  <si>
    <t>45.256707</t>
  </si>
  <si>
    <t>-73.821028</t>
  </si>
  <si>
    <t>2 lots</t>
  </si>
  <si>
    <t>28 070 023</t>
  </si>
  <si>
    <t>Knut PELZER</t>
  </si>
  <si>
    <t>GESTION BJORR INC</t>
  </si>
  <si>
    <t>4 922 732, 4 923 825</t>
  </si>
  <si>
    <t>le chemin Gendron</t>
  </si>
  <si>
    <t>mesure</t>
  </si>
  <si>
    <t>grande terre, boisé de mauvais qualité, terre de parcelles irrégulière</t>
  </si>
  <si>
    <t>Jocelyn GILBERT</t>
  </si>
  <si>
    <t>FERME GIRCO ENR (Marc GIRARD,
Anthony GIRARD et Solange CÔTÉ)</t>
  </si>
  <si>
    <t>6 547 224, 6 547 226, 6 547 226, 3 055 751</t>
  </si>
  <si>
    <t>46.738464</t>
  </si>
  <si>
    <t>-71.525287</t>
  </si>
  <si>
    <t>3 lots</t>
  </si>
  <si>
    <t>Construction Roland Bedard Inc.</t>
  </si>
  <si>
    <t>Marc-Andre Cousineau Inc.</t>
  </si>
  <si>
    <t>4-6WF 3-4W</t>
  </si>
  <si>
    <t>Petite terre proximité devlop.</t>
  </si>
  <si>
    <t>SUCCESSION THOMAS LARIVIÈRE</t>
  </si>
  <si>
    <t>FERME D'ÉLEVAGE SAMSON S.E.N.C.,</t>
  </si>
  <si>
    <t>6 232 225, 5 572 448, 5 573 125</t>
  </si>
  <si>
    <t>Saint-Zacharie</t>
  </si>
  <si>
    <t>4e Rang, Saint-Zacharie</t>
  </si>
  <si>
    <t>46.132345</t>
  </si>
  <si>
    <t>-70.309554</t>
  </si>
  <si>
    <t xml:space="preserve">28 083 976 </t>
  </si>
  <si>
    <t>6 458 604, 6 458 605, 6 458 606</t>
  </si>
  <si>
    <t>Peter WHITWORTH</t>
  </si>
  <si>
    <t>Pierre BOURGAULT</t>
  </si>
  <si>
    <t>5 386 109, 5 386 111</t>
  </si>
  <si>
    <t>Austin</t>
  </si>
  <si>
    <t>chemin Millington</t>
  </si>
  <si>
    <t>accessiblefore de parcelles irrégulière</t>
  </si>
  <si>
    <t>Roger Dean Loewen,Judy Ann Fricke</t>
  </si>
  <si>
    <t>Dominique Vincelli,Christophe Szumski,Quentin Szumski</t>
  </si>
  <si>
    <t>1822846, 1822847</t>
  </si>
  <si>
    <t>2352Z Ch. de Béthanie</t>
  </si>
  <si>
    <t>Superficie acéricole, 1 maison, 1 garage, 1 étable</t>
  </si>
  <si>
    <t>FERME DAISY INC</t>
  </si>
  <si>
    <t>FERME FRANCELIN INC</t>
  </si>
  <si>
    <t>5 180 694</t>
  </si>
  <si>
    <t>Petit potentiel acéricole dans le boisé</t>
  </si>
  <si>
    <t>Stéphane VAN WINDEN</t>
  </si>
  <si>
    <t>DELFLAND INC</t>
  </si>
  <si>
    <t>4 540 917, 4 538 854, 4 540 918, 4 540 919, 4 540 920, 4 540 921, 4 540 922, 4 540 923, 4 540 924, 5 985 129, 5 987 133, 5 987 134, 4 538 870</t>
  </si>
  <si>
    <t>Saint-blaise-sur-richelieu</t>
  </si>
  <si>
    <t>o-</t>
  </si>
  <si>
    <t>Très bonne parcelle, à la frontière de deux municipalités</t>
  </si>
  <si>
    <t>FERME JOYALD INC</t>
  </si>
  <si>
    <t>LES ÉLEVAGES ANDRÉ CARRIER INC</t>
  </si>
  <si>
    <t>6e Rang, Saint-Benoît-Labre</t>
  </si>
  <si>
    <t>46.045706</t>
  </si>
  <si>
    <t>-70.784902</t>
  </si>
  <si>
    <t xml:space="preserve">Plane </t>
  </si>
  <si>
    <t>presence d'une cabane, non drainée</t>
  </si>
  <si>
    <t>Denis LAGACÉ</t>
  </si>
  <si>
    <t>FERME LA CAJOLERIE INC.</t>
  </si>
  <si>
    <t>6 569 066</t>
  </si>
  <si>
    <t>LES ENTREPRISES MONVAL INC (Monique PLANTE)</t>
  </si>
  <si>
    <t>Marion DUPUIS</t>
  </si>
  <si>
    <t>46.106576</t>
  </si>
  <si>
    <t>-72.835660</t>
  </si>
  <si>
    <t>Boisé au potentiel acéricole</t>
  </si>
  <si>
    <t>Marc SIMARD</t>
  </si>
  <si>
    <t>FERME LESNIC S.E.N.C. Nicole LESSARD et Émilie LAMONTAGNE</t>
  </si>
  <si>
    <t>chemin Saint-Damien, Saguenay (Jonquière)</t>
  </si>
  <si>
    <t>48.382247</t>
  </si>
  <si>
    <t>-71.229244</t>
  </si>
  <si>
    <t>FADQ+mesure</t>
  </si>
  <si>
    <t>Grange 600 pc état moyen</t>
  </si>
  <si>
    <t>GROUPE VAN VELZEN INC Paul VAN
VELZEN,</t>
  </si>
  <si>
    <t>LEMAGE INC Marc-André CHAPUT</t>
  </si>
  <si>
    <t>1 912 394, 1 912 965, 2 402 378, 2 402 379, 2 402 380</t>
  </si>
  <si>
    <t>45.589726</t>
  </si>
  <si>
    <t>-73.363004</t>
  </si>
  <si>
    <t>Ligne haute-tension Hydro-Québec. Terre organique</t>
  </si>
  <si>
    <t>28 158 712</t>
  </si>
  <si>
    <t>6 574 201</t>
  </si>
  <si>
    <t>Ferme Guy Desmarais Inc. (Émile
DESMARAIS)</t>
  </si>
  <si>
    <t>Avinic Inc. (Jonathan GAUVIN)</t>
  </si>
  <si>
    <t>2257121 et 2256772</t>
  </si>
  <si>
    <t>Rang Saint-André</t>
  </si>
  <si>
    <t>2-6W 2-4X</t>
  </si>
  <si>
    <t>Bâtisse sur le terrain (5000 pi2) et gravier compacté sur 12 000 pi2</t>
  </si>
  <si>
    <t>30,52 ha</t>
  </si>
  <si>
    <t>29,6</t>
  </si>
  <si>
    <t>Martin Labreche</t>
  </si>
  <si>
    <t>Les Fermes Rivest Bourgeois Inc.</t>
  </si>
  <si>
    <t>Cadastre du Quebec 6569832</t>
  </si>
  <si>
    <t>3-8FW 2-2X</t>
  </si>
  <si>
    <t>Petit lot en bordure de route</t>
  </si>
  <si>
    <t>Johann T. Merkl,</t>
  </si>
  <si>
    <t>ÉLEVAGES J. BERTRAND INC</t>
  </si>
  <si>
    <t>Henryville</t>
  </si>
  <si>
    <t>Route 133, Henryville</t>
  </si>
  <si>
    <t>Bonne forme de parcelles, accessible, drainnée</t>
  </si>
  <si>
    <t>Eric Cousineau</t>
  </si>
  <si>
    <t>Les Entreprises Soric Inc. ( Éric COUSINEAU)</t>
  </si>
  <si>
    <t>6189613, 2397098</t>
  </si>
  <si>
    <t>970 000</t>
  </si>
  <si>
    <t>Gaudet Et Ricard Inc. (Louis Ricard)</t>
  </si>
  <si>
    <t>Bio-Rico Inc. (Louis ricard)</t>
  </si>
  <si>
    <t xml:space="preserve"> 2538871,  2538536, 2538426, 2538538, 2538539</t>
  </si>
  <si>
    <t>0 rang de la Petite-Ligne</t>
  </si>
  <si>
    <t>Lié</t>
  </si>
  <si>
    <t>Groupe Trans-Inter Inc.</t>
  </si>
  <si>
    <t>Richard Noseworthy</t>
  </si>
  <si>
    <t>592 191</t>
  </si>
  <si>
    <t>0 rue du Jockey</t>
  </si>
  <si>
    <t>Christian GIRARD, Marguerite PARADIS</t>
  </si>
  <si>
    <t>Anthony BERTRAND</t>
  </si>
  <si>
    <t>Montée paquette, Saint-Sixte</t>
  </si>
  <si>
    <t>45.699188</t>
  </si>
  <si>
    <t>-75.160564</t>
  </si>
  <si>
    <t>Autorisation #427894 (aliénation, lotissement)</t>
  </si>
  <si>
    <t>GUILLAUME BOSSÉ</t>
  </si>
  <si>
    <t>FERME BÉLANCEL INC.,</t>
  </si>
  <si>
    <t>3 872 251, 3 872 267</t>
  </si>
  <si>
    <t>forme de parclle irrégulière, vente d'asssemlbage</t>
  </si>
  <si>
    <t>LES ENTREPRISES FONTAGRO INC</t>
  </si>
  <si>
    <t>9391-5619 QUÉBEC INC</t>
  </si>
  <si>
    <t>5 310 271, 5 310 268, 5 310 256</t>
  </si>
  <si>
    <t>Rang des Quatorze, Saint-Marc-sur-Richelieu</t>
  </si>
  <si>
    <t>45.722288</t>
  </si>
  <si>
    <t>-73.237465</t>
  </si>
  <si>
    <t>Marc GRONDIN, Jacques GRONDIN, Manon LEMIRE</t>
  </si>
  <si>
    <t>LES ÉLEVAGES BOPORC INC.</t>
  </si>
  <si>
    <t>3 839 258, 5 704 613, 5 943 558, 5 943 560, 4 090 746</t>
  </si>
  <si>
    <t>203-211 Chemin Craig</t>
  </si>
  <si>
    <t xml:space="preserve">Petit potentiel acéricole à l'ouest de la terre. </t>
  </si>
  <si>
    <t>FERME G. SURPRENANT INC (Guy SURPRENANT)</t>
  </si>
  <si>
    <t>FERME PATENAUDE ET FILS INC (Marco PATENAUDE)</t>
  </si>
  <si>
    <t>4 389 789, 5 074 303</t>
  </si>
  <si>
    <t>rang Ste-Marie, Saint-Alexandre</t>
  </si>
  <si>
    <t>-73.121701</t>
  </si>
  <si>
    <t>45.187002</t>
  </si>
  <si>
    <t>drainnée</t>
  </si>
  <si>
    <t>28 249 968</t>
  </si>
  <si>
    <t>GESTION ANDRÉ JACQUES DUPUY LTÉE</t>
  </si>
  <si>
    <t>9497-1108 QUÉBEC INC</t>
  </si>
  <si>
    <t>6 475 444, 5 386 081, 6 475 443</t>
  </si>
  <si>
    <t>hemin Nicholas-Austin</t>
  </si>
  <si>
    <t>terre en zone verte, derrière un lotissement</t>
  </si>
  <si>
    <t>Frontczak Jayson</t>
  </si>
  <si>
    <t>Breton Simon</t>
  </si>
  <si>
    <t>6 320 800</t>
  </si>
  <si>
    <t>ch du Pont-Champagne</t>
  </si>
  <si>
    <t>-77.875464</t>
  </si>
  <si>
    <t>petits chalets présents sur le lot</t>
  </si>
  <si>
    <t>Josee Dupuis</t>
  </si>
  <si>
    <t>Ginette Mercier</t>
  </si>
  <si>
    <t>0 ch du Bas-De-L'Eglise N</t>
  </si>
  <si>
    <t>Petite terre bordure autoroute 3023732 (Non déclaré, CPTAQ)</t>
  </si>
  <si>
    <t>FERME DU BEAU LIEU S.E.N.C</t>
  </si>
  <si>
    <t>FERME ALDACO S.E.N.C.</t>
  </si>
  <si>
    <t>6 323 858</t>
  </si>
  <si>
    <t>Sainte-christine</t>
  </si>
  <si>
    <t>1433, 8e Rang</t>
  </si>
  <si>
    <t>Tp</t>
  </si>
  <si>
    <t>1 maison et bâtiment agri d'une valeur dans l'acte de 286 812 $</t>
  </si>
  <si>
    <t>Jean-Louis DROUIN</t>
  </si>
  <si>
    <t>Félix GUAY,</t>
  </si>
  <si>
    <t>6 449 102, 6 578 398</t>
  </si>
  <si>
    <t>Saint-Sylvestre</t>
  </si>
  <si>
    <t>1046-1062 Rang Ste Marie</t>
  </si>
  <si>
    <t xml:space="preserve"> Pierre HARVEY</t>
  </si>
  <si>
    <t>Route 138
Saint-Siméon</t>
  </si>
  <si>
    <t>47.808366</t>
  </si>
  <si>
    <t>-69.932504</t>
  </si>
  <si>
    <t>28 264 794</t>
  </si>
  <si>
    <t>Denise PHILIE</t>
  </si>
  <si>
    <t>LES FERMES PAUL &amp; BERTRAND LAMOUREUX INC</t>
  </si>
  <si>
    <t xml:space="preserve">6 580 282
</t>
  </si>
  <si>
    <t xml:space="preserve">Saint-Patrice-de-Sherrington
</t>
  </si>
  <si>
    <t xml:space="preserve">Rue St-Patricem Saint-Patrice-de-Sherrington
</t>
  </si>
  <si>
    <t>-73.512577</t>
  </si>
  <si>
    <t>LES HABITATIONS DU BEAU CHÊNE INC Jean ROUSSEAU et Christiane FOURNIER</t>
  </si>
  <si>
    <t>FERME FISET INC Maxime FISET et France VÉZINA</t>
  </si>
  <si>
    <t>3 055 908, 3 055 910, 3 055 912</t>
  </si>
  <si>
    <t>Rang des Mines, St-Augustin-de-Desmaures</t>
  </si>
  <si>
    <t>46.779052</t>
  </si>
  <si>
    <t>-71.467942</t>
  </si>
  <si>
    <t>3,5 ha de potentiel acéricole</t>
  </si>
  <si>
    <t>443850 (morcellement)</t>
  </si>
  <si>
    <t>FERME NIRÉCO, S.E.N.C</t>
  </si>
  <si>
    <t>LA FERME PELLERAT (1997) INC</t>
  </si>
  <si>
    <t>4 480 109, 4 480 110, 4 480 115</t>
  </si>
  <si>
    <t>Saint-Roch-des-aulnaies</t>
  </si>
  <si>
    <t xml:space="preserve">bonne forme de parcelle, </t>
  </si>
  <si>
    <t>PIERRE DU MOULIN INC (Claude Lafleur)</t>
  </si>
  <si>
    <t>FIDUCIE AGRICOLE UPA-FONDACTION (Colleen
Thorpe et France Perreault)</t>
  </si>
  <si>
    <t>5 620 052, 5 676 692</t>
  </si>
  <si>
    <t>boulevard Monseigneur-De-Laval, Baie-Saint-Paul</t>
  </si>
  <si>
    <t>47.465180</t>
  </si>
  <si>
    <t>-70.530387</t>
  </si>
  <si>
    <t>Le vendeur n'est pas dans la société de l'acheteur</t>
  </si>
  <si>
    <t>FERME SO-NO-MA</t>
  </si>
  <si>
    <t xml:space="preserve">FERME ROCHELEAU INC. </t>
  </si>
  <si>
    <t>4897047, 4896899</t>
  </si>
  <si>
    <t>circonscription foncière de Portneuf</t>
  </si>
  <si>
    <t xml:space="preserve">avoine, soya </t>
  </si>
  <si>
    <t>FERME R. THERRIEN &amp; FILS INC.</t>
  </si>
  <si>
    <t>4 212 665, 6 562 556</t>
  </si>
  <si>
    <t>Hangar et autres batiments agricole sur la propriété.</t>
  </si>
  <si>
    <t>28 302 234</t>
  </si>
  <si>
    <t>2 890 338, 2 890 452, 2 890 491, 2 890 557</t>
  </si>
  <si>
    <t>Willem De Block</t>
  </si>
  <si>
    <t>Les Entreprises Agroplus Inc. (Raphaël
VANHOUTTE)</t>
  </si>
  <si>
    <t>6629758, 2396407, 2399676, 2399677</t>
  </si>
  <si>
    <t>ch de la Cite -Des-Jeunes</t>
  </si>
  <si>
    <t>210019 -  Autorisation - Aliénation / lotissement,Morcellement de ferme</t>
  </si>
  <si>
    <t>28 307 843</t>
  </si>
  <si>
    <t>2 103 086, 2 103 652</t>
  </si>
  <si>
    <t>FERME LECLERC ET SAVARD INC.</t>
  </si>
  <si>
    <t>4897049, 4897756, 4897761</t>
  </si>
  <si>
    <t xml:space="preserve">Portneuf </t>
  </si>
  <si>
    <t>Rg St-Charles
Saint-Basile</t>
  </si>
  <si>
    <t>soya, mais-grain</t>
  </si>
  <si>
    <t>1,1 ha en zone blanche (CPTAQ)</t>
  </si>
  <si>
    <t> FERME C.D.S. PELLETIER INC </t>
  </si>
  <si>
    <t> FERME DRAHOKA INC </t>
  </si>
  <si>
    <t>4 007 417,4 006 799,4 007 406</t>
  </si>
  <si>
    <t>Rang du Nord-de-la-Montagne, Kamouraska</t>
  </si>
  <si>
    <t>47.510418</t>
  </si>
  <si>
    <t>-69.843498</t>
  </si>
  <si>
    <t>FERME PROMAT INC</t>
  </si>
  <si>
    <t>FERME PROMARC INC</t>
  </si>
  <si>
    <t>45.721308</t>
  </si>
  <si>
    <t>-73.248921</t>
  </si>
  <si>
    <t>Pour partie en classe 7</t>
  </si>
  <si>
    <t>Diane PATENAUDE</t>
  </si>
  <si>
    <t>Diane PATENAUDE, Simon COUILLARD, Mathieu COUILLARD, Linda Lee ÉMARD</t>
  </si>
  <si>
    <t>5 310 266, 5 310 251</t>
  </si>
  <si>
    <t>45.719883</t>
  </si>
  <si>
    <t>-73.237467</t>
  </si>
  <si>
    <t>Servitudes de passage, demande autorisation (refus)</t>
  </si>
  <si>
    <t>28 334 590</t>
  </si>
  <si>
    <t>2 103 122, 4 885 296</t>
  </si>
  <si>
    <t>9013-2416 QUÉBEC INC.</t>
  </si>
  <si>
    <t>FERME GÉNO INC.</t>
  </si>
  <si>
    <t>3420120, 5556 868, 6384659, 6384660, 3233 110, 3420119</t>
  </si>
  <si>
    <t>Saint-Marc-des-Carrières</t>
  </si>
  <si>
    <t>l’avenue Principale, Saint-Marc-des-Carrières</t>
  </si>
  <si>
    <t>9414-2734 Quebec Inc. (Jérémie Meunier)</t>
  </si>
  <si>
    <t>Ferme Michel Meunier Inc.</t>
  </si>
  <si>
    <t>3978186, 3614451</t>
  </si>
  <si>
    <t>St-Jean-Sur-Richelieu</t>
  </si>
  <si>
    <t>Le Haut Richelieu</t>
  </si>
  <si>
    <t>3- WF</t>
  </si>
  <si>
    <t>9,28 ha</t>
  </si>
  <si>
    <t>Denis et Gaetan LEPAGE</t>
  </si>
  <si>
    <t>9207-1356 QUÉBEC INC (Philippe BEAULIEU)</t>
  </si>
  <si>
    <t>chemin royal
Saint-Jean-de-l'Ile-d'Orléans</t>
  </si>
  <si>
    <t>46.976191</t>
  </si>
  <si>
    <t>-70.860518</t>
  </si>
  <si>
    <t>Droit de passage personnel</t>
  </si>
  <si>
    <t>1889300, 189303</t>
  </si>
  <si>
    <t>FERME M. ET H. DANCAUSE INC</t>
  </si>
  <si>
    <t>FERME FÉLIBEC</t>
  </si>
  <si>
    <t>5 489 522, 5 489 082, 5 489 096, 5 489 100, 5 489 524, 5 489 526, 5 489 528</t>
  </si>
  <si>
    <t>route Principale</t>
  </si>
  <si>
    <t>7 &amp; 4</t>
  </si>
  <si>
    <t>P, Dw</t>
  </si>
  <si>
    <t>partie boisée, terre irrégulière et de mauvais qualité</t>
  </si>
  <si>
    <t>28 356 602</t>
  </si>
  <si>
    <t>6 581 772</t>
  </si>
  <si>
    <t>d'Autray</t>
  </si>
  <si>
    <t>Saint-Cléophas-de-brandon</t>
  </si>
  <si>
    <t>Pierre VAN VELZEN</t>
  </si>
  <si>
    <t>LA FERME S.E.N.C Louis-Charles DESCHÊNES-THIFAULT</t>
  </si>
  <si>
    <t>Chemin d'Anjou, Boucherville</t>
  </si>
  <si>
    <t>45.604144</t>
  </si>
  <si>
    <t>-73.403672</t>
  </si>
  <si>
    <t>bail en faveur de Patrick Van Velzen</t>
  </si>
  <si>
    <t>435540 (Aliénation de terres impliquant un détachement de terrain résidentiel)</t>
  </si>
  <si>
    <t>FERME LOASIS S.E.N.C. (Étienne
Roy et par Caroline Lacasse)</t>
  </si>
  <si>
    <t>FERME L. DION &amp; FILS INC (Luc Dion)</t>
  </si>
  <si>
    <t>3 587 315, 3 587 316, 6 578 062, 6 578 063</t>
  </si>
  <si>
    <t>3e Rang Est
St-Henri</t>
  </si>
  <si>
    <t>46.659962</t>
  </si>
  <si>
    <t>-70.867117</t>
  </si>
  <si>
    <t>Étable, hangar, silos</t>
  </si>
  <si>
    <t>Rosanne VEILLEUX</t>
  </si>
  <si>
    <t>Jean GOSSELIN, Sonja CAMPENS</t>
  </si>
  <si>
    <t>L'Isle-aux-Coudres</t>
  </si>
  <si>
    <t>Chemin de la Baleine
L'Isle-aux-Coudres</t>
  </si>
  <si>
    <t>47.411653</t>
  </si>
  <si>
    <t>-70.350892</t>
  </si>
  <si>
    <t>Les Fermes D.R.O. Inc. (Daniel OSTIGUY)</t>
  </si>
  <si>
    <t>Ferme-C.M.F. Senc. (Michel FOURNIER)</t>
  </si>
  <si>
    <t xml:space="preserve"> 4920439, 3518535</t>
  </si>
  <si>
    <t xml:space="preserve">Ange-Gardien </t>
  </si>
  <si>
    <t>0 rang Rosalie</t>
  </si>
  <si>
    <t>16,83 ha</t>
  </si>
  <si>
    <t>3-6F 3-4FW</t>
  </si>
  <si>
    <t>1,5</t>
  </si>
  <si>
    <t>SUCCESSION THERESE VARY, Jean Lussier</t>
  </si>
  <si>
    <t>FERME EDPA lNC Raymond
DURIVAGE</t>
  </si>
  <si>
    <t>4 936 763, 4 936 766, 6 500 691</t>
  </si>
  <si>
    <t>St-Édouard</t>
  </si>
  <si>
    <t>Rang L'Église, St-Édouard</t>
  </si>
  <si>
    <t>-73.524161</t>
  </si>
  <si>
    <t>28 400 012</t>
  </si>
  <si>
    <t>Jean BEAUDIN</t>
  </si>
  <si>
    <t>FERME BIODURIVAGE INC Raymond DURIVAGE</t>
  </si>
  <si>
    <t>3 990 941, 4 426 048, 6 536 959</t>
  </si>
  <si>
    <t>Rang La Frenière, St-Édouard</t>
  </si>
  <si>
    <t>-73.512911</t>
  </si>
  <si>
    <t>Ferme B.D.R. (S.E.N.C.) (Réal OSTIGUY)</t>
  </si>
  <si>
    <t>Voldex Inc. (David ARÈS)</t>
  </si>
  <si>
    <t xml:space="preserve"> 3519223, 3519225, 3519220</t>
  </si>
  <si>
    <t>Ange-Gardien (Richelieu)</t>
  </si>
  <si>
    <t>Autoroute des Cantons de l'est</t>
  </si>
  <si>
    <t>250922 (autorisation coupe d'érable)</t>
  </si>
  <si>
    <t>3-6WP 3-4F</t>
  </si>
  <si>
    <t>René FISET</t>
  </si>
  <si>
    <t>Jacques BLAIS</t>
  </si>
  <si>
    <t>5 738 336</t>
  </si>
  <si>
    <t>51-1 Chem. des 
Prairies O</t>
  </si>
  <si>
    <t>Autoroute des Cantons de l'est, Ange-Gardien</t>
  </si>
  <si>
    <t>24,40 ha</t>
  </si>
  <si>
    <t>Jean-Christophe Peloquin</t>
  </si>
  <si>
    <t>Ferme Emyar Inc.(Marie-Pier BIBEAU, présidente et Yann BUSSIÈRES)</t>
  </si>
  <si>
    <t>6653226 et 6 653227</t>
  </si>
  <si>
    <t>St-Robert</t>
  </si>
  <si>
    <t>ch St-Robert</t>
  </si>
  <si>
    <t>13,47 ha</t>
  </si>
  <si>
    <t>4-Fw et 3-W</t>
  </si>
  <si>
    <t>Ferme P.M.G. S.E.N.C. (Martin GENDRON)</t>
  </si>
  <si>
    <t>Ferme A &amp; D Gauthier Inc. (Sylvain GAUTHIER)</t>
  </si>
  <si>
    <t>2707328 et 2707190</t>
  </si>
  <si>
    <t>St-Hugues</t>
  </si>
  <si>
    <t>2- W</t>
  </si>
  <si>
    <t>14,77 ha</t>
  </si>
  <si>
    <t>Patrick BOUCHER</t>
  </si>
  <si>
    <t xml:space="preserve">9385-0931 QUÉBEC INC (Jacques Oligny, Vincent Oligny) </t>
  </si>
  <si>
    <t>4 159 202</t>
  </si>
  <si>
    <t>Mont-Saint-Grégoire</t>
  </si>
  <si>
    <t>Montée du Grand- Bois, Mont-Saint-Grégoire</t>
  </si>
  <si>
    <t>-73.174858</t>
  </si>
  <si>
    <t>45.346709</t>
  </si>
  <si>
    <t>10% du boisé au potentiel acéricole, non drainnée</t>
  </si>
  <si>
    <t>FERME PROMARC INC Mathieu Geoffrion</t>
  </si>
  <si>
    <t>COUILLARD BEAUCHEMIN INC Pierre Couillard</t>
  </si>
  <si>
    <t>5 310 250, 6 595 576, 5 310 320, 5 310 252</t>
  </si>
  <si>
    <t xml:space="preserve"> Saint-Marc-sur-Richelieu</t>
  </si>
  <si>
    <t>rang des Soixante, Saint-Marc-sur-Richelieu</t>
  </si>
  <si>
    <t>45.703365</t>
  </si>
  <si>
    <t>-73.225172</t>
  </si>
  <si>
    <t>FERME LUCIEN AUDET &amp; FILS INC.</t>
  </si>
  <si>
    <t>9502-5979 QUÉBEC INC (David et Samuel TREMBLAY)</t>
  </si>
  <si>
    <t>5 438 648, 5 438 821, 5 438 960, 5 438 961</t>
  </si>
  <si>
    <t>Route du Fleuve
Les Éboulements</t>
  </si>
  <si>
    <t>47.482507</t>
  </si>
  <si>
    <t>-70.304702</t>
  </si>
  <si>
    <t>JARISÉ INC.,</t>
  </si>
  <si>
    <t>FERME JANY S.E.N.C</t>
  </si>
  <si>
    <t>4 217 585, 4 217 213</t>
  </si>
  <si>
    <t>Sainte-Rose-de-Watford</t>
  </si>
  <si>
    <t>6e Rang, Sainte-Rose-de-Watford,</t>
  </si>
  <si>
    <t>46.295520</t>
  </si>
  <si>
    <t>-70.410254</t>
  </si>
  <si>
    <t>Kathleen Bradley</t>
  </si>
  <si>
    <t>Entreprises Agricoles Bibeau Inc. (Nathalie LEGAULT et Patrick BIBEAU)</t>
  </si>
  <si>
    <t>6461017, 2397145, 2397138</t>
  </si>
  <si>
    <t>254927; Aliénation / lotissement,Morcellement de ferme / 244953;Aliénation / lotissement,Morcellement de ferme</t>
  </si>
  <si>
    <t>3-WF</t>
  </si>
  <si>
    <t>Succession de Clément LAMBERT</t>
  </si>
  <si>
    <t>Martin LAMBERT, FERME CAROL MARTINEAU INC</t>
  </si>
  <si>
    <t>5 835 632, 6 449 883</t>
  </si>
  <si>
    <t xml:space="preserve">Sainte-Agathe-de-Lotbinière </t>
  </si>
  <si>
    <t>651, 10e Rang, Sainte-Agathe-de-
Lotbinière</t>
  </si>
  <si>
    <t>46.377887</t>
  </si>
  <si>
    <t>-71.476162</t>
  </si>
  <si>
    <t>9199-1877 Quebec Inc. (Dominique Gaudet)</t>
  </si>
  <si>
    <t>Ferme Jief S.E.N.C. (Jean-François BRISSON_Marie-Josée JOLICOEUR)</t>
  </si>
  <si>
    <t>rang des Continuations</t>
  </si>
  <si>
    <t>2-5X 3-4P 4-1S /  2-7W 2-3X</t>
  </si>
  <si>
    <t>FERME PIERKA SENC.</t>
  </si>
  <si>
    <t>FERME DES RÊVES INC</t>
  </si>
  <si>
    <t>Lefebvre</t>
  </si>
  <si>
    <t>Rang 11e Est , Lefebvre</t>
  </si>
  <si>
    <t>45.689097</t>
  </si>
  <si>
    <t>-72.423860</t>
  </si>
  <si>
    <t>3-4</t>
  </si>
  <si>
    <t>FWP</t>
  </si>
  <si>
    <t>20.2</t>
  </si>
  <si>
    <t>Cultures maraîchères, Boisé au potentiel acéricole</t>
  </si>
  <si>
    <t>28 448 261</t>
  </si>
  <si>
    <t>UNI INC</t>
  </si>
  <si>
    <t>9504-8229 QUÉBEC INC.</t>
  </si>
  <si>
    <t>6 389 983,6 389 986</t>
  </si>
  <si>
    <t>Hatley</t>
  </si>
  <si>
    <t>chemin North</t>
  </si>
  <si>
    <t>TF</t>
  </si>
  <si>
    <t>grande terre, parcelle et boisée irrégulier</t>
  </si>
  <si>
    <t>Carol Irene ENGLISH</t>
  </si>
  <si>
    <t>FERME ROBIL 2007 INC.</t>
  </si>
  <si>
    <t>4 706 643, 4 706 644, 6 589 354</t>
  </si>
  <si>
    <t>Saint-Malachie</t>
  </si>
  <si>
    <t>Chemin de la Rivière-Etchemin</t>
  </si>
  <si>
    <t>Foin, boisés</t>
  </si>
  <si>
    <t>Boisé en majeure partie avec potentiel acéricole</t>
  </si>
  <si>
    <t>ÉRIC JOBIN</t>
  </si>
  <si>
    <t>FERME RIVE-BLANCHE INC.</t>
  </si>
  <si>
    <t xml:space="preserve">le Rang Rivière Blanche Est
Saint-Thuribe
</t>
  </si>
  <si>
    <t>PR</t>
  </si>
  <si>
    <t>9492-9551 QUÉBEC INC (Christian LAVOIE)</t>
  </si>
  <si>
    <t>4 327 916, 4 327 922, 4 327 923, 4 327 733, 4 327 734, 4 328 662, 4 328 663</t>
  </si>
  <si>
    <t>355, 3e Rang, Dégelis</t>
  </si>
  <si>
    <t>47.513000</t>
  </si>
  <si>
    <t>-68.639040</t>
  </si>
  <si>
    <t>Pente (2/3), plane (1/3)</t>
  </si>
  <si>
    <t>t</t>
  </si>
  <si>
    <t>Maison</t>
  </si>
  <si>
    <t>Bâtiments laitiers</t>
  </si>
  <si>
    <t>Avec équipements étable, maison sans droit acquis, ilot desctructuré (art.59), plusieurs droits conférés au vendeur</t>
  </si>
  <si>
    <t>427487 (exploitation gravière-sablière(</t>
  </si>
  <si>
    <t>Suzie Trudel (Claude JOLICOEUR)</t>
  </si>
  <si>
    <t>Ferme Maraichere Jolicoeur Inc. (Stéphanie JOLICOEUR)</t>
  </si>
  <si>
    <t>3023132_3023287_4950755_3259115_3259114_3024932_3259113_3259117_3259112</t>
  </si>
  <si>
    <t>Gilles DUMONT</t>
  </si>
  <si>
    <t>GESTION ÉLISE CORRIVEAU INC</t>
  </si>
  <si>
    <t>6 366 930, 6 366 949, 6 367 523</t>
  </si>
  <si>
    <t>saint-louis-du-Ha! Ha!</t>
  </si>
  <si>
    <t>RT</t>
  </si>
  <si>
    <t>peut etre une vente d'assemblage, grand bâtiments sur la terre, parcelle irégulière</t>
  </si>
  <si>
    <t>Mildred P. FORTUNE</t>
  </si>
  <si>
    <t>Christina MERKL</t>
  </si>
  <si>
    <t>6 541 825, 5 107 682</t>
  </si>
  <si>
    <t>Saint-georges-de-clarenceville</t>
  </si>
  <si>
    <t>superficie boisé, drainnée</t>
  </si>
  <si>
    <t>Claude PARENT</t>
  </si>
  <si>
    <t>FERME PAUL-HENRI PAQUET ET FILS ENR</t>
  </si>
  <si>
    <t>6 619 624, 6 619 625</t>
  </si>
  <si>
    <t>route Grand-Capsa, Pont-Rouge</t>
  </si>
  <si>
    <t>46.760670</t>
  </si>
  <si>
    <t>-71.665984</t>
  </si>
  <si>
    <t>440865 (morcellement)</t>
  </si>
  <si>
    <t>Melanie Leathead</t>
  </si>
  <si>
    <t>Productions Maraicheres Mailhot Inc. (Marcel MAILHOT)</t>
  </si>
  <si>
    <t>3-FW</t>
  </si>
  <si>
    <t>Drainage imparfait avec sol avec sol sableux,</t>
  </si>
  <si>
    <t>Route 263, Sainte-Cécile-de-Whitton</t>
  </si>
  <si>
    <t>45.666615</t>
  </si>
  <si>
    <t xml:space="preserve"> '-70.939776</t>
  </si>
  <si>
    <t>lot 21 000 pc en zone blanche</t>
  </si>
  <si>
    <t>Josee Majeau</t>
  </si>
  <si>
    <t>Ferme Majonick Inc. (Nick MAJEAU)</t>
  </si>
  <si>
    <t>Ste-Julienne</t>
  </si>
  <si>
    <t>ERABLIÈRE DUDEUX INC.</t>
  </si>
  <si>
    <t>6 596 780</t>
  </si>
  <si>
    <t>Acton vale</t>
  </si>
  <si>
    <t>1262-1300 2e Rang</t>
  </si>
  <si>
    <t>-72.631490,</t>
  </si>
  <si>
    <t>28 504 951</t>
  </si>
  <si>
    <t>Fiducie Jeannine Bilodeau</t>
  </si>
  <si>
    <t>9503-1738 QUÉBEC INC.</t>
  </si>
  <si>
    <t>4 248 263</t>
  </si>
  <si>
    <t>Sainte-catherine-de-Hatley</t>
  </si>
  <si>
    <t>Chemin d’Ayer’s Cliff</t>
  </si>
  <si>
    <t>fadQ</t>
  </si>
  <si>
    <t>Carrière de pierre, avec terre cultivée, bonne classe de sol</t>
  </si>
  <si>
    <t>3 739 691, 3 740 914, 4 154 176</t>
  </si>
  <si>
    <t>1er rang, St-Ludger</t>
  </si>
  <si>
    <t>45.748679</t>
  </si>
  <si>
    <t>-70.697678</t>
  </si>
  <si>
    <t>28 508 70</t>
  </si>
  <si>
    <t>6 450 971, 3 732 653</t>
  </si>
  <si>
    <t>Laurent Jr Mercier (Laurent Jr Mercier)</t>
  </si>
  <si>
    <t>9433-4117 Quebec Inc. (Nathalie Sauvé)</t>
  </si>
  <si>
    <t xml:space="preserve"> 2538737_2538076</t>
  </si>
  <si>
    <t>Rang Montcalm</t>
  </si>
  <si>
    <t>4-6FW 5-3W 3-1W / 2-W</t>
  </si>
  <si>
    <t>Drainage imparfait avec sol avec sol sableux, 80% non cartographié</t>
  </si>
  <si>
    <t>FERME EGGY INC.,</t>
  </si>
  <si>
    <t>3 250 655, 3 250 657, 3 250 127, 3 250 128</t>
  </si>
  <si>
    <t>Cap saint-Ignace</t>
  </si>
  <si>
    <t>lechemin des Plaines</t>
  </si>
  <si>
    <t>terre enclavée, grande superficie boisée</t>
  </si>
  <si>
    <t>William Roach</t>
  </si>
  <si>
    <t>Eric De Lorimier</t>
  </si>
  <si>
    <t>200 000</t>
  </si>
  <si>
    <t>28 530 861</t>
  </si>
  <si>
    <t>2 891 646, 2 891 647, 2 891 653, 2 891 745, 6 557 500</t>
  </si>
  <si>
    <t>FERME NJN INC</t>
  </si>
  <si>
    <t>FERME ÉRIC CANTIN INC.</t>
  </si>
  <si>
    <t>4 009 405, 4 009 406, 4 009 364</t>
  </si>
  <si>
    <t>Chemin passe au milieu des terres, petit lot faisant parti d'un grand lot pas dans l'acte</t>
  </si>
  <si>
    <t>FERME MARCEL PARENT ET FILS INC.</t>
  </si>
  <si>
    <t>STEEGRAIN INC.</t>
  </si>
  <si>
    <t>2 639 563,2 639 564,6 316 798,6 316 799,6 316 800</t>
  </si>
  <si>
    <t>Rue Bellevue, Saint-Lambert-de-Lauzon</t>
  </si>
  <si>
    <t>-71.206033</t>
  </si>
  <si>
    <t>Gilbert BRETON</t>
  </si>
  <si>
    <t>FERME FLEUVIALE 2000 INC</t>
  </si>
  <si>
    <t>Saint-Valier</t>
  </si>
  <si>
    <t>Boulevard de Saint-Valier, Saint-Valier</t>
  </si>
  <si>
    <t>46.892771</t>
  </si>
  <si>
    <t>-70.816945</t>
  </si>
  <si>
    <t>Clément PEPIN, PARECLEMCO INC Clément PEPIN</t>
  </si>
  <si>
    <t>AGRI-VALLÉE BIO INC Pascale LAVALLÉE</t>
  </si>
  <si>
    <t>4 833 523, 4 833 205, 6 616 293</t>
  </si>
  <si>
    <t>45.792231</t>
  </si>
  <si>
    <t>-73.184938</t>
  </si>
  <si>
    <t>28 542 949</t>
  </si>
  <si>
    <t>4 668 886, 4 668 224, 4 668 885</t>
  </si>
  <si>
    <t>Chantal BRASSARD</t>
  </si>
  <si>
    <t>FERME JARRET DE BEAUREGARD INC Éric BEAUREGARD</t>
  </si>
  <si>
    <t>4 832 992, 4 833 455</t>
  </si>
  <si>
    <t>Rang du Brûlé, Saint-Antoine-sur-Richelieu</t>
  </si>
  <si>
    <t>45.853446</t>
  </si>
  <si>
    <t>-73.174684</t>
  </si>
  <si>
    <t>Hangar 65'x30'</t>
  </si>
  <si>
    <t>Fonds servant au profit du vendeur</t>
  </si>
  <si>
    <t>FERME PIERRIEN S.E.N.C.</t>
  </si>
  <si>
    <t>AGRI-CULTURE 1915 INC.</t>
  </si>
  <si>
    <t>6 569 133</t>
  </si>
  <si>
    <t>Saint-adrien</t>
  </si>
  <si>
    <t xml:space="preserve">rue principale </t>
  </si>
  <si>
    <t>très bonne localisation, potentiel acéricole sur la terre</t>
  </si>
  <si>
    <t>Gisèle SAVARIA</t>
  </si>
  <si>
    <t>Frédéric BERGERON, Jean-François BERGERON</t>
  </si>
  <si>
    <t>5 542 139, 5 542 435, 5 542 156</t>
  </si>
  <si>
    <t>1253, rang de La Vallée, Sainte-Julie</t>
  </si>
  <si>
    <t>45.589222</t>
  </si>
  <si>
    <t>-73.309533</t>
  </si>
  <si>
    <t>Hangar environ 4500 pc</t>
  </si>
  <si>
    <t>Bordure A20</t>
  </si>
  <si>
    <t>PLV FORESTIER INC.</t>
  </si>
  <si>
    <t>9993223 CANADA INC.</t>
  </si>
  <si>
    <t>5 760 660</t>
  </si>
  <si>
    <t>Sainte-Euphemie-Sur-Riviere-Du-Sud</t>
  </si>
  <si>
    <t>0 rue Principale O</t>
  </si>
  <si>
    <t>FERME D. GIRARD INC.,</t>
  </si>
  <si>
    <t>FERME STREBEL ET FILS INC</t>
  </si>
  <si>
    <t>4 539 002</t>
  </si>
  <si>
    <t>Montée de l'Église, Saint-blaise-sur-richelieu</t>
  </si>
  <si>
    <t>rivière qui passe par la terre, enclavée avec servitude de passage</t>
  </si>
  <si>
    <t>FERME 1313 ARC-EN-CIEL INC Gurwinder SINGH KLOTIA</t>
  </si>
  <si>
    <t>TERRES COUSINEAU INC Jean-Marie COUSINEAU</t>
  </si>
  <si>
    <t>2 867 406, 2 427 078, 2 426 433, 2 426 377, 6 593 528</t>
  </si>
  <si>
    <t>St-Mathieu</t>
  </si>
  <si>
    <t>Ch. De la Petite Côte, St-Mathieu</t>
  </si>
  <si>
    <t>45.309640</t>
  </si>
  <si>
    <t>-73.564841</t>
  </si>
  <si>
    <t>Plusieurs bâtiments</t>
  </si>
  <si>
    <t>2 étangs</t>
  </si>
  <si>
    <t>Madame Christine POTVIN</t>
  </si>
  <si>
    <t>3099-9965 QUÉBEC INC Pierre GIRARD</t>
  </si>
  <si>
    <t>3 802 926, 3 802 927, 3 802 928</t>
  </si>
  <si>
    <t>rangs Saint-Joseph et Saint-Martin, Saguenay (Chicoutimi)</t>
  </si>
  <si>
    <t>48.432477</t>
  </si>
  <si>
    <t>-71.011164</t>
  </si>
  <si>
    <t>FERME LIPPOZAN INC.</t>
  </si>
  <si>
    <t>Philippe OUELLETTE,Marc OUELLETTE</t>
  </si>
  <si>
    <t>5 499 563</t>
  </si>
  <si>
    <t>Saint-Rémi-de-Tingwick</t>
  </si>
  <si>
    <t>chemin des Lacs</t>
  </si>
  <si>
    <t>Lot de forme bizarre à cause de la présence de potentiel acéricole sur toute les parcelles de boisée</t>
  </si>
  <si>
    <t>LES PRODUCTIONS GUILLAUME D'ASTOUS INC.</t>
  </si>
  <si>
    <t>TERRES ET BOISÉS D'ASTOUS INC.</t>
  </si>
  <si>
    <t>5 098 706,5 098 707,5 098 708,5 098 709</t>
  </si>
  <si>
    <t>1005-1233 Rang 5</t>
  </si>
  <si>
    <t>Potentiel acéricole dans le boisé</t>
  </si>
  <si>
    <t>9046-8034 QUEBEC INC</t>
  </si>
  <si>
    <t>3 681 084, 3 681 082</t>
  </si>
  <si>
    <t>47.047014</t>
  </si>
  <si>
    <t>-70.868119</t>
  </si>
  <si>
    <t>12 ha potentiel acéricole ; servitudes de passage grevant lots 5 878 230, 5 878 227 et 6 187 169, lot 5 878 230 vendu 1 800 000 $ , autres lots vendus 8 675 000 $.</t>
  </si>
  <si>
    <t>FERME MALEXA INC</t>
  </si>
  <si>
    <t>FERME RENÉ LACASSE &amp; FILS INC</t>
  </si>
  <si>
    <t>Rang 3e, Honfleur</t>
  </si>
  <si>
    <t>46.620756</t>
  </si>
  <si>
    <t>-70.922410</t>
  </si>
  <si>
    <t>Potentiel acéricole (4 ha)</t>
  </si>
  <si>
    <t>9080-1580 QUEBEC INC</t>
  </si>
  <si>
    <t>FONDS D'INVESTISSEMENT POUR LA RELÈVE AGRICOLE (FIRA)</t>
  </si>
  <si>
    <t>5 996 876, 5 230 334, 5 232 688</t>
  </si>
  <si>
    <t>Rang Saint-Joseph, Sainte Perpétue
Saint-Thuribe</t>
  </si>
  <si>
    <t>46.096795</t>
  </si>
  <si>
    <t>-72.469858</t>
  </si>
  <si>
    <t>Lot entouré de terres boisées</t>
  </si>
  <si>
    <t>GESTION P.L.Y.M.I. INC</t>
  </si>
  <si>
    <t>RÉAL ROY &amp; FILS INC.,</t>
  </si>
  <si>
    <t>4 339 209</t>
  </si>
  <si>
    <t>Saint-georges</t>
  </si>
  <si>
    <r>
      <t>30</t>
    </r>
    <r>
      <rPr>
        <i/>
        <sz val="7"/>
        <color theme="1"/>
        <rFont val="Helvetica"/>
        <family val="2"/>
      </rPr>
      <t xml:space="preserve">e </t>
    </r>
    <r>
      <rPr>
        <i/>
        <sz val="10"/>
        <color theme="1"/>
        <rFont val="Helvetica"/>
        <family val="2"/>
      </rPr>
      <t>Avenue</t>
    </r>
  </si>
  <si>
    <t>Parcelle au milieu du boisé moins accessible</t>
  </si>
  <si>
    <t>succession Danielle DUCHESNE</t>
  </si>
  <si>
    <t>FERME DUCHESNE S.E.N.C. (Henrico DUCHESNE et Vanessa BILODEAU)</t>
  </si>
  <si>
    <t>6 567 148, 3 782 653, 3 783 162</t>
  </si>
  <si>
    <t>Côte Bellevue, La Malbaie</t>
  </si>
  <si>
    <t>47.602293</t>
  </si>
  <si>
    <t>-70.199355</t>
  </si>
  <si>
    <t>Servitude de passage, auytorisation CPTAQ pour sablière-gravière</t>
  </si>
  <si>
    <t>439601, 246967, 326313, 246967</t>
  </si>
  <si>
    <t>Succession Fleurette Poirier</t>
  </si>
  <si>
    <t>Les Fermes G &amp; L Deschamps Inc. (Gaëtan Deschamps)</t>
  </si>
  <si>
    <t>4862729, 4864435</t>
  </si>
  <si>
    <t>rang Ste-Marie E</t>
  </si>
  <si>
    <t>Imparfait et mauvais 50%</t>
  </si>
  <si>
    <t>28 580 441</t>
  </si>
  <si>
    <t>4 295 471, 6 563 747</t>
  </si>
  <si>
    <t>139737 Canada Inc. (Aristomenis KONTOS)</t>
  </si>
  <si>
    <t>Les Entreprises A. Thibodeau Inc. (André THIBODEAU)</t>
  </si>
  <si>
    <t>route 158</t>
  </si>
  <si>
    <t>2-5X 3-4P 4-1S / 2- W</t>
  </si>
  <si>
    <t>Drainge bon 30%, excessif (30%) et imparfait (30%)sol sableux avec dépôt de tills</t>
  </si>
  <si>
    <t>Bordure autoroute</t>
  </si>
  <si>
    <t>FERME J.S. BERGERON INC (Jules BERGERON, Sébastien BERGERON)</t>
  </si>
  <si>
    <t>9348-8187 QUÉBEC INC (Philippe KEURENTJES)</t>
  </si>
  <si>
    <t>6 541 747</t>
  </si>
  <si>
    <t>rue Principale, Saint- Blaise-sur-Richelieu</t>
  </si>
  <si>
    <t>-73.320322</t>
  </si>
  <si>
    <t>45.242342</t>
  </si>
  <si>
    <t>Potentiel acéricole partiel, petite érablière, non drainn;e</t>
  </si>
  <si>
    <t>FERME VIZANNE S.E.N.C</t>
  </si>
  <si>
    <t>FERME VERENA S.E.N.C</t>
  </si>
  <si>
    <t>5 396 174, 5 396 185, 5 396 113, 5 396 175, 5 396 112</t>
  </si>
  <si>
    <t>rang de la rivière-Batiscan Nord-Est, Saint-Stanislas</t>
  </si>
  <si>
    <t>46.680373</t>
  </si>
  <si>
    <t>-72.388294</t>
  </si>
  <si>
    <t>7-4</t>
  </si>
  <si>
    <t>TPR</t>
  </si>
  <si>
    <t>Potentiel acéricole partiel</t>
  </si>
  <si>
    <t>Nelson BÉRUBÉ</t>
  </si>
  <si>
    <t>FERME SOFIA INC</t>
  </si>
  <si>
    <t>3 968 321, 3 655 194, 3 655 188, 5 727 151</t>
  </si>
  <si>
    <t>Rang 5e Ouest, Saint-Lazare-Pacal</t>
  </si>
  <si>
    <t>47.507533</t>
  </si>
  <si>
    <t>-69.782349</t>
  </si>
  <si>
    <t>Pas de potentiel acéricole</t>
  </si>
  <si>
    <t>Edmond Venne</t>
  </si>
  <si>
    <t>Francis Dupuis_</t>
  </si>
  <si>
    <t>0 rang St-Jacques</t>
  </si>
  <si>
    <t>ÉRABLIÈRE LA RÉSERVE INC</t>
  </si>
  <si>
    <t>9498-8946 QUÉBEC INC.,</t>
  </si>
  <si>
    <t>4 765 900, 4 765 835, 4 765 763</t>
  </si>
  <si>
    <t>405, route Principale</t>
  </si>
  <si>
    <t>TO</t>
  </si>
  <si>
    <t>154000$ pour le lot 4 765 821, beaucoup de bâtiments et terre immense avec otentiel acéricole</t>
  </si>
  <si>
    <t>JEAN PERREAULT ET FILS LTÉE</t>
  </si>
  <si>
    <t>FERME CHABY INC</t>
  </si>
  <si>
    <t>Saint-Patrice-de-Beaurivage</t>
  </si>
  <si>
    <t>rang Belfast, Saint-Patrice-de-Beaurivage</t>
  </si>
  <si>
    <t>46.440743</t>
  </si>
  <si>
    <t>-71.253370</t>
  </si>
  <si>
    <t>Boisé au potentiel acéricole (partie)</t>
  </si>
  <si>
    <t>Simone GAGNON</t>
  </si>
  <si>
    <t>France TREMBLAY</t>
  </si>
  <si>
    <t>6 054 360, 6 053 354, 6 053 279</t>
  </si>
  <si>
    <t>rang du Ruisseau-des-Frênes, La Malbaie</t>
  </si>
  <si>
    <t>47.645816</t>
  </si>
  <si>
    <t>-70.30894</t>
  </si>
  <si>
    <t>Lynda Bernier</t>
  </si>
  <si>
    <t>Les Entreprises F. Dubreuil Inc. (François DUBREUIL)</t>
  </si>
  <si>
    <t>St-Dominique</t>
  </si>
  <si>
    <t>9e rang</t>
  </si>
  <si>
    <t>3-FW et 3-6FW</t>
  </si>
  <si>
    <t>Josée MATTHYSSEN, Louis MATTHYSSEN, Luc MATTHYSSEN, Annie MATTHYSSEN</t>
  </si>
  <si>
    <t>Peter PERTSCHY, Matthias PERTSCHY, Rita Alexis ZIMMERMANN</t>
  </si>
  <si>
    <t>6 593 394, 6 593 398</t>
  </si>
  <si>
    <t>Saint-Sébastien</t>
  </si>
  <si>
    <t>rang Saint- Joseph, Notre-Dame-de-Stanbridge</t>
  </si>
  <si>
    <t>-73.087890</t>
  </si>
  <si>
    <t>45.160590</t>
  </si>
  <si>
    <t>FERME J. VEILLETTE INC</t>
  </si>
  <si>
    <t>Ferme Ayotte inc</t>
  </si>
  <si>
    <t>rang du Bas-de-la-Grande-Ligne, Saint-Narcisse</t>
  </si>
  <si>
    <t>46.537959</t>
  </si>
  <si>
    <t>-72.439988</t>
  </si>
  <si>
    <t>Inondable</t>
  </si>
  <si>
    <t>6 287 720</t>
  </si>
  <si>
    <t>20,28 ha</t>
  </si>
  <si>
    <t>17,6</t>
  </si>
  <si>
    <t>Lambert Jean-Guy</t>
  </si>
  <si>
    <t>Ferme Benjamin Roy S.E.N.C.</t>
  </si>
  <si>
    <t>6 601 696</t>
  </si>
  <si>
    <t>St-Mathieu-D'Harricana</t>
  </si>
  <si>
    <t>rte 109</t>
  </si>
  <si>
    <t>-78.140972</t>
  </si>
  <si>
    <t>Nathalie LABERGE</t>
  </si>
  <si>
    <t>ENTREPRISE AGRICOLE M. BR. INC.</t>
  </si>
  <si>
    <t>6 062 735</t>
  </si>
  <si>
    <t>Sainte-martine</t>
  </si>
  <si>
    <t>1640 QC-138</t>
  </si>
  <si>
    <t>Vente de 50% de la terre dans l'acte</t>
  </si>
  <si>
    <t xml:space="preserve">28 615 686 </t>
  </si>
  <si>
    <t>4 667 203</t>
  </si>
  <si>
    <t>Nicolas REGOL</t>
  </si>
  <si>
    <t>Olivier BROSSARD</t>
  </si>
  <si>
    <t>3 080 010, 3 080 011</t>
  </si>
  <si>
    <t>rang des Vingt, Saint-Basile-le-Grand</t>
  </si>
  <si>
    <t>45.561623</t>
  </si>
  <si>
    <t>-73.284584</t>
  </si>
  <si>
    <t>9002-1171 QUÉBEC INC. (Yvon LEFEBVRE)</t>
  </si>
  <si>
    <t>FERME KONKORDIA INC (Patrick GIRARD)</t>
  </si>
  <si>
    <t>4 539 094</t>
  </si>
  <si>
    <t>-73.332471</t>
  </si>
  <si>
    <t>45.249258</t>
  </si>
  <si>
    <t>Partie inondable, drainnée</t>
  </si>
  <si>
    <t>2973-8986 QUÉBEC INC</t>
  </si>
  <si>
    <t>9510-4907 QUÉBEC INC.,</t>
  </si>
  <si>
    <t>3 475 543, 3 475 306, 3 475 298, 3 475 547, 3 475 548</t>
  </si>
  <si>
    <t>bonne foprme de parcelle, déclivité dans le boisé</t>
  </si>
  <si>
    <t>FERME BEAU-MONT INC</t>
  </si>
  <si>
    <t>3093-5282 QUÉBEC INC</t>
  </si>
  <si>
    <t>3 841 806</t>
  </si>
  <si>
    <t>Saint-valérien-de-milton</t>
  </si>
  <si>
    <t>11ième Rang</t>
  </si>
  <si>
    <t>Terre drainée, pas de bâtiment, bonne qualitée</t>
  </si>
  <si>
    <t>Ferme Beau-Mont Inc. (Pierre MONTFILS)</t>
  </si>
  <si>
    <t>3093-5282 Quebec Inc. (Mario VINCENT)</t>
  </si>
  <si>
    <t>St-Valerien-De-Milton</t>
  </si>
  <si>
    <t>11e Rang</t>
  </si>
  <si>
    <t>35,76 ha</t>
  </si>
  <si>
    <t>3-5W 4-5WF</t>
  </si>
  <si>
    <t>FERME U. GRÉGOIRE ET FILS INC</t>
  </si>
  <si>
    <t>FERME M.E.L. GRÉGOIRE INC</t>
  </si>
  <si>
    <t>4 539 028, 4 539 032, 4 539 033, 4 539 034, 4 539 035, 4 539 036</t>
  </si>
  <si>
    <t>Rue Principale, Saint-blaise-sur-richelieu</t>
  </si>
  <si>
    <t>bonne parcelle, en arrière d'un petit développement</t>
  </si>
  <si>
    <t>28635412, 28635399</t>
  </si>
  <si>
    <t>Ferme Poissant</t>
  </si>
  <si>
    <t>Les Fermes Laberge Inc (Philippe LABERGE)</t>
  </si>
  <si>
    <t>6060834, 6060669, 6060748, 6060647, 6060660, 6060659</t>
  </si>
  <si>
    <t>Ste-Martine</t>
  </si>
  <si>
    <t>0 ch du Grand-Marais</t>
  </si>
  <si>
    <t>Plusieurs bâtisse sur le terrain</t>
  </si>
  <si>
    <t>Jean-Noël SCOTT</t>
  </si>
  <si>
    <t>LA FERME YVES BARRÉ INC Pierre-Luc BARRÉ</t>
  </si>
  <si>
    <t>Rogemont</t>
  </si>
  <si>
    <t>Rang des Dix Terres, Rogemont</t>
  </si>
  <si>
    <t>45.447769</t>
  </si>
  <si>
    <t>-73.104537</t>
  </si>
  <si>
    <t>2 et 3</t>
  </si>
  <si>
    <t>28 633 545</t>
  </si>
  <si>
    <t>FERME BROADVISTA (S.E.N.C.) Dean POWELL Mélanie GAUTREY</t>
  </si>
  <si>
    <t>ERME BESSETTE &amp; FRÈRES (WATERVILLE) INC. René BESSETTE</t>
  </si>
  <si>
    <t>1 802 018</t>
  </si>
  <si>
    <t>Waterville</t>
  </si>
  <si>
    <t>Chemin Carrier, Waterville</t>
  </si>
  <si>
    <t>-71.859047</t>
  </si>
  <si>
    <t>33,86</t>
  </si>
  <si>
    <t>Developpements Immobiliers Lafa Inc.</t>
  </si>
  <si>
    <t>Le Groupe Lawlor Inc.</t>
  </si>
  <si>
    <t>88 000</t>
  </si>
  <si>
    <t>Jean GRENIER,</t>
  </si>
  <si>
    <t>Jocelyn GRENIER</t>
  </si>
  <si>
    <t>2 330 094,6 372 994, 6 372 998, 6 374 660</t>
  </si>
  <si>
    <t>161, 1er Rang Ouest</t>
  </si>
  <si>
    <t>Martin HERREN</t>
  </si>
  <si>
    <t>Michel HOGUE,</t>
  </si>
  <si>
    <t>2564959_5785837</t>
  </si>
  <si>
    <t>Côte Joseph</t>
  </si>
  <si>
    <t>2-8W 2-1X 3-1P</t>
  </si>
  <si>
    <t>Drainage bon à imparfait avec un sol organique</t>
  </si>
  <si>
    <t>28 638 654</t>
  </si>
  <si>
    <t>2 893 840, 2 893 842</t>
  </si>
  <si>
    <t>SUZANNE MÉNARD</t>
  </si>
  <si>
    <t>LES FERMES YVON BOYER INC (Yvon BOYER)</t>
  </si>
  <si>
    <t>Rg Saint-Paul, Saint-Rémi</t>
  </si>
  <si>
    <t>45.223049</t>
  </si>
  <si>
    <t>-73.624231</t>
  </si>
  <si>
    <t xml:space="preserve"> et FADQ</t>
  </si>
  <si>
    <t>2 petits hangars</t>
  </si>
  <si>
    <t>Éolienne sur terre voisine, autorisation 422547 (agrandissement usage existant éolienne)</t>
  </si>
  <si>
    <t>autorisation 422547 (agrandissement usage existant éolienne)</t>
  </si>
  <si>
    <t>Bernard FRADET</t>
  </si>
  <si>
    <t>FERME M.F. LANTAGNE INC</t>
  </si>
  <si>
    <t>Rang 1e Est, Saint-Gervais</t>
  </si>
  <si>
    <t>46.750338</t>
  </si>
  <si>
    <t>-70.831199</t>
  </si>
  <si>
    <t>Boisé au potentiel acéricole sur 50 % surface</t>
  </si>
  <si>
    <t>Luc Malo</t>
  </si>
  <si>
    <t>Ferme Amedee Bazinet Inc (Alain BAZINET et Xavier BAZINET)</t>
  </si>
  <si>
    <t>2256781 et 2257126 et 2257127</t>
  </si>
  <si>
    <t>0 Grand Rang</t>
  </si>
  <si>
    <t>148330 : autorisation, Article 16 LATANR. Autorisation d'acquisition par un non résident (France)</t>
  </si>
  <si>
    <t>62,08 ha</t>
  </si>
  <si>
    <t>4061004 CANADA INC Vincenzo BARRASSO</t>
  </si>
  <si>
    <t>2 600 766, 2 600 770</t>
  </si>
  <si>
    <t>3485, chemin Bellerive,
Carignan</t>
  </si>
  <si>
    <t>45.440252</t>
  </si>
  <si>
    <t>-73.325238</t>
  </si>
  <si>
    <t>Hangars (2500 pc et 1500 pc), étables (5000 pc et 2000 pc), 3 silos</t>
  </si>
  <si>
    <t>Délimité au Sud par un cours d'eau. Secteurs bâtis au Nord et au Sud. servitude de passage sur le lot 2 600 765 en faveur du lot 2 600 770 et servitude de passage sur le pont et le chemin situé sur les lots 3 932 737
et 2 601 033, en faveur du lot 2 600 770, pour rejoindre le chemin public
situé au Sud de la Rivière l’Acadie</t>
  </si>
  <si>
    <t>Nathalie Laberge</t>
  </si>
  <si>
    <t>Entreprise Agricole M. Br. Inc. (Michel BRAULT)</t>
  </si>
  <si>
    <t>Boul. Saint-Jean-Baptiste</t>
  </si>
  <si>
    <t>038376 Résultat	Autorisation Détail Utilisation/non/agricole/seule</t>
  </si>
  <si>
    <t>2 W</t>
  </si>
  <si>
    <t>Longue terre</t>
  </si>
  <si>
    <t>Succession Gerard Leblanc</t>
  </si>
  <si>
    <t>15327920 Canada Inc. (Jijo GEORGE) Société de portefeuille</t>
  </si>
  <si>
    <t>5419029, 1688330, 1688332</t>
  </si>
  <si>
    <t>0 ch de la Riviere-Delisle N</t>
  </si>
  <si>
    <t>444408 ; En traitement ; Coupe d'érables</t>
  </si>
  <si>
    <t>PLACEMENTS BARNABÉ GRÉGOIRE INC</t>
  </si>
  <si>
    <t>Maxime L'ÉCUYER</t>
  </si>
  <si>
    <t>2 601 660, 2 601 682, 2 601 659, 2 601 683, 4 221 116</t>
  </si>
  <si>
    <t>4700, chemin de la
Source, Carignan</t>
  </si>
  <si>
    <t xml:space="preserve">servitude de non-accès à l’autoroute 35 et autoroute 10 </t>
  </si>
  <si>
    <t>Lambton</t>
  </si>
  <si>
    <t>Chemin du 1er rang, Lambton</t>
  </si>
  <si>
    <t>45.810624</t>
  </si>
  <si>
    <t>-71.081356</t>
  </si>
  <si>
    <t>Hangar 5 200pc, étable 6 300 pc</t>
  </si>
  <si>
    <t>9381-5900 QUÉBEC INC.</t>
  </si>
  <si>
    <t>GESTION FAMILLE RABY INC</t>
  </si>
  <si>
    <t>3 435 846, 5 437 662, 5 437 663, 5 437 664</t>
  </si>
  <si>
    <t>Saint-christophe-d'arthabaska</t>
  </si>
  <si>
    <t>Accessible, entre deux municplaités</t>
  </si>
  <si>
    <t>Viateur GAGNÉ</t>
  </si>
  <si>
    <t>FERME VILLEMIEUX S.E.N.C Pierre VILLENEUVE, Martin
LEMIEUX et Andréanne VILLENEUVE</t>
  </si>
  <si>
    <t>3 802 950, 3 803 424</t>
  </si>
  <si>
    <t>Rang St-Martin, Saguenay (La Baie)</t>
  </si>
  <si>
    <t>48.436371</t>
  </si>
  <si>
    <t>-70.969412</t>
  </si>
  <si>
    <t>3 bâtiments agricoles mauvais état</t>
  </si>
  <si>
    <t>Boisé CPTAQ</t>
  </si>
  <si>
    <t>Daniel LEBEUF</t>
  </si>
  <si>
    <t>9074-6686 QUÉBEC INC</t>
  </si>
  <si>
    <t>Rang-Saint-Élisabeth Nord, Saint-Prosper-de-Champlain</t>
  </si>
  <si>
    <t>46.633510</t>
  </si>
  <si>
    <t>-72.287037</t>
  </si>
  <si>
    <t>Diane HÉBERT</t>
  </si>
  <si>
    <t>Sylvain THÉROUX</t>
  </si>
  <si>
    <t>Saint-David</t>
  </si>
  <si>
    <t>2-W  et 3 W (20%)</t>
  </si>
  <si>
    <t>5 249 077</t>
  </si>
  <si>
    <t>24,64 ha</t>
  </si>
  <si>
    <t>Marie-Ève TOURIGNY, Martin BARIL</t>
  </si>
  <si>
    <t>FERME VINOY INC. Camille LEBLANC</t>
  </si>
  <si>
    <t>2008, chemin Bellerive,  Carignan</t>
  </si>
  <si>
    <t>45.476895</t>
  </si>
  <si>
    <t>-73.290295</t>
  </si>
  <si>
    <t>Hangar 3 400 pc</t>
  </si>
  <si>
    <t>28 686 481</t>
  </si>
  <si>
    <t>2 103 194, 2 103 242</t>
  </si>
  <si>
    <t>Daniel CONSTANTINEAU, Annette PITRE</t>
  </si>
  <si>
    <t>LES FERMES GILLES ROY &amp; FILS LTÉE</t>
  </si>
  <si>
    <t>boulevard Sainte-Marguerite à Mercier</t>
  </si>
  <si>
    <t>45.327474</t>
  </si>
  <si>
    <t>-73.724071</t>
  </si>
  <si>
    <t>Hangar 40'x25'</t>
  </si>
  <si>
    <t>9143-2583 Québec inc Messieurs Raoul GAUDREAULT et Germain GAUDREAULT</t>
  </si>
  <si>
    <t>Monsieur Michel POTVIN</t>
  </si>
  <si>
    <t>Rang St-Martin, Saguenay (Chicoutimi)</t>
  </si>
  <si>
    <t>48.378553</t>
  </si>
  <si>
    <t>-70.958622</t>
  </si>
  <si>
    <t>2,3,5</t>
  </si>
  <si>
    <t xml:space="preserve">3 bâtiments agricoles état médiocre (2 000, 500, 700 pc), 1 silo </t>
  </si>
  <si>
    <t>Johanne SIMARD</t>
  </si>
  <si>
    <t>9514-1099 QUÉBEC INC</t>
  </si>
  <si>
    <t>4 009 665, 4 009 667, 4 009 682, 4 009 683, 4 010 466, 4 010 467</t>
  </si>
  <si>
    <t>la-jacques-cartier</t>
  </si>
  <si>
    <t>sainte-catherine-de-la-jacques-cartier</t>
  </si>
  <si>
    <t xml:space="preserve">déclivité </t>
  </si>
  <si>
    <t>forme de parcelle irrégulière, plusieurs bâtiments sur la propriété</t>
  </si>
  <si>
    <t>Ferme Notre-Dame S.E.N.C. (Martin LAREAU)</t>
  </si>
  <si>
    <t>2755-1936 Quebec Inc. (Yvon
GUILLOTTE,)</t>
  </si>
  <si>
    <t xml:space="preserve"> 2086797, 5687076, 1811227</t>
  </si>
  <si>
    <t>Richelieu</t>
  </si>
  <si>
    <t>Richelieu, ch des Patriotes</t>
  </si>
  <si>
    <t>63,52</t>
  </si>
  <si>
    <t>57,8</t>
  </si>
  <si>
    <t>Succession De Pierre Leonard (Stéphane DESMARAIS)</t>
  </si>
  <si>
    <t>La Terre D'En Haut Inc. (Catherine MAILHOT)</t>
  </si>
  <si>
    <t>2538471_2 538 469</t>
  </si>
  <si>
    <t>4 bâtisses sur le terain</t>
  </si>
  <si>
    <t>ENTREPRISES G.N.P. INC</t>
  </si>
  <si>
    <t>M.R.E. CONSULTANTS INC</t>
  </si>
  <si>
    <t>5 145 148, 5 145 152, 5 145 149, 5 145 147</t>
  </si>
  <si>
    <t>21.7 d'acéricole dans le boisé, accessible</t>
  </si>
  <si>
    <t>ENTREPRISE COUVOIR CÔTÉ S.E.C Jean-Yves LAVOIE</t>
  </si>
  <si>
    <t>FERME M.G. LÉVESQUE &amp; FILS INC</t>
  </si>
  <si>
    <t>Ange-Gardien</t>
  </si>
  <si>
    <t>Chemin du Lac-Bleu, Ange-Gardien</t>
  </si>
  <si>
    <t>45.355828</t>
  </si>
  <si>
    <t>-72.924253</t>
  </si>
  <si>
    <t>Danielle PAQUET</t>
  </si>
  <si>
    <t>FERME VALSE INC Sébastien Grondin</t>
  </si>
  <si>
    <t>2 059 665, 2 295 995, 2 295 996</t>
  </si>
  <si>
    <t>46.757542</t>
  </si>
  <si>
    <t>-71.114011</t>
  </si>
  <si>
    <t>9300-0610 QUÉBEC INC Sylvain COURNOYER</t>
  </si>
  <si>
    <t>FERME MARTIN RACICOT INC</t>
  </si>
  <si>
    <t>2 707 249, 6 363 770, 6 363 771</t>
  </si>
  <si>
    <t>4e Rang à Saint-Hugues</t>
  </si>
  <si>
    <t>45.807816</t>
  </si>
  <si>
    <t>-72.814340</t>
  </si>
  <si>
    <t>Complexe laitier</t>
  </si>
  <si>
    <t>servitude réelle et perpétuelle de droit de passage et de convention d’épandage en faveur du lot 2 707 249</t>
  </si>
  <si>
    <t xml:space="preserve">28 710 204 </t>
  </si>
  <si>
    <t>3 732 786</t>
  </si>
  <si>
    <t>Burke Daniel</t>
  </si>
  <si>
    <t>Soumis Benjamin</t>
  </si>
  <si>
    <t>4 719 932</t>
  </si>
  <si>
    <t>-77.889463</t>
  </si>
  <si>
    <t>Maraît au bout du lot</t>
  </si>
  <si>
    <r>
      <t xml:space="preserve">Denis </t>
    </r>
    <r>
      <rPr>
        <i/>
        <sz val="11"/>
        <color theme="1"/>
        <rFont val="Helvetica"/>
        <family val="2"/>
      </rPr>
      <t>PLANTE</t>
    </r>
  </si>
  <si>
    <t>FERME FRANÇOIS GOSSELIN INC.</t>
  </si>
  <si>
    <t>6 037 908, 6357 942</t>
  </si>
  <si>
    <t>Saint-laurent-de-l'ile-d'orléans</t>
  </si>
  <si>
    <t>fomre irrégulière, en arrière d'un lotissement</t>
  </si>
  <si>
    <t>Ferme Schwarzmayr Ltee. ( Rudolf SCHWARZMAYR)</t>
  </si>
  <si>
    <t>Ferme Luc Et P-H Seers Inc.(Luc SEERS)</t>
  </si>
  <si>
    <t>6060508, 6060572</t>
  </si>
  <si>
    <t>Chemin de la haute-rivière</t>
  </si>
  <si>
    <t>Article 16 LATANR (autorisé) - 148600</t>
  </si>
  <si>
    <t>70 % imparfait, 20 % bon et 10 % excessif</t>
  </si>
  <si>
    <t>Rémi GUAY, Stéphane GUAY, Patrice GUAY, Marise GUAY</t>
  </si>
  <si>
    <t>rang Sainte-Hélène, Saint-Patricede-Beaurivage</t>
  </si>
  <si>
    <t>46.446891</t>
  </si>
  <si>
    <t>-71.256701</t>
  </si>
  <si>
    <t>Ligne Hydro-Qébec</t>
  </si>
  <si>
    <t>FERME O.M. VERMETTE INC.</t>
  </si>
  <si>
    <t>J.N. PARÉ &amp; FILS INC</t>
  </si>
  <si>
    <t>3 197 857, 3 197 858, 3 197 856</t>
  </si>
  <si>
    <t>46.731263</t>
  </si>
  <si>
    <t>-70.855298</t>
  </si>
  <si>
    <t>Christian Boisvert</t>
  </si>
  <si>
    <t>Richere Celeste Foisy</t>
  </si>
  <si>
    <t>115 000</t>
  </si>
  <si>
    <t>0 rte 337</t>
  </si>
  <si>
    <t>Ferme Benjamin Inc. (Pierre BENJAMIN,)</t>
  </si>
  <si>
    <t>Ferme Vallee Des Ruisseaux Inc. (André VIENS)</t>
  </si>
  <si>
    <t xml:space="preserve"> 1658015, 1657612</t>
  </si>
  <si>
    <t>Marieville</t>
  </si>
  <si>
    <t>du Ruisseau-Saint-Louis O</t>
  </si>
  <si>
    <t>2-W et 3-FW</t>
  </si>
  <si>
    <t>29,7</t>
  </si>
  <si>
    <t>28 731 227 </t>
  </si>
  <si>
    <r>
      <t> </t>
    </r>
    <r>
      <rPr>
        <b/>
        <sz val="11"/>
        <color theme="1"/>
        <rFont val="Arial"/>
        <family val="2"/>
      </rPr>
      <t>LES PLACEMENTS ROGER NICOLET INC.</t>
    </r>
  </si>
  <si>
    <r>
      <t> </t>
    </r>
    <r>
      <rPr>
        <b/>
        <sz val="11"/>
        <color theme="1"/>
        <rFont val="Arial"/>
        <family val="2"/>
      </rPr>
      <t>RETRAITE JPYM INC </t>
    </r>
  </si>
  <si>
    <t>5 385 885, 5 386 116, 5 386 119, 5 664 592, 5 664 593, 6 699 004, 6 699 005</t>
  </si>
  <si>
    <t>7 &amp; 5</t>
  </si>
  <si>
    <t>TR</t>
  </si>
  <si>
    <t>Grande terre, forme de parcelles</t>
  </si>
  <si>
    <t>Monsieur Onil MARCOUX</t>
  </si>
  <si>
    <t>FERME HEBERTOISE</t>
  </si>
  <si>
    <t>5 180 699</t>
  </si>
  <si>
    <t>Belle parcelle, pas de boisé, accessible, bonne coparable plafond.</t>
  </si>
  <si>
    <t>28 745 306</t>
  </si>
  <si>
    <t>5 249 819, 6 628 498</t>
  </si>
  <si>
    <t>FERME NOTRE-DAME S.E.N.C Martin LAREAU</t>
  </si>
  <si>
    <t>2755-1936 QUÉBEC INC Yvon GUILLOTTE</t>
  </si>
  <si>
    <t>1 811 227, 2 086 797, 5 687 076</t>
  </si>
  <si>
    <t>Chemin des Patriotes, Richelieu</t>
  </si>
  <si>
    <t>45.403975</t>
  </si>
  <si>
    <t>-73.244073</t>
  </si>
  <si>
    <t>Serge HÉBERT</t>
  </si>
  <si>
    <t>LES FERMES BORDELAIT &amp; FILS ENR (Robert BOURDEAU)</t>
  </si>
  <si>
    <t>Sant-Rémi</t>
  </si>
  <si>
    <t>Rang Ste-Thérèse, Sant-Rémi</t>
  </si>
  <si>
    <t>45.285783</t>
  </si>
  <si>
    <t>-73.630945</t>
  </si>
  <si>
    <t>Nicole BESSETTE,</t>
  </si>
  <si>
    <t>9348-8187 QUÉBEC</t>
  </si>
  <si>
    <t>Saint-Alexandre</t>
  </si>
  <si>
    <t>301 Grand-ligne, Saint-Alexandre</t>
  </si>
  <si>
    <t>Bâtiment sur la propriété, boisé et bonne forme de parcelles, drainnée</t>
  </si>
  <si>
    <t>Rémy BOUTIN</t>
  </si>
  <si>
    <t>FRUITÈRE LALIBERTÉ INC.</t>
  </si>
  <si>
    <t xml:space="preserve">2 639 620 </t>
  </si>
  <si>
    <t>Rue des érables, Saint-Lambert-de-Lauzon</t>
  </si>
  <si>
    <t>FERME D’ÉLEVAGE V.B. INC.</t>
  </si>
  <si>
    <t>LES ÉLEVAGES GIMIC INC</t>
  </si>
  <si>
    <t>215, route Beaurivage, Saint-Sylvestre</t>
  </si>
  <si>
    <t>46.366217</t>
  </si>
  <si>
    <t>-71.194338</t>
  </si>
  <si>
    <t>servitude de passage, de conduite d’aqueduc et de tolérance pour le
passage de fil électrique</t>
  </si>
  <si>
    <t>FERME PROMAT INC Mathieu Geoffrion</t>
  </si>
  <si>
    <t>LES ENTREPRISES FONTAGRO INC Luc Fontaine</t>
  </si>
  <si>
    <t>1 912 203, 2 402 331, 3 560 603, 2 402 351</t>
  </si>
  <si>
    <t>1360,
Général-Vanier, Boucherville</t>
  </si>
  <si>
    <t>45.629829</t>
  </si>
  <si>
    <t>-73.422489</t>
  </si>
  <si>
    <t>2 hangars de 2000 pc chacun</t>
  </si>
  <si>
    <t>servitude de passage en faveur du lot 1 912 200 et rvitude de passage pour fins agricoles
sur le lot 1 912 733 sur le « chemin actuel » pour communiquer au chemin de
traverse sur la route 132 et</t>
  </si>
  <si>
    <t>Les Placements Cadillac Inc. (Lucie VEILLET)</t>
  </si>
  <si>
    <t>Les Entreprises Leandre Viau Inc.</t>
  </si>
  <si>
    <t>4711706, 4 711 705</t>
  </si>
  <si>
    <t>Terre proximité devlop. Très grosse terre,</t>
  </si>
  <si>
    <t>9005-4834 QUEBEC INC (JEAN PROULX)</t>
  </si>
  <si>
    <t>5 433 038, 5 434 406, 5 434  261</t>
  </si>
  <si>
    <t>Route Marie-Victorin, Baie-du-Febvre</t>
  </si>
  <si>
    <t>46.118145</t>
  </si>
  <si>
    <t>-72.764145</t>
  </si>
  <si>
    <t>Madame Line SIMARD</t>
  </si>
  <si>
    <t>4 012 859, 4 242 418, 4 242 419, 4 242 420, 4 242 421, 4 242 422, 4 242 424, 4 242 425, 5199295, 5199296, 5199297, 5199298</t>
  </si>
  <si>
    <t>route de l’Anse-à-Benjamin, Saguenay (La Baie)</t>
  </si>
  <si>
    <t>48.386435</t>
  </si>
  <si>
    <t>-70.882140</t>
  </si>
  <si>
    <t>3 bâtiments agricoles état moyen (3 500, 1 000 et 400 pc)</t>
  </si>
  <si>
    <t>Servitude de passage motoneiges</t>
  </si>
  <si>
    <t>28 768 540</t>
  </si>
  <si>
    <t>2 103 177, 6 428 169</t>
  </si>
  <si>
    <t>FERME PAVO SENC</t>
  </si>
  <si>
    <t>FERME ROBERT CÔTÉ INC</t>
  </si>
  <si>
    <t>Rang Saint-Joseph, la Visitation-de-Yamaska
Saint-Thuribe</t>
  </si>
  <si>
    <t>46.118039</t>
  </si>
  <si>
    <t>-72.620400</t>
  </si>
  <si>
    <t>Succession Santa Gilda Fortino</t>
  </si>
  <si>
    <t>Andre-Guy Riendeau</t>
  </si>
  <si>
    <t>FERME MARCEL PARENT ET FILS INC</t>
  </si>
  <si>
    <t>2 639 572,2 639 574</t>
  </si>
  <si>
    <t>saint-lambert-de-lauzon</t>
  </si>
  <si>
    <t>rue Bellevue</t>
  </si>
  <si>
    <t>bordure de la rivière chaudière</t>
  </si>
  <si>
    <t>2 639 572, 2 639 574</t>
  </si>
  <si>
    <t>-71.196889</t>
  </si>
  <si>
    <t>ouii</t>
  </si>
  <si>
    <t>FERME TOUTCOURT, S.E.N.C.</t>
  </si>
  <si>
    <t>DÉVELOPPEMENT McCLUSKEY SAINT-AGAPIT INC.</t>
  </si>
  <si>
    <t>3 640 160</t>
  </si>
  <si>
    <t>179-162 2e rang ouest</t>
  </si>
  <si>
    <t>Vente à une société de développement donc pirx élevé</t>
  </si>
  <si>
    <t>DOMAINE CHARCO DE GRUYÈRE INC</t>
  </si>
  <si>
    <t>9185-1352 QUÉBEC INC</t>
  </si>
  <si>
    <t>5 619 411, 5 619 410, 5 618 168, 5 619 409</t>
  </si>
  <si>
    <t>Rang du Village-Jacob, Sainte-Geneviève de Batiscan</t>
  </si>
  <si>
    <t>46.576854</t>
  </si>
  <si>
    <t>-72.341426</t>
  </si>
  <si>
    <t>Léger potentiel acéricole</t>
  </si>
  <si>
    <t xml:space="preserve">28 780 394 </t>
  </si>
  <si>
    <t>5 289 677, 6 241 652, 5  288 909, 5  019  169</t>
  </si>
  <si>
    <t>Saint-Francois-du-lac</t>
  </si>
  <si>
    <t>FERME JULES CôTÉ ET FILS INC.</t>
  </si>
  <si>
    <t>MUNICIPALTÉ SAINT-LAMBERT</t>
  </si>
  <si>
    <t>Rue Sait-aimé, Saint-Lamber-de-Lazon</t>
  </si>
  <si>
    <t>Michel GUIMONT</t>
  </si>
  <si>
    <t>LÉGUMIER MARCOUX INC.</t>
  </si>
  <si>
    <t>3 387 807, 6 584 822</t>
  </si>
  <si>
    <t>saint-antoine-de-tilly</t>
  </si>
  <si>
    <t>route Marie-victorin</t>
  </si>
  <si>
    <t>terre accessible, sur la bordure de lévis et saint-antoine</t>
  </si>
  <si>
    <t>Karl ROUSSEAU</t>
  </si>
  <si>
    <t>Olivier BOUCHER, Karine ROBERGE</t>
  </si>
  <si>
    <t>6 186 697</t>
  </si>
  <si>
    <t xml:space="preserve">Potentiel acéricole sur la terre et érablière </t>
  </si>
  <si>
    <t>Yves LIZÉ</t>
  </si>
  <si>
    <t>Thérèse GRAND-MAISON</t>
  </si>
  <si>
    <t>Route de Saint-Prosper, Sainte-Anne de la Pérade</t>
  </si>
  <si>
    <t>46.587702</t>
  </si>
  <si>
    <t>-72.248197</t>
  </si>
  <si>
    <t>FERME RELAIN INC.,</t>
  </si>
  <si>
    <t>PORCHERIE MARIGRO INC.</t>
  </si>
  <si>
    <t>5 500 598</t>
  </si>
  <si>
    <t>Chemin st-Rémi</t>
  </si>
  <si>
    <t>FP</t>
  </si>
  <si>
    <t>Belle parcelle de bonne forme et de bonne qualité</t>
  </si>
  <si>
    <t>Pierre-Luc Poissant</t>
  </si>
  <si>
    <t>Ferme Jacques Leduc &amp; Fils Inc. (Patrick LEDUC)</t>
  </si>
  <si>
    <t>Saint-Étienne-de-Beauharnois</t>
  </si>
  <si>
    <t>Chemin St-Louis</t>
  </si>
  <si>
    <t>Bon (30%) et imparfait (70%)</t>
  </si>
  <si>
    <t>Gros lot avec petite sectoin boisé au sud</t>
  </si>
  <si>
    <t>Denis TOUPIN</t>
  </si>
  <si>
    <t>Maude L'HEUREUX, George Leon LAZAROAE</t>
  </si>
  <si>
    <t>3 092 489</t>
  </si>
  <si>
    <t>Rue Cheverie, Saint-Jean-sur-Richelieu</t>
  </si>
  <si>
    <t>-73.364408</t>
  </si>
  <si>
    <t>45.350070</t>
  </si>
  <si>
    <t>Boisé mixte (dominance feuillus), non drainée</t>
  </si>
  <si>
    <t>238282 (autorise enlèvement de sable)</t>
  </si>
  <si>
    <t>FERME D’ANJOU &amp; FILS INC.</t>
  </si>
  <si>
    <t>9518-0360 QUÉBEC INC.</t>
  </si>
  <si>
    <t>5 555 640</t>
  </si>
  <si>
    <t>179-169 Rang ouest</t>
  </si>
  <si>
    <t>prix élevé</t>
  </si>
  <si>
    <t>Normand DEMERS</t>
  </si>
  <si>
    <t>Rang St-Raphale, Laprairie</t>
  </si>
  <si>
    <t>45.387040</t>
  </si>
  <si>
    <t>-73.427638</t>
  </si>
  <si>
    <t>FERME GERLAC INC</t>
  </si>
  <si>
    <t>FERME BLONDEAU 2000 INC</t>
  </si>
  <si>
    <t>4 905 226, 4 905 221</t>
  </si>
  <si>
    <t>terre parcelles irrégulières, drainnée</t>
  </si>
  <si>
    <r>
      <t> </t>
    </r>
    <r>
      <rPr>
        <b/>
        <sz val="10"/>
        <color theme="1"/>
        <rFont val="Arial"/>
        <family val="2"/>
      </rPr>
      <t>FERME RIVIÈRE PORTNEUF S.E.N.C </t>
    </r>
  </si>
  <si>
    <r>
      <t> </t>
    </r>
    <r>
      <rPr>
        <b/>
        <sz val="10"/>
        <color theme="1"/>
        <rFont val="Arial"/>
        <family val="2"/>
      </rPr>
      <t>9504-9169 QUÉBEC INC. </t>
    </r>
  </si>
  <si>
    <t>4 009 943,4 009 967,4 009 966,4 009 941,4 009 904,4 009 905,4 009 907,4 009 908,4 009 961,4 009 962,4 009 963,4 215 498,5 279 326</t>
  </si>
  <si>
    <r>
      <t> </t>
    </r>
    <r>
      <rPr>
        <b/>
        <sz val="10"/>
        <color theme="1"/>
        <rFont val="Arial"/>
        <family val="2"/>
      </rPr>
      <t>rang Saint-Jacques, </t>
    </r>
  </si>
  <si>
    <t>pente importante 
au nord des terres</t>
  </si>
  <si>
    <t>Grande terres avec partie boisé au nord, grande déclivité dans les boié, ruisseau semble passer au nord des terres.</t>
  </si>
  <si>
    <t>MIÉLINA INC (Nancie Richard)</t>
  </si>
  <si>
    <t>FERME YVON RICHARD ET FILS INC. (Sylvain Richard)</t>
  </si>
  <si>
    <t>rang Terrebonne, Pont-Rouge</t>
  </si>
  <si>
    <t>46.757802</t>
  </si>
  <si>
    <t>-71.754688</t>
  </si>
  <si>
    <t>Tracteur, semoir, fourragère, faucheuse, charrue, pompe et citerne à fumier</t>
  </si>
  <si>
    <t>J. ET R. PERREAULT INC</t>
  </si>
  <si>
    <t>FERME C. ROGER ET FILS INC</t>
  </si>
  <si>
    <t>rang Saint-Charles, Saint-Patrice-de-Beaurivage</t>
  </si>
  <si>
    <t>46.421647</t>
  </si>
  <si>
    <t>-71.266477</t>
  </si>
  <si>
    <t>FERME RMT 2014 INC</t>
  </si>
  <si>
    <t>9496-3238 QUÉBEC INC</t>
  </si>
  <si>
    <t>5 169 699, 5 169 704</t>
  </si>
  <si>
    <t>petit-5eme rang, Sainte-Hélène-de-Kamouraska</t>
  </si>
  <si>
    <t>47.576636</t>
  </si>
  <si>
    <t>-69.685312</t>
  </si>
  <si>
    <t>Partie inondable</t>
  </si>
  <si>
    <t>FERME JONOIT INC</t>
  </si>
  <si>
    <t>FERME K. LABONTÉ INC</t>
  </si>
  <si>
    <t>6 604 231,6 604 232</t>
  </si>
  <si>
    <t>Saint-Narcisse-de-Beaurivage</t>
  </si>
  <si>
    <t>rang Saint-Thomas</t>
  </si>
  <si>
    <t>Bâtiments agris sur la pripriété</t>
  </si>
  <si>
    <t>Gilles MARTEL</t>
  </si>
  <si>
    <t>David BLOUIN, Karolane FIOLA</t>
  </si>
  <si>
    <t>3826760, 3826759, 3826458, 3826468</t>
  </si>
  <si>
    <t>37 rang du Petit-Fossambault, Pont-Rouge</t>
  </si>
  <si>
    <t>46.785521</t>
  </si>
  <si>
    <t>-71.586878</t>
  </si>
  <si>
    <t> 3 684 907, 1 734 600</t>
  </si>
  <si>
    <t>deux-montagnes</t>
  </si>
  <si>
    <t>saint-joseph-du-lac</t>
  </si>
  <si>
    <t>28 842 410</t>
  </si>
  <si>
    <t>M. DENIS LAMONTAGNE</t>
  </si>
  <si>
    <t>FERME DE LA RIVIÈRE AUX CERISES INC</t>
  </si>
  <si>
    <t>3 274 933</t>
  </si>
  <si>
    <t>chemin Roy</t>
  </si>
  <si>
    <t>Mesure</t>
  </si>
  <si>
    <t>Belle terre, bonne forme de parcelle, cultivée en entièretée</t>
  </si>
  <si>
    <t>BERGERIE JOANAT</t>
  </si>
  <si>
    <t>Paul-Étienne CHARRETTE, Susie BRISSON</t>
  </si>
  <si>
    <t>4 987 014</t>
  </si>
  <si>
    <t>Les Hauteurs</t>
  </si>
  <si>
    <t>333-329 Rang 2 et 3 Ouest</t>
  </si>
  <si>
    <t>Résidence sur le terrain, potentiel acéricole dans le nord de la terre</t>
  </si>
  <si>
    <t>28 847 760</t>
  </si>
  <si>
    <t>Jean-Paul ROY</t>
  </si>
  <si>
    <t>LIGNA SYSTEMS INC.</t>
  </si>
  <si>
    <t>6 622 203, 6 628 435, 6 628 436, 6 632 995</t>
  </si>
  <si>
    <t>Bonne forme de parcelle, enclavée, ituée dans le village de stanstead</t>
  </si>
  <si>
    <t>Pierrette POULIN (Jean MORIN, mandataire)</t>
  </si>
  <si>
    <t>9515-7467 QUÉBEC INC Pierre-Olivier ALLARD et ASPIROTLEBRASSEUR</t>
  </si>
  <si>
    <t>3e Rang,
Saint-Augustin-de-Desmaures</t>
  </si>
  <si>
    <t>46.760095</t>
  </si>
  <si>
    <t>-71.498806</t>
  </si>
  <si>
    <t>Présence d'un hangar</t>
  </si>
  <si>
    <t>Succession Noel Depuis (Raymonde Dupuis)</t>
  </si>
  <si>
    <t>Ferme Milaneau 2004 Inc. (Stéphane LANOUE)</t>
  </si>
  <si>
    <t>3-4P 5-4P 2-2X</t>
  </si>
  <si>
    <t>Bruno GAGNON</t>
  </si>
  <si>
    <t>48.386783</t>
  </si>
  <si>
    <t>-70.976114</t>
  </si>
  <si>
    <t xml:space="preserve">18927827 mls - 28 924 749	</t>
  </si>
  <si>
    <t>INVESTISSEMENTS IMMOBILIERS STÉPHANE POIRIER INC.</t>
  </si>
  <si>
    <t>9464-6783 QUÉBEC INC. (Nicolas DINE)</t>
  </si>
  <si>
    <t>Ch. de la Baie</t>
  </si>
  <si>
    <t>7-T (65%) 2W</t>
  </si>
  <si>
    <t>Bon</t>
  </si>
  <si>
    <t>Petite terre</t>
  </si>
  <si>
    <t>FERME PROMEST INC.</t>
  </si>
  <si>
    <t>RANCH AC QUARTER HORSE INC.</t>
  </si>
  <si>
    <t>3 689 089</t>
  </si>
  <si>
    <t>371-373 Rang 3e Est</t>
  </si>
  <si>
    <t>LES P'TITS FRUITS CHAMPÊTRES INC.</t>
  </si>
  <si>
    <t>Maurice DESROSIERS,Monique LIZOTTE</t>
  </si>
  <si>
    <t>3 754 691,3 755 112,4 371 437,4 371 654</t>
  </si>
  <si>
    <t>Sain-joseph-de-Lepage</t>
  </si>
  <si>
    <t xml:space="preserve">105 4e Rang est </t>
  </si>
  <si>
    <t>Propriété vendue a 750 000$ mais les acheteurs on payés 150 000$ pour la terre.</t>
  </si>
  <si>
    <t>6 500 160, 6 500 161</t>
  </si>
  <si>
    <t>Notre-Dame-Des-Bois</t>
  </si>
  <si>
    <t>Route du Parc, Notre-Dame-Des-Bois</t>
  </si>
  <si>
    <t>45.425710</t>
  </si>
  <si>
    <t>-71.091041</t>
  </si>
  <si>
    <t>Doris BEAUMONT</t>
  </si>
  <si>
    <t>FERME ROGER CANTIN ET FILS INC</t>
  </si>
  <si>
    <t>6 621 509,4 010 354,4 009 587,4 009 982,4 009 599,4 009 995</t>
  </si>
  <si>
    <t>Bâtiment sur la propriété</t>
  </si>
  <si>
    <t>6 621 509, 4 010 354, 4 009 587, 4 009 982, 4 009 599, 4 009 995</t>
  </si>
  <si>
    <t>rang Brûlé, Pont-Rouge</t>
  </si>
  <si>
    <t>46.817962</t>
  </si>
  <si>
    <t>-71.679504</t>
  </si>
  <si>
    <t>28 874 898</t>
  </si>
  <si>
    <t>Lloyd Williams ROWE</t>
  </si>
  <si>
    <t>LES CULTURES ASM S.E.N.C. Antoine LANCTÔT, Samuel LANCTÔT, Maurice
LANCTÔT,</t>
  </si>
  <si>
    <t>1 385 463, 1 386 694</t>
  </si>
  <si>
    <t>519, chemin Spring, Ascot Corner</t>
  </si>
  <si>
    <t>-71.775532</t>
  </si>
  <si>
    <t xml:space="preserve">1 386 694 devenu 6 667 023 et 6 667 024. Servitude de droit de passage. Résidence vendue avec droit acquis. Passage ligne Hydro-Québec
</t>
  </si>
  <si>
    <t>Eliane DOYON,</t>
  </si>
  <si>
    <t>ÉRABLIÈRE SER INC</t>
  </si>
  <si>
    <t>4 337 891</t>
  </si>
  <si>
    <t>Superfcie acéricole importante dans le boisé</t>
  </si>
  <si>
    <t xml:space="preserve">28 911 451 </t>
  </si>
  <si>
    <t>5 077 625</t>
  </si>
  <si>
    <t>9163-8098 QUÉBEC INC.</t>
  </si>
  <si>
    <t>FERME LAIT-TESSIER INC.</t>
  </si>
  <si>
    <t>6 207 946</t>
  </si>
  <si>
    <t>Wotton</t>
  </si>
  <si>
    <t>terrain sur la route 216</t>
  </si>
  <si>
    <t>6 569 465, 5 115 580, 4 763 948</t>
  </si>
  <si>
    <t>3e Rang, Témiscouata-sur-le-Lac</t>
  </si>
  <si>
    <t>47.571948</t>
  </si>
  <si>
    <t>-68.797738</t>
  </si>
  <si>
    <t>Bâtiment laitier 13 000 pc</t>
  </si>
  <si>
    <t>Construction Roger Bilodeau Inc.</t>
  </si>
  <si>
    <t>Societe En Commandite Mardin</t>
  </si>
  <si>
    <t>500 000</t>
  </si>
  <si>
    <t>Boisé amémnagé</t>
  </si>
  <si>
    <t>FERME FORVINO INC.,</t>
  </si>
  <si>
    <t>RENÉ GAGNÉ</t>
  </si>
  <si>
    <t>(4 084 244</t>
  </si>
  <si>
    <t>sainte-hénédine</t>
  </si>
  <si>
    <t>1123, route Sainte-Thérèse</t>
  </si>
  <si>
    <t>Belle forme de parcelles, déclivité peut poser problème</t>
  </si>
  <si>
    <t>MME LISE BAZINET LAMBERT, M. RÉAL (alias LAMBERT) LAMBERT</t>
  </si>
  <si>
    <t>LES FERMES ROSAIRE BIENVENU INC Pierre Bienvenu</t>
  </si>
  <si>
    <t>3556656, 3 556 977, 1 345 783,1 345 791</t>
  </si>
  <si>
    <t>Saint-Valérien-de-Milton et St-Liboire</t>
  </si>
  <si>
    <t>45.595775</t>
  </si>
  <si>
    <t>-72.746095</t>
  </si>
  <si>
    <t>Plusieurs bâtiments état moyen</t>
  </si>
  <si>
    <t>Monsieur Jean MOREAU,Monsieur Renaud MOREAU</t>
  </si>
  <si>
    <t>FERME DU GAMBLEUR SENC,</t>
  </si>
  <si>
    <t>6 592 728</t>
  </si>
  <si>
    <r>
      <t>5</t>
    </r>
    <r>
      <rPr>
        <i/>
        <sz val="7"/>
        <color theme="1"/>
        <rFont val="Helvetica"/>
        <family val="2"/>
      </rPr>
      <t xml:space="preserve">e </t>
    </r>
    <r>
      <rPr>
        <i/>
        <sz val="10"/>
        <color theme="1"/>
        <rFont val="Helvetica"/>
        <family val="2"/>
      </rPr>
      <t>Rang</t>
    </r>
  </si>
  <si>
    <t>Grande terre, bonne forme de parcelle, pas de FADQ</t>
  </si>
  <si>
    <t>LES FERMES A. ROBIDOUX INC</t>
  </si>
  <si>
    <t>LES FERMES YELLE INC Maxime YELLE</t>
  </si>
  <si>
    <t>2 867 350, 2 867 418, 2 867 423</t>
  </si>
  <si>
    <t>Saint-Isidore et Saint-Constant</t>
  </si>
  <si>
    <t>Chemin de St-Rémi, St-Isidore</t>
  </si>
  <si>
    <t>45.328051</t>
  </si>
  <si>
    <t>-73.637140</t>
  </si>
  <si>
    <t>318678 (Aliénation / lotissement,Morcellement de ferme Utilisation non agricole seule,Agrand. usage exist. ou access,Résid. non rattach. à une terr)</t>
  </si>
  <si>
    <t>Yves Longere</t>
  </si>
  <si>
    <t>Ferme Guy Laurin Inc.</t>
  </si>
  <si>
    <t>0 rang Grande Ligne</t>
  </si>
  <si>
    <t>x</t>
  </si>
  <si>
    <t>Succession De Laurent Menard (Marie-Claude SAUVÉ)</t>
  </si>
  <si>
    <t>9107-1712 Quebec Inc. (Michel PROULX)</t>
  </si>
  <si>
    <t>2048938, 2 046 661</t>
  </si>
  <si>
    <t>0 ch St-Gregoire</t>
  </si>
  <si>
    <t>PRIX : Terre proximité devlop.</t>
  </si>
  <si>
    <t>Nicholas KEURENTJES, FERME AGRI K INC (Nicholas KEURENTJES)</t>
  </si>
  <si>
    <t>DELFLAND INC (Éric VAN WINDEN)</t>
  </si>
  <si>
    <t>4 539 205, 4 538 872, 5 826 824</t>
  </si>
  <si>
    <t>St-Cyprien-de-Napierville</t>
  </si>
  <si>
    <t>45.189439</t>
  </si>
  <si>
    <t>-73.381294</t>
  </si>
  <si>
    <t>O-</t>
  </si>
  <si>
    <t>Accessible par une servitude de passage (chemin), contigue à 2 bâtiments d'engraissement (porc)</t>
  </si>
  <si>
    <t>Plusieurs autorisations pour morcellement</t>
  </si>
  <si>
    <t>Vincent Menard</t>
  </si>
  <si>
    <t>Ferme Thivierge Et Freres Inc. (Véronique SAMSON)</t>
  </si>
  <si>
    <t xml:space="preserve"> 6634218, 5772997</t>
  </si>
  <si>
    <t>83,63 ha</t>
  </si>
  <si>
    <t>4-6MF 4-4WF</t>
  </si>
  <si>
    <t>4,8</t>
  </si>
  <si>
    <t>28 999 274</t>
  </si>
  <si>
    <t>2 893 749, 2 893 750</t>
  </si>
  <si>
    <t>29082359 et 29082366</t>
  </si>
  <si>
    <t>Johanne Pitre</t>
  </si>
  <si>
    <t>Les Fermes J.P. Laberge Inc. (Martin LABERGE)</t>
  </si>
  <si>
    <t>6062738, 6633711 et 6633710</t>
  </si>
  <si>
    <t>imparfait</t>
  </si>
  <si>
    <t>Denise BIENVENUE</t>
  </si>
  <si>
    <t>LES ENTREPRISES MICHAUDVILLE INC Julie Phaneuf</t>
  </si>
  <si>
    <t>4 149 451, 4 149 454, 4 779 256, 4 148 991</t>
  </si>
  <si>
    <t>rue Chabot, à Saint-Jean-Baptiste</t>
  </si>
  <si>
    <t>448790, 419023 (remblai)</t>
  </si>
  <si>
    <r>
      <t> </t>
    </r>
    <r>
      <rPr>
        <b/>
        <sz val="12"/>
        <color theme="1"/>
        <rFont val="Times New Roman"/>
        <family val="1"/>
      </rPr>
      <t>Jacques BOUDREAU </t>
    </r>
  </si>
  <si>
    <r>
      <t> </t>
    </r>
    <r>
      <rPr>
        <b/>
        <sz val="12"/>
        <color theme="1"/>
        <rFont val="Times New Roman"/>
        <family val="1"/>
      </rPr>
      <t>Keven MOREAU, Ginette MOREAU, Réjean MOREAU</t>
    </r>
  </si>
  <si>
    <t>3 384 887 </t>
  </si>
  <si>
    <t>Route 273 </t>
  </si>
  <si>
    <t>terre de petite taille, située a proximité de la ville</t>
  </si>
  <si>
    <t>FERME MARTINOISE INC.</t>
  </si>
  <si>
    <t>9145-7358 Québec inc.</t>
  </si>
  <si>
    <t>4319135, 4319136, 4319137,4321377,43213728,4319127</t>
  </si>
  <si>
    <t>rivière-ouelle</t>
  </si>
  <si>
    <t>Rang de l'évantail</t>
  </si>
  <si>
    <t>1 lots séparés, semble avoir des fosses terre planes de bonnes qualités</t>
  </si>
  <si>
    <t>4 939 635</t>
  </si>
  <si>
    <t>29 050 433</t>
  </si>
  <si>
    <t xml:space="preserve"> 6 419 411</t>
  </si>
  <si>
    <t>Saint-Gérard-Majella</t>
  </si>
  <si>
    <t>LES FERMES RIVEST, BOURGEOIS INC. (Yvan Lépine)</t>
  </si>
  <si>
    <t>CULTURES BRISSON INC. (André Brisson)</t>
  </si>
  <si>
    <t>Chemin Lane</t>
  </si>
  <si>
    <t>Agathe CHAPDELAINE</t>
  </si>
  <si>
    <t>R S P GAUDETTE INC</t>
  </si>
  <si>
    <t>6 639 686, 3 407 952</t>
  </si>
  <si>
    <t>Route 137, Saint-Denis-sur-Richelieu</t>
  </si>
  <si>
    <t>Mario Montpetit</t>
  </si>
  <si>
    <t>Ferme J.F. Parent Inc. (Jean-François Parent)</t>
  </si>
  <si>
    <t>Très Saint-Sacrement</t>
  </si>
  <si>
    <t>Chemin de la Rivière-Châteauguay</t>
  </si>
  <si>
    <t>33,17 ha</t>
  </si>
  <si>
    <t>Autorisation : Aliénation/Lotissement,Autres aliénations</t>
  </si>
  <si>
    <t>André JOLIN</t>
  </si>
  <si>
    <t>ENTREPRISE SSJN INC.</t>
  </si>
  <si>
    <t>4 414 601</t>
  </si>
  <si>
    <t>Saint-Gédéon-De-Beauce</t>
  </si>
  <si>
    <t>Superficie acéricole dans le boisé, bonne forme de parcelle</t>
  </si>
  <si>
    <t xml:space="preserve">Rosa Champagne </t>
  </si>
  <si>
    <t>Ferme Acton Inc. (Jacques PROVOST)</t>
  </si>
  <si>
    <t xml:space="preserve"> 2603092, 2603090, 2603091, 6276185</t>
  </si>
  <si>
    <t>53,66 ha</t>
  </si>
  <si>
    <t>3-6WP 4-4P</t>
  </si>
  <si>
    <t>29 091 634</t>
  </si>
  <si>
    <t>FERME D.R. INC Daniel ROUSSIN</t>
  </si>
  <si>
    <t>FERME DENIS SAVOIE INC Denis SAVOIE et Mathieu SAVOIE</t>
  </si>
  <si>
    <t>2 719 979</t>
  </si>
  <si>
    <t>rang Saint-Luc, Saint-Bernard</t>
  </si>
  <si>
    <t>-71.134665</t>
  </si>
  <si>
    <t>Sableux</t>
  </si>
  <si>
    <t>Jocelyn BOUSQUET</t>
  </si>
  <si>
    <t>MARTIN ET CHRISTIAN GIROUARD S.E.N.C.,</t>
  </si>
  <si>
    <t>St-Charles-sur-Richelieu</t>
  </si>
  <si>
    <t>3e rang Nord, St-Charles-sur-Richelieu</t>
  </si>
  <si>
    <t>45.690957</t>
  </si>
  <si>
    <t>-73.135976</t>
  </si>
  <si>
    <t>LE RICANEUX INC Nathalie MCISAAC</t>
  </si>
  <si>
    <t>FERME PINILIN INC Sébastien
ASSELIN</t>
  </si>
  <si>
    <t>2 819 918, 2 819 919</t>
  </si>
  <si>
    <t>Rang Sud-Est,
Saint-Charles-de-Bellechasse</t>
  </si>
  <si>
    <t>46.807436</t>
  </si>
  <si>
    <t>-70.898362</t>
  </si>
  <si>
    <t>Longeant ruisseau</t>
  </si>
  <si>
    <t>9447-4475 QUÉBEC INC.</t>
  </si>
  <si>
    <t>5 765 476,5 763 595,5 763 731,5 763 732</t>
  </si>
  <si>
    <t>Saint-octave-de-métis</t>
  </si>
  <si>
    <t>153-151  Rang D de Cabot</t>
  </si>
  <si>
    <t xml:space="preserve">3 et 5 </t>
  </si>
  <si>
    <t>Terre vendue pour un total de 380 000$ en incluant les immeubles agricoles et résidentiel</t>
  </si>
  <si>
    <t>SUCCESSION DE SOLANGE
BEAUDOIN</t>
  </si>
  <si>
    <t>FERME G.P.L. INC. Marc-Antoine Lacasse</t>
  </si>
  <si>
    <t>2 357 496, 2 360 677, 2 360 676</t>
  </si>
  <si>
    <t>St-Henri</t>
  </si>
  <si>
    <t>46.668418</t>
  </si>
  <si>
    <t>-71.125481</t>
  </si>
  <si>
    <t>wp</t>
  </si>
  <si>
    <t>446830 (morcellement)</t>
  </si>
  <si>
    <t>Sylvain PALARDY</t>
  </si>
  <si>
    <t>FERME PALLADI &amp; FILS INC</t>
  </si>
  <si>
    <t>3 078 522, 3 078 564, 3 078 577, 3 080 000, 4 027 266</t>
  </si>
  <si>
    <t>Rue Principale, Saint-Basile-le-Grand</t>
  </si>
  <si>
    <t>Nombreux bâtiments</t>
  </si>
  <si>
    <t>Pistes</t>
  </si>
  <si>
    <t>Renald Bourbonnais</t>
  </si>
  <si>
    <t>Groupe Colas Quebec Inc.</t>
  </si>
  <si>
    <t>4 300 000</t>
  </si>
  <si>
    <t>Terre bois non cptaq</t>
  </si>
  <si>
    <t>Alain DION,Anne-Marie AUMOND,David LAPLANTE</t>
  </si>
  <si>
    <t>Érika ROHRER, Raphaël BOUCHER,</t>
  </si>
  <si>
    <t>5 816 421</t>
  </si>
  <si>
    <t>Saint-Georges-de-Windsor</t>
  </si>
  <si>
    <t>route 249</t>
  </si>
  <si>
    <t>Parcelle de terre assurer, située dans une partie boisée</t>
  </si>
  <si>
    <t>Developpement 20-30 Inc.</t>
  </si>
  <si>
    <t>Hydro-Quebec</t>
  </si>
  <si>
    <t>3353196, 5832496, 2325520, 5790412</t>
  </si>
  <si>
    <t>30 000 000</t>
  </si>
  <si>
    <t>0 rang St-Antoine</t>
  </si>
  <si>
    <t>29 118 916</t>
  </si>
  <si>
    <t>3 731 354</t>
  </si>
  <si>
    <t>Josee Legault</t>
  </si>
  <si>
    <t>2399631, 2399632</t>
  </si>
  <si>
    <t>Bas prix</t>
  </si>
  <si>
    <t>29 123 458</t>
  </si>
  <si>
    <t>5 763 124</t>
  </si>
  <si>
    <t>Ferme Cmp S.E.N.C. (Chantal BAZINET et Mario Parent)</t>
  </si>
  <si>
    <t>Ferme Parogan Inc. (Sébastien PARENT)</t>
  </si>
  <si>
    <t>6198829, 6198840</t>
  </si>
  <si>
    <t>St-Urbain-Premier</t>
  </si>
  <si>
    <t>29 130 903</t>
  </si>
  <si>
    <t>David Albert BOOTH</t>
  </si>
  <si>
    <t>FERME SHEILA BURTON S.E.N.C</t>
  </si>
  <si>
    <t>1 802 928</t>
  </si>
  <si>
    <t>chemin Crawford, Compton</t>
  </si>
  <si>
    <t>-71.796340</t>
  </si>
  <si>
    <t>Plusieurs parcelles (8)</t>
  </si>
  <si>
    <t>9076-1040 QUÉBEC INC</t>
  </si>
  <si>
    <t>4 009 017, 4 009 016, 4 006 815, 4 006 749</t>
  </si>
  <si>
    <t>Saint-Denis-De La Bouteillerie</t>
  </si>
  <si>
    <t>rang de la Haute-Ville, Saint-Denis-De La Bouteillerie</t>
  </si>
  <si>
    <t>47.501504</t>
  </si>
  <si>
    <t>-69.908762</t>
  </si>
  <si>
    <t>1851-7169 QUÉBEC INC. Carole Pichette</t>
  </si>
  <si>
    <t>GESTION KIMBERLY DENIS INC, 9399-2519 QUÉBEC INC Simon-Pierre Côté, GESTION JÉRÔME DENIS INC Simon-Pierre Côté, ASPHALTE ST-U INC Simon-Pierre Côté</t>
  </si>
  <si>
    <t>Chemin du Lac, Saint-Augustin-de-Desmaures</t>
  </si>
  <si>
    <t>46.744636</t>
  </si>
  <si>
    <t>-71.411232</t>
  </si>
  <si>
    <t>Proximité Lac St-Augustin</t>
  </si>
  <si>
    <t>Luc BLANCHET</t>
  </si>
  <si>
    <t>Mohamed Amine MERAH</t>
  </si>
  <si>
    <t>2566091_2565902_2566257</t>
  </si>
  <si>
    <t>Côte Jeanne</t>
  </si>
  <si>
    <t>à voir</t>
  </si>
  <si>
    <t>O-6 3-4W</t>
  </si>
  <si>
    <t>Drainage excessif et sols organique</t>
  </si>
  <si>
    <t>LES FERMES PORCBIODANGE INC.</t>
  </si>
  <si>
    <t>LES CULTURES HR INC.</t>
  </si>
  <si>
    <t>5 304 647,5 304 648,5 304 640,5 304 332,5 304 748,5 304 428,6 052 650,5 304 302</t>
  </si>
  <si>
    <t>route Rochefort</t>
  </si>
  <si>
    <t>Cerealex Inc (Sylvain CHAYER)</t>
  </si>
  <si>
    <t>Les Fermes Yvons Amireault Et Fils Inc. (Christian AMIREAULT)</t>
  </si>
  <si>
    <t>ch Mireault</t>
  </si>
  <si>
    <t>323189_Autorisation_Aliénation / lotissement,Morcellement de ferme</t>
  </si>
  <si>
    <t>2-7W 2-3X / 4-6FW 4-4MF</t>
  </si>
  <si>
    <t>Drainage excessif et imparfait avec sol sableux</t>
  </si>
  <si>
    <t>Jean-François GROSS</t>
  </si>
  <si>
    <t>3 448 870, 3 448 875, 3 449 152</t>
  </si>
  <si>
    <t>Sainte-Geneviève-de-Berthier</t>
  </si>
  <si>
    <t>Bonne parcelle de terres, pas de plans de drainage</t>
  </si>
  <si>
    <t>4234413 Canada Inc.</t>
  </si>
  <si>
    <t>Michele Bader</t>
  </si>
  <si>
    <t>470 000</t>
  </si>
  <si>
    <t>66 rue Simone-De Beauvoir</t>
  </si>
  <si>
    <t>Boisé pour construction</t>
  </si>
  <si>
    <t>Societe De Fiducie Olympia</t>
  </si>
  <si>
    <t>Martin Thibault</t>
  </si>
  <si>
    <t>2070353, 2070355, 2068346, 2070355, 2070353</t>
  </si>
  <si>
    <t>750 000</t>
  </si>
  <si>
    <t>0 boul Perrot</t>
  </si>
  <si>
    <t>29 157 278</t>
  </si>
  <si>
    <t>GESTION CARON &amp; ROY INC</t>
  </si>
  <si>
    <t>9041-5969 QUÉBEC INC.</t>
  </si>
  <si>
    <t>6 358 415, 6 348 801</t>
  </si>
  <si>
    <t>située à côté de plusieurs terres agricoles, au milieu du village de magog</t>
  </si>
  <si>
    <t>PIERRE B. OSTERRATH, MARIE-FRANCE DION</t>
  </si>
  <si>
    <t>FERME ALAIN HAMEL ENR</t>
  </si>
  <si>
    <t>5 878 089</t>
  </si>
  <si>
    <t>route Marie-Victorin</t>
  </si>
  <si>
    <t>terre pas de boisé</t>
  </si>
  <si>
    <t>6 601 625</t>
  </si>
  <si>
    <t>ferme cérélait inc.</t>
  </si>
  <si>
    <t>ferme agri k. inc.</t>
  </si>
  <si>
    <t>4776125, 4775954, 4776843, 4565517, 4974087, 4974088</t>
  </si>
  <si>
    <t>2 &amp;3</t>
  </si>
  <si>
    <t>W et F</t>
  </si>
  <si>
    <t>Bonne forme de parcelle, plusieurs servitudes, bâtiment sur un des lots</t>
  </si>
  <si>
    <t>Yves Delforge</t>
  </si>
  <si>
    <t>Les Entreprises Delforge Et Fils Inc.</t>
  </si>
  <si>
    <t>29,67</t>
  </si>
  <si>
    <t>Normand LAFERRIÈRE</t>
  </si>
  <si>
    <t>Mathieu FORGET</t>
  </si>
  <si>
    <t>3 448 833, 3 449 602, 4 261 730</t>
  </si>
  <si>
    <t>Bonne fomr de parcelles, forme de la terre irrégulière, drainnées</t>
  </si>
  <si>
    <t>Mario Roy</t>
  </si>
  <si>
    <t>Ferme Mario Roy Et Fils Inc.</t>
  </si>
  <si>
    <t>LA FERME AU JARDIN DE LUCE S.E.N.C</t>
  </si>
  <si>
    <t>FERME NATALIN INC</t>
  </si>
  <si>
    <t>5 877 311, 5 877 866</t>
  </si>
  <si>
    <t>saint-édouard-de-lotbinière</t>
  </si>
  <si>
    <t>rang Saint-Charles</t>
  </si>
  <si>
    <t>Grande foret sur la propriété</t>
  </si>
  <si>
    <t>FERME F. &amp; S. SAVOIE INC Stéphane SAVOIE</t>
  </si>
  <si>
    <t>9506-0471 QUÉBEC INC David RICHARD</t>
  </si>
  <si>
    <t>1 841 041, 5 418 509</t>
  </si>
  <si>
    <t>Rang Charlotte, Saint-Simon</t>
  </si>
  <si>
    <t>45.721844</t>
  </si>
  <si>
    <t>-72.807157</t>
  </si>
  <si>
    <t>Ligne Hydro-Québec. Servitude en faveur de Ultramar Ltée</t>
  </si>
  <si>
    <t>Annie RIENDEAU</t>
  </si>
  <si>
    <t>FERME P.G.C. INC Pierre CARDIN</t>
  </si>
  <si>
    <t>2 707 092, 2 707 099, 2 709 772</t>
  </si>
  <si>
    <t>Rang du Bourgemin Ouest,  Saint-Hugues</t>
  </si>
  <si>
    <t>45.776856</t>
  </si>
  <si>
    <t>-72.879228</t>
  </si>
  <si>
    <t>Jean-Claude LABELLE, Gisèle STE-MARIE</t>
  </si>
  <si>
    <t>LES ALIMENTS LIVABEC FOODS INC (Lino Jr. CIMAGLIA)</t>
  </si>
  <si>
    <t>6 629 425, 5 158 688</t>
  </si>
  <si>
    <t>Saint-Patrice-de-Sherrington</t>
  </si>
  <si>
    <t>rang Saint-
Louis, Saint-Patrice-de-Sherrington</t>
  </si>
  <si>
    <t>45.169197</t>
  </si>
  <si>
    <t>-73.503662</t>
  </si>
  <si>
    <t>Terre organique</t>
  </si>
  <si>
    <t>29 192 521</t>
  </si>
  <si>
    <t>5 884 375, 5 433 978, 5 434 215, 5 433 977, 5 433 973, 5 434 214, 5 433 974, 5 433 984, 5 433 968</t>
  </si>
  <si>
    <t>29 193 001</t>
  </si>
  <si>
    <t>5 533 271 ,5 533 270,5 533 269 ,6 651 127 ,5 533 267 ,5 533 266 ,5 533 265 ,5 533 264 ,6 651 133,5 532 431 ,5 532 377 ,5 532 300 ,5 533 096 ,5 532 423 ,5 533 097 ,6 651 123 ,5 532 376, 5 533 272, 5 533 273, 6 651 129</t>
  </si>
  <si>
    <t>29 204 397</t>
  </si>
  <si>
    <t>Mathieu LANGLOIS</t>
  </si>
  <si>
    <t>Boisé du PANH S.E.N.C.,</t>
  </si>
  <si>
    <t>3 903 269, 4 314 054, 4 314 055</t>
  </si>
  <si>
    <t>Weedon</t>
  </si>
  <si>
    <t>plusieurs bâtiments, potentiel acéricole dans le boisé 5 hedctares de superficie autres</t>
  </si>
  <si>
    <t>GESTION PIERRE MARTINEAU INC</t>
  </si>
  <si>
    <t>Pierre-Luc MARTIN, Sarah-Lyne MONTMINY</t>
  </si>
  <si>
    <t>3 198 434</t>
  </si>
  <si>
    <t>la durantaye</t>
  </si>
  <si>
    <t>ligne d'hydro</t>
  </si>
  <si>
    <t>29 209 689</t>
  </si>
  <si>
    <t>5 889  825</t>
  </si>
  <si>
    <t>29 209 499</t>
  </si>
  <si>
    <t>4 232 499, 4 232 500, 4 233 151</t>
  </si>
  <si>
    <t>29 214 008</t>
  </si>
  <si>
    <t>5 274 145, 5 274 047, 6 470 051</t>
  </si>
  <si>
    <t>29 214 970</t>
  </si>
  <si>
    <t>5 445 150</t>
  </si>
  <si>
    <t xml:space="preserve">29 222 747 </t>
  </si>
  <si>
    <t>6 666 587, 5 744 881, 5 744 880, 5 743 516, 5 743 542</t>
  </si>
  <si>
    <t>Dorine TREMBLAY</t>
  </si>
  <si>
    <t>FERME S &amp; P S.E.N.C.,</t>
  </si>
  <si>
    <t>6 257 977</t>
  </si>
  <si>
    <t>Terre non assurée maison en état médiocre sur la propriété</t>
  </si>
  <si>
    <t>29 226 425</t>
  </si>
  <si>
    <t>2 639 494, 2 639 493, 2 639 492, 2 639 491, 2 639 490</t>
  </si>
  <si>
    <t>29 227 249</t>
  </si>
  <si>
    <t>4 852 248</t>
  </si>
  <si>
    <t>Élie BEAUDRY</t>
  </si>
  <si>
    <t>Alain GINGRAS</t>
  </si>
  <si>
    <t>6 664 400</t>
  </si>
  <si>
    <t>Chemin sur le lot</t>
  </si>
  <si>
    <t>29 233 615</t>
  </si>
  <si>
    <t>6 016 435, 6 016 436</t>
  </si>
  <si>
    <t>FERME MALEXA INC.,</t>
  </si>
  <si>
    <t>FERME FLORENCE ET YVON BERNIER SEN</t>
  </si>
  <si>
    <t>6 636 216, 3 587 220, 5 579 015</t>
  </si>
  <si>
    <t>bâtiment sur la propriété, bonne forme de parcelle, vente d'assemblage</t>
  </si>
  <si>
    <t>29 246 842</t>
  </si>
  <si>
    <t>5 249 917, 5 249 918</t>
  </si>
  <si>
    <t>FERME DOUBLE "H" (1987) INC. Jonathan HAFFORD</t>
  </si>
  <si>
    <t>GROUPE LIEUTENANT INC Pierpold LIEUTENANT</t>
  </si>
  <si>
    <t>chemin Spring, Ascot Corner</t>
  </si>
  <si>
    <t>45.441367</t>
  </si>
  <si>
    <t>-71.760601</t>
  </si>
  <si>
    <t>servitude réelle et perpétuelle de vue et d’intimité. Servitude de passage (fonds dominant)</t>
  </si>
  <si>
    <t>4 855 906, 4 856 156, 4 856 162, 5 990 428</t>
  </si>
  <si>
    <t xml:space="preserve"> Saint- Jean-de-la-Lande</t>
  </si>
  <si>
    <t>route du Lac-Baker, Saint- Jean-de-la-Lande</t>
  </si>
  <si>
    <t>47.409920</t>
  </si>
  <si>
    <t>-68.711209</t>
  </si>
  <si>
    <t>6 595 949, 6 595 950</t>
  </si>
  <si>
    <t>sainte-martine</t>
  </si>
  <si>
    <t>5 et 2</t>
  </si>
  <si>
    <t>W et T</t>
  </si>
  <si>
    <t>fomre irrégulière</t>
  </si>
  <si>
    <t>3 481 897, 6 485 890, 6 485 892, 6 485 894</t>
  </si>
  <si>
    <t>Chemin de Marsboro, Nantes</t>
  </si>
  <si>
    <t>45.605075</t>
  </si>
  <si>
    <t>-70.923377</t>
  </si>
  <si>
    <t>Marcel FORTIER</t>
  </si>
  <si>
    <t>FERME AUX DEUX VERSANTS S.E.N.C. Christian FORTIER, Marjorie MATTE-DESPATIS</t>
  </si>
  <si>
    <t>45.605570</t>
  </si>
  <si>
    <t>-70.925655</t>
  </si>
  <si>
    <t>passage d’une ligne de transmission électrique,</t>
  </si>
  <si>
    <t>423176 (nouvel usage, transport)</t>
  </si>
  <si>
    <t>FERME BRASSELIN INC.</t>
  </si>
  <si>
    <t>FERME JACQUES ET MARTIN VERMETTE S.E.N.C</t>
  </si>
  <si>
    <t>Saint-gervais</t>
  </si>
  <si>
    <t>Lot de form irrégululière, boisé enclavée en arriere de la terre</t>
  </si>
  <si>
    <t>Francis PICARD</t>
  </si>
  <si>
    <t>Ferme ZABÉ (2018) INC.</t>
  </si>
  <si>
    <t>6 078 706, 6 077 019</t>
  </si>
  <si>
    <t>Ham-nord</t>
  </si>
  <si>
    <t>chemin St-Pierre</t>
  </si>
  <si>
    <t>29 266 809</t>
  </si>
  <si>
    <t>6 561   934</t>
  </si>
  <si>
    <t>29 266 427</t>
  </si>
  <si>
    <t>6 252 071, 4 232 832, 6 644 319, 6 644 320</t>
  </si>
  <si>
    <t>André RIVARD</t>
  </si>
  <si>
    <t>FERME FOURNIER (DES SEIGNEURS) INC Benoit FOURNIER</t>
  </si>
  <si>
    <t>4e Rang Est, Saint-Simon</t>
  </si>
  <si>
    <t>45.708034</t>
  </si>
  <si>
    <t>-72.828464</t>
  </si>
  <si>
    <t>349757 (nouvel usage, énergie)</t>
  </si>
  <si>
    <t>4 327 795, 4 327 796</t>
  </si>
  <si>
    <t>Vieux Chemin, Dégelis</t>
  </si>
  <si>
    <t>47.551481</t>
  </si>
  <si>
    <t>-68.686355</t>
  </si>
  <si>
    <t>Hangar 3 000 pc</t>
  </si>
  <si>
    <t>447651 (morcellement)</t>
  </si>
  <si>
    <t>6 228 034</t>
  </si>
  <si>
    <t>29 278 641</t>
  </si>
  <si>
    <t>4 852 657</t>
  </si>
  <si>
    <t>6 062 834</t>
  </si>
  <si>
    <t>GESTION JUNO &amp; FRÈRES INC Patrick
Juneau</t>
  </si>
  <si>
    <t>FERME FLÉOLE INC Mario Tessier</t>
  </si>
  <si>
    <t>46.656908</t>
  </si>
  <si>
    <t>-72.146110</t>
  </si>
  <si>
    <t>Bénéficie d'une servitude de passage</t>
  </si>
  <si>
    <t>412914 (morcellement) + art. 59</t>
  </si>
  <si>
    <t>29 285 551</t>
  </si>
  <si>
    <t>5 155 123, 5 155 393, 5 155 919, 6 647 419</t>
  </si>
  <si>
    <t>Jocelyn LAPALME</t>
  </si>
  <si>
    <t>FERME FOISY-COTÉ INC Frédérick CLOUTIER</t>
  </si>
  <si>
    <t>45.791736</t>
  </si>
  <si>
    <t>-72.819528</t>
  </si>
  <si>
    <t>Terre longeant la rivière Cibouet</t>
  </si>
  <si>
    <t>Daniel CORBEIL, Lise GIRARD, 
Succession André GATIEN</t>
  </si>
  <si>
    <t>LE POTAGER RIENDEAU INC.(Patrice RIENDEAU)</t>
  </si>
  <si>
    <t>2 867 027, 3 847 558, 6 200 114, 6 200 117</t>
  </si>
  <si>
    <t>45.229752</t>
  </si>
  <si>
    <t>-73.698708</t>
  </si>
  <si>
    <t>2 (dont 1 à démolir)</t>
  </si>
  <si>
    <t>2 bâtiments d'élevage (1625 pc et 3 000 pc), 1 hangar (2 000 pc)</t>
  </si>
  <si>
    <t>Comprend 1 maison, 1 maison à démolir et 3 bâtiments agricoles</t>
  </si>
  <si>
    <t>Michel PERRIER</t>
  </si>
  <si>
    <t>LES FERMES ANDRÉ MONCHAMP &amp; FILS LTÉE</t>
  </si>
  <si>
    <t xml:space="preserve">3 992 941, 3 993 082, 6 574 540 </t>
  </si>
  <si>
    <t>Saint-Michel</t>
  </si>
  <si>
    <t>Rang Sud, Saint-Michel</t>
  </si>
  <si>
    <t>45.199154</t>
  </si>
  <si>
    <t>-73.585102</t>
  </si>
  <si>
    <t>Classe 2 majoritaire sur les terres non organiques</t>
  </si>
  <si>
    <t>29 299 947</t>
  </si>
  <si>
    <t>5 232 410, 5 232 021</t>
  </si>
  <si>
    <t>29 300 369</t>
  </si>
  <si>
    <t>6 645 160, 6 645 162</t>
  </si>
  <si>
    <t>29 307 223</t>
  </si>
  <si>
    <t>5 884 954, 5 884 331, 5 884 542</t>
  </si>
  <si>
    <t>FERME LA CHAMPIGNIÈRE INC</t>
  </si>
  <si>
    <t>AGRI-MIC INC</t>
  </si>
  <si>
    <t>5 515 338, 3 028 452, 3 028 472</t>
  </si>
  <si>
    <t>Saint-isidore</t>
  </si>
  <si>
    <t>rang de la Grande-Ligne</t>
  </si>
  <si>
    <t>Étable 6 000 pc, 3 silos, hangar 2 000 pc</t>
  </si>
  <si>
    <t>rivière qui passe dans les terres, relief assez prononcé</t>
  </si>
  <si>
    <t>Jean-Guy BRIZARD</t>
  </si>
  <si>
    <t>Olivier TOUPIN</t>
  </si>
  <si>
    <t>4 261 970</t>
  </si>
  <si>
    <t>bonne forme de parcelle régulière, rivière au nord de la terre</t>
  </si>
  <si>
    <r>
      <t> </t>
    </r>
    <r>
      <rPr>
        <b/>
        <sz val="12"/>
        <color theme="1"/>
        <rFont val="Times New Roman"/>
        <family val="1"/>
      </rPr>
      <t>FERME GROSS ET FILS INC. </t>
    </r>
  </si>
  <si>
    <r>
      <t> </t>
    </r>
    <r>
      <rPr>
        <b/>
        <sz val="12"/>
        <color theme="1"/>
        <rFont val="Times New Roman"/>
        <family val="1"/>
      </rPr>
      <t>FERME ALBERT SYLVESTRE INC., </t>
    </r>
  </si>
  <si>
    <t> 4 261 763 </t>
  </si>
  <si>
    <t>Excellente forme de parcelle, accessible, grange sur la terre, non drainée</t>
  </si>
  <si>
    <t>FERME LAITDOREY (SENC) Dominic GODIN</t>
  </si>
  <si>
    <t>FERME VIENS CHAREST ET CIES INC Marilyn VIENS</t>
  </si>
  <si>
    <t>5 895 278, 5 895 281, 6 074 618</t>
  </si>
  <si>
    <t>St-Isidore-de-Clifton</t>
  </si>
  <si>
    <t>50 et 103 chemin du 8e Rang, St-Isidore-de-Clifton</t>
  </si>
  <si>
    <t>45.259995</t>
  </si>
  <si>
    <t>-71.517966</t>
  </si>
  <si>
    <t>3, 4 et 7</t>
  </si>
  <si>
    <t>Inclusions: quota laitier, troupeau laitier, équipements fixes, machinerie, inventaire</t>
  </si>
  <si>
    <t>29 318 440</t>
  </si>
  <si>
    <t>5 187 135, 5 187 136, 5 187 137, 5 187 140, 5 187 141, 5 187 095, 5 187 096, 5 187 144, 5 187 145, 5 187 146, 5 187 196, 5 187 198, 5 187 550, 5 187 570, 6 463 359, 5 187 147</t>
  </si>
  <si>
    <t>FERME BR DYNAMIQUE INC.,</t>
  </si>
  <si>
    <t>FERME CLAUVY S.E.N.C.,</t>
  </si>
  <si>
    <t>5 914 973, 5 914 977, 6 181 502, 6 313 220</t>
  </si>
  <si>
    <t>Saint-gilles</t>
  </si>
  <si>
    <t>route 269 Nord</t>
  </si>
  <si>
    <t>Rivière passant dans le milieu des terres</t>
  </si>
  <si>
    <t> Mario GAGNÉ </t>
  </si>
  <si>
    <t> FERME DENIS ET LOUISE DION SENC, </t>
  </si>
  <si>
    <t>5 068 936, 5 259 171</t>
  </si>
  <si>
    <t>Rang Ste-Hélène. Saint-Patrice-de-Beaurivage</t>
  </si>
  <si>
    <t>-71.260068</t>
  </si>
  <si>
    <t>terre de bonne qualité, boisée au fond des lots</t>
  </si>
  <si>
    <t>FERME MARLOIS S.E.N.C</t>
  </si>
  <si>
    <t>FERME BRASSELIN INC</t>
  </si>
  <si>
    <t>3 198 188, 3 198 187, 3 198 186, 6 641 758</t>
  </si>
  <si>
    <t>Bonne parcelle de terre, bâtiments sur la propriété</t>
  </si>
  <si>
    <t>FERME GÉLUTEAU Gérard DUTEAU, Lucille NADEAU</t>
  </si>
  <si>
    <t>Daniel DUTEAU</t>
  </si>
  <si>
    <t>5791970, 6 315 544, 6 482 642, 6 482 643</t>
  </si>
  <si>
    <t>Saint-Herménégilde</t>
  </si>
  <si>
    <t>Route 251, Saint-Herménégilde</t>
  </si>
  <si>
    <t>45.103246</t>
  </si>
  <si>
    <t>-71.675691</t>
  </si>
  <si>
    <t>Oui, principalement</t>
  </si>
  <si>
    <t>1 emplacement en zone blanche. inclus dans la présente vente tous les équipements et machineries se trouvant sur la propriété. Servitude de passage (fonds dominant)</t>
  </si>
  <si>
    <t>29 332 108</t>
  </si>
  <si>
    <t>5 274 162</t>
  </si>
  <si>
    <t>FERME DÉ-VEAUX INC Pierre Dénommée</t>
  </si>
  <si>
    <t>FERME APL INC David Petit</t>
  </si>
  <si>
    <t>2 707 440, 5 945 975, 5 945 978</t>
  </si>
  <si>
    <t>2e rang, Saint-Hugues</t>
  </si>
  <si>
    <t>45.750499</t>
  </si>
  <si>
    <t>-72.796779</t>
  </si>
  <si>
    <t>Servitude de passage (fonds dominant). Secteur humide (1,3 ha)</t>
  </si>
  <si>
    <t>122814 (révision rejet usage non agricole)</t>
  </si>
  <si>
    <t>Omer BERTRAND</t>
  </si>
  <si>
    <t>FERME LÉO JACOBS ET FILS INC Ysabel Jacobs</t>
  </si>
  <si>
    <t>6 667 529, 6 667 526</t>
  </si>
  <si>
    <t>Cap-Santé</t>
  </si>
  <si>
    <t>rang Saint-Joseph, à Cap-Santé</t>
  </si>
  <si>
    <t>46.695921</t>
  </si>
  <si>
    <t>-71.786516</t>
  </si>
  <si>
    <t>fw</t>
  </si>
  <si>
    <t>David et Francine JOLY</t>
  </si>
  <si>
    <t>497, chemin du Fer à Cheval, Sainte-Julie</t>
  </si>
  <si>
    <t>45.617546</t>
  </si>
  <si>
    <t>-73.325666</t>
  </si>
  <si>
    <t>Hangar 1 500 pc</t>
  </si>
  <si>
    <t>servitudes en faveur d'Ultramar Ltée. Lignes Hydro-Québec</t>
  </si>
  <si>
    <t>Gino CAMORANI, Marion CAMORANI, Evelyne CAMORANI</t>
  </si>
  <si>
    <t>FERME PRESCOTT INC Yvon DAIGLE</t>
  </si>
  <si>
    <t xml:space="preserve"> Saint-Louis</t>
  </si>
  <si>
    <t>Rang Prescott, Saint-Louis</t>
  </si>
  <si>
    <t>45.899719</t>
  </si>
  <si>
    <t>-73.040836</t>
  </si>
  <si>
    <t>4 716 055, 6 060 674, 6 060 725</t>
  </si>
  <si>
    <t>sainte-martine et beauharnois</t>
  </si>
  <si>
    <t>Grange sur les terres, forme de parcelle irrégulière</t>
  </si>
  <si>
    <t>Olivier HAMEL</t>
  </si>
  <si>
    <t>FERME ROCHELEAU INC Benoît Laroche</t>
  </si>
  <si>
    <t>46.762814</t>
  </si>
  <si>
    <t>-71.881866</t>
  </si>
  <si>
    <t>1,1 potentiel acéricole</t>
  </si>
  <si>
    <t>3 590 254, 3 590 486, 3 591 094, 3 590 371, 3 590 253, 3 591 091, 3 590 529</t>
  </si>
  <si>
    <t>route Laurier </t>
  </si>
  <si>
    <t>plusieurs bâtiments sur propirété, bonne vente de recoupement</t>
  </si>
  <si>
    <t>PRODUCTIONS D. RIENDEAU INC.</t>
  </si>
  <si>
    <t>S.E.Q.S. 2854-7271 QUÉ. INC.</t>
  </si>
  <si>
    <t>FERME SHARO INC</t>
  </si>
  <si>
    <t>4 180 473</t>
  </si>
  <si>
    <t>pas de boisé, forme irrégulière</t>
  </si>
  <si>
    <t>FERME NARIC INC.</t>
  </si>
  <si>
    <t>4 262 001, 4 261 976</t>
  </si>
  <si>
    <t>bonne forme de parcelle, terre drainnées,</t>
  </si>
  <si>
    <t>Ferme Du Cabouron Inc.</t>
  </si>
  <si>
    <t>9183-3715 Quebec Inc.</t>
  </si>
  <si>
    <t>5689126, 5 689 547</t>
  </si>
  <si>
    <t>Ste-Praxede</t>
  </si>
  <si>
    <t>rte 263, Ste-Praxede</t>
  </si>
  <si>
    <t>-71.190805</t>
  </si>
  <si>
    <t>Loam sableux</t>
  </si>
  <si>
    <t>Jean-Paul leblanc</t>
  </si>
  <si>
    <t>Ferme rouanne senc</t>
  </si>
  <si>
    <t xml:space="preserve">3 059 815, 3 059 816, 3 059 817, 3 059 818, 6 651 309, 3 059 822, 3 060 119, 3 060 131, 6 577 127, 6 577 128, </t>
  </si>
  <si>
    <t>Ferme CADO SENC</t>
  </si>
  <si>
    <t>Gestion Tony Larochelle Inc.</t>
  </si>
  <si>
    <t>3 125 313</t>
  </si>
  <si>
    <t>Grand chemin qui passe. À travers la terre boisée</t>
  </si>
  <si>
    <t>1 830 887, 1 834 158, 1 834 968, 1 834 969, 1 834 970, 1 834 971</t>
  </si>
  <si>
    <t>Bâtiment sur la propirété</t>
  </si>
  <si>
    <t>LA FERME RIVIÈREMONTAGNE INC. Daniel ST-JEAN,</t>
  </si>
  <si>
    <t>FERME DENIS GOYETTE INC, Jeanne DUMONT</t>
  </si>
  <si>
    <t>45.513730</t>
  </si>
  <si>
    <t> -73.256275</t>
  </si>
  <si>
    <t>Cession par FERME ABRACIO S.E.N.C.,</t>
  </si>
  <si>
    <t>335420 (morcellement, nouvel usage 2 résidences et plus)</t>
  </si>
  <si>
    <t>LES CONSTRUCTIONS RODELIN INC.</t>
  </si>
  <si>
    <t>FERME CHOISEL INC</t>
  </si>
  <si>
    <t>4 540 894, 4 538 994, 4 540 893, 4 540 892</t>
  </si>
  <si>
    <t>94e avenue, Saint-blaise-sur-richelieu</t>
  </si>
  <si>
    <t>2 &amp; 0-</t>
  </si>
  <si>
    <t>forme de parcelle décente, superficie boisée au nord des lots, non drainnée</t>
  </si>
  <si>
    <t>PORCICO INC</t>
  </si>
  <si>
    <t>3 688 050, 3 475 424, 3 475 416</t>
  </si>
  <si>
    <t>boisé acéricole, terre de bonne parcelle</t>
  </si>
  <si>
    <t>FERME LIONEL ANGERS INC François ANGERS</t>
  </si>
  <si>
    <t>François MÉNARD</t>
  </si>
  <si>
    <t>222, Route 112 à Saint-Césaire</t>
  </si>
  <si>
    <t>45.405393</t>
  </si>
  <si>
    <t>-72.967609</t>
  </si>
  <si>
    <t>FERME RIVIÈRE VERTE INC</t>
  </si>
  <si>
    <t>Alain SCHINDLER</t>
  </si>
  <si>
    <t>4 199 691, 4 625 247, 4 772 846, 4 182 560, 4 182 941, 4 612 868</t>
  </si>
  <si>
    <t>3 &amp;2</t>
  </si>
  <si>
    <t>plusieurs bâtiments, potentiel acéricole, entre deux municpalités</t>
  </si>
  <si>
    <t>29 409 533</t>
  </si>
  <si>
    <t>5 232 689, 5 230 357</t>
  </si>
  <si>
    <t>29 417 073</t>
  </si>
  <si>
    <t>4 997 100, 4 998 384, 4 998 385, 5 393 566, 5 393 583</t>
  </si>
  <si>
    <t>29 422 274</t>
  </si>
  <si>
    <t>5 773 973</t>
  </si>
  <si>
    <r>
      <t> </t>
    </r>
    <r>
      <rPr>
        <sz val="10"/>
        <color theme="1"/>
        <rFont val="Arial"/>
        <family val="2"/>
      </rPr>
      <t>29 425 415 </t>
    </r>
  </si>
  <si>
    <r>
      <t> </t>
    </r>
    <r>
      <rPr>
        <b/>
        <sz val="10"/>
        <color theme="1"/>
        <rFont val="Arial"/>
        <family val="2"/>
      </rPr>
      <t>LES SAPINS DOWNEY INC </t>
    </r>
  </si>
  <si>
    <r>
      <t> </t>
    </r>
    <r>
      <rPr>
        <b/>
        <sz val="10"/>
        <color theme="1"/>
        <rFont val="Arial"/>
        <family val="2"/>
      </rPr>
      <t>9537-5663 QUÉBEC INC., </t>
    </r>
  </si>
  <si>
    <t> 6 385 604 </t>
  </si>
  <si>
    <t> chemin du Lac </t>
  </si>
  <si>
    <t>terre de forme irrégulière, accessible, petite grange sur la terre</t>
  </si>
  <si>
    <t>Jean-Guy PRÉVOST</t>
  </si>
  <si>
    <t>FERME O.W. JACQUES S.E.N.C. William JACQUES</t>
  </si>
  <si>
    <t>4 487 857, 4 488 938</t>
  </si>
  <si>
    <t>chemin Leblanc, Cookshire-Eaton</t>
  </si>
  <si>
    <t>45.445349</t>
  </si>
  <si>
    <t>-71.596232</t>
  </si>
  <si>
    <t>Hangar et hangar tunnel</t>
  </si>
  <si>
    <t>Autorisations caduques (sablière-gravière)</t>
  </si>
  <si>
    <t>29 428 950</t>
  </si>
  <si>
    <t>5 741 496, 6 448 144, 5  739  232, 6 676 657, 5 741500</t>
  </si>
  <si>
    <t>Ferme Vezina Et Fiset Inc.</t>
  </si>
  <si>
    <t>Placements Jany Rochon Inc.</t>
  </si>
  <si>
    <t>-71.510256</t>
  </si>
  <si>
    <t>FERME BEAUNIS INC André BEAUDET</t>
  </si>
  <si>
    <t>FERME ST-GERMAIN &amp; FILLES INC Saint-Marc-sur-Richelieu (Québec) J0L 2E0, représentée aux
présentes par</t>
  </si>
  <si>
    <t>1 657 608, 1 657 609, 1 658 003, 1 658 016</t>
  </si>
  <si>
    <t xml:space="preserve">chemin du Ruisseau-Saint-Louis Ouest, Marieville </t>
  </si>
  <si>
    <t>45.465383</t>
  </si>
  <si>
    <t>-73.184495</t>
  </si>
  <si>
    <t>Yvon CHALIFOUX</t>
  </si>
  <si>
    <t>FERME G. &amp; L. RODRIGUE S.E.N.C. (Germain RODRIGUE et  Linda CORBIÈRE)</t>
  </si>
  <si>
    <t>Chemin Louis-Cyr, St-Cyprien-de-Napierville</t>
  </si>
  <si>
    <t>45.167461</t>
  </si>
  <si>
    <t>-73.384955</t>
  </si>
  <si>
    <t>4 silots métalliques, 1 grange, silo béton</t>
  </si>
  <si>
    <t>FERME BERJO INC</t>
  </si>
  <si>
    <t>FERME MARC SÉPUL INC. / MARC SÉPUL FARM INC</t>
  </si>
  <si>
    <t>4 776 813, 4 777 157, 4 777 158, 4 777 159, 4 777 160</t>
  </si>
  <si>
    <t>Rang des Dussault, Saint-Sébastien</t>
  </si>
  <si>
    <t>accessible, bonne forme de parcelle, rivière qui passe au milieu des terres, drainnée</t>
  </si>
  <si>
    <t>R. &amp; R. STICHELBOUT</t>
  </si>
  <si>
    <t>FERME L. ET Y. TOUPIN INC</t>
  </si>
  <si>
    <t xml:space="preserve"> St-Bernard-de-Lacolle</t>
  </si>
  <si>
    <t>Chemin Pleasant Valley Sud, St-Bernard-de-Lacolle</t>
  </si>
  <si>
    <t>45.063243</t>
  </si>
  <si>
    <t>-73.473273</t>
  </si>
  <si>
    <t>Classe 2 et 3 sur les terres non organiques</t>
  </si>
  <si>
    <t xml:space="preserve"> 29 465 444 </t>
  </si>
  <si>
    <t>3 507 343, 3 506 866</t>
  </si>
  <si>
    <t>FERME CHANOR SENC Normand CHABOT Chantal LAVALLÉE</t>
  </si>
  <si>
    <t>CABANE TRÈFLE ROUGE INC Sébastien PLANTE</t>
  </si>
  <si>
    <t>2e Rang à Saint-Hugues</t>
  </si>
  <si>
    <t>45.748341</t>
  </si>
  <si>
    <t>-72.819752</t>
  </si>
  <si>
    <t> LES CULTURES ASM S.E.N.C., </t>
  </si>
  <si>
    <t> Alain ROBERT, </t>
  </si>
  <si>
    <t>6 667 023, 6 667 024</t>
  </si>
  <si>
    <t> 519, chemin Spring </t>
  </si>
  <si>
    <t>potentiel acricole dans le boisé, maison sur la propriété</t>
  </si>
  <si>
    <t>29 491 901</t>
  </si>
  <si>
    <t>4 333 685,4 333 690</t>
  </si>
  <si>
    <t>29 495 781</t>
  </si>
  <si>
    <t>6 676 167</t>
  </si>
  <si>
    <t>29 501 036</t>
  </si>
  <si>
    <t>4   852   230, 5 397 427</t>
  </si>
  <si>
    <t>NOTRE TERRE, FERME FAMILIALE INC Luc BERNIER</t>
  </si>
  <si>
    <t>LES FERMES BENCO INC Katherine BENOIT</t>
  </si>
  <si>
    <t>Saint-Dominique</t>
  </si>
  <si>
    <t>7e rang, Saint-Dominique</t>
  </si>
  <si>
    <t>45.596320</t>
  </si>
  <si>
    <t>-72.837790</t>
  </si>
  <si>
    <t>Environ 7 ha de terre organique</t>
  </si>
  <si>
    <t>LES SUCRERIES M.G. SENC</t>
  </si>
  <si>
    <t>FERME GALOUMAR INC</t>
  </si>
  <si>
    <t>6 679 024</t>
  </si>
  <si>
    <t>Bonne forme de parcelle, accessible, ligne electrique sur la terre</t>
  </si>
  <si>
    <t>FERME LAUNIÈRE S.E.N.C. Suzanne BLAIS</t>
  </si>
  <si>
    <t>FERME CAROLLE ET GAÉTAN LEFEBVRE S.E.N.C.</t>
  </si>
  <si>
    <t>6 207 981, 6 208 661</t>
  </si>
  <si>
    <t>rang 6, Wotton</t>
  </si>
  <si>
    <t>45.740736</t>
  </si>
  <si>
    <t>-71.760400</t>
  </si>
  <si>
    <t>Émilien GAGNÉ</t>
  </si>
  <si>
    <t>Sébastien BÉGUÉ</t>
  </si>
  <si>
    <t>4 414 632, 4 414 685</t>
  </si>
  <si>
    <t>bâtiment, lot séparé par la rivière, forme de parcelle irrégulière</t>
  </si>
  <si>
    <t>VICE ET VERTU DISTILLERIES INC.</t>
  </si>
  <si>
    <t>Yogi JACQUES</t>
  </si>
  <si>
    <t>3 055 721, 3 055 768</t>
  </si>
  <si>
    <t>-71.505574</t>
  </si>
  <si>
    <t>Terre bonne forme de parcelle et sans boisée</t>
  </si>
  <si>
    <t>Raymonde BRUNELLE</t>
  </si>
  <si>
    <t>Grégory LAPOINTE, Isadora BEAUDOIN</t>
  </si>
  <si>
    <t>1370, chemin Bellevue, Carignan</t>
  </si>
  <si>
    <t>29 537 624</t>
  </si>
  <si>
    <t>5 871 312</t>
  </si>
  <si>
    <t>Saint-Anne-de-Sorel</t>
  </si>
  <si>
    <t>29 541 660</t>
  </si>
  <si>
    <t>MAGOG INVESTISSEMENTS LIMITÉE,</t>
  </si>
  <si>
    <t>GESTION FUNIKO INC.</t>
  </si>
  <si>
    <t>3 485 066, 3 485 037</t>
  </si>
  <si>
    <t>chemin des Pères</t>
  </si>
  <si>
    <t>terre avec gradn pourcentage de boisé, forme de parcelle irrégulière</t>
  </si>
  <si>
    <t>FERME YVES LACOSTE &amp; FILS INC</t>
  </si>
  <si>
    <t>FERME GUY PHANEUF &amp; FILS INC Dominique PHANEUF</t>
  </si>
  <si>
    <t>Saint-Valérien-de-Milton</t>
  </si>
  <si>
    <t>11e Rang, Saint-Valérien-de-Milton</t>
  </si>
  <si>
    <t>45.590362</t>
  </si>
  <si>
    <t>-72.662525</t>
  </si>
  <si>
    <t>servitude réelle et perpétuelle de puisage d’eau (fonds dominant)</t>
  </si>
  <si>
    <t>GROUPE CMB INC</t>
  </si>
  <si>
    <t>FRANÇOIS DELISLE</t>
  </si>
  <si>
    <t>6 186 876, 6 186 846</t>
  </si>
  <si>
    <t>Sainte-famille</t>
  </si>
  <si>
    <t>bâtiment et potentiel acéricole sur la terre de 39.8 ha, semble avoir une plantation d'arbre au milieu des terres</t>
  </si>
  <si>
    <t>29 544 408</t>
  </si>
  <si>
    <t>5 981 167</t>
  </si>
  <si>
    <t>FERME VÉZINA ET FISET INC.</t>
  </si>
  <si>
    <t>RANCH LECLERC INC.,</t>
  </si>
  <si>
    <t>3 056 570, 4 459 474, 4 459 511</t>
  </si>
  <si>
    <t>petit potentiel acéricole au nord des lots</t>
  </si>
  <si>
    <t>FERME COPOR INC Claude CORBEIL</t>
  </si>
  <si>
    <t>FERME RÉJEANIQUE INC Réjean LAFLAMME</t>
  </si>
  <si>
    <t>1 840 311, 1 840 739, 1 840 878</t>
  </si>
  <si>
    <t>Ch. Du Rapide Plat-Sud, Saint-Simon</t>
  </si>
  <si>
    <t>45.705637</t>
  </si>
  <si>
    <t>-72.894053</t>
  </si>
  <si>
    <t>Inclut une partie de chemin 'Rang du Bord-de-l'eau'. Terrain de 1840 mc en bord-de-l'eau sans droit acquis</t>
  </si>
  <si>
    <t>29 549 670</t>
  </si>
  <si>
    <t>Jacqueline LACASSE</t>
  </si>
  <si>
    <t>FERME JONCTION INC Keven Giguère</t>
  </si>
  <si>
    <t>6 639 162</t>
  </si>
  <si>
    <t xml:space="preserve"> Vallée-Jonction</t>
  </si>
  <si>
    <t>route 112 Est, Vallée-Jonction</t>
  </si>
  <si>
    <t>-70.915384</t>
  </si>
  <si>
    <t>Terre voisine d'un parc industriel (désistement demande 254553 cptaq)</t>
  </si>
  <si>
    <t>Bernadette BESSETTE</t>
  </si>
  <si>
    <t>Josiane PERRON, Donald LOGAN</t>
  </si>
  <si>
    <t>5 403 467</t>
  </si>
  <si>
    <t>Saint-Isidore-de-Clifton</t>
  </si>
  <si>
    <t xml:space="preserve">3 &amp; 4 </t>
  </si>
  <si>
    <t>potentiel acéricole dans le boisé, grange sur le bâtiment</t>
  </si>
  <si>
    <t>29 569 761</t>
  </si>
  <si>
    <t>5 445 142</t>
  </si>
  <si>
    <t>FERMES AVICOLES PAQUET INC</t>
  </si>
  <si>
    <t>9539-7527 QUÉBEC INC</t>
  </si>
  <si>
    <t>2 196 605</t>
  </si>
  <si>
    <t>Saint-gabriel-de-valcartier</t>
  </si>
  <si>
    <t>déclivité dans le boisé</t>
  </si>
  <si>
    <t>bâtiment avicole sur la propriété</t>
  </si>
  <si>
    <t>29 577 544</t>
  </si>
  <si>
    <t>6 684 752, 5 244 352</t>
  </si>
  <si>
    <t>Alexandre HOULE</t>
  </si>
  <si>
    <t>LA FERME À MATURIN S.E.N.C.</t>
  </si>
  <si>
    <t>4 773 432, 4 774 350</t>
  </si>
  <si>
    <t xml:space="preserve">4 &amp; 5 </t>
  </si>
  <si>
    <t>2 bâtiments sur la propritété, plusieurs parcelles éloignée l'une de l'autre</t>
  </si>
  <si>
    <t>29 596 989</t>
  </si>
  <si>
    <t>5  445   149, 6 179 928, 6 180 936, 6 180 540</t>
  </si>
  <si>
    <t>29 598 050</t>
  </si>
  <si>
    <t>9517-3191 QUÉBEC INC Jean-Guy Perreault</t>
  </si>
  <si>
    <t>FERME MARCEL NADEAU ET FRÈRES INC.</t>
  </si>
  <si>
    <t>2 719 466</t>
  </si>
  <si>
    <t>Rang Saint-Mathieu, Saint-Bernard</t>
  </si>
  <si>
    <t>-71.175959</t>
  </si>
  <si>
    <t>Loam sableux, limoneux</t>
  </si>
  <si>
    <t>29 607 509</t>
  </si>
  <si>
    <t>5 231 506</t>
  </si>
  <si>
    <t xml:space="preserve">29 614 741 </t>
  </si>
  <si>
    <t>4 758 163, 4 758 162, 4 757 484</t>
  </si>
  <si>
    <t>Saint-Thècle</t>
  </si>
  <si>
    <t>grande superficie boisée en montage, petite superficie de terres</t>
  </si>
  <si>
    <t>D'Amours Denis</t>
  </si>
  <si>
    <t>Ferme K.L. Mainville Inc</t>
  </si>
  <si>
    <t>3 710 637, 3 710 636, 3 710 635, 3 710 634, 3 710 633, 3 710 632, 3 710 631, 3 710 630, 3 616 168, 3 616 167, 3 615 950</t>
  </si>
  <si>
    <t>Lac-Chicobi</t>
  </si>
  <si>
    <t>ch des Rangs 6-Et-7</t>
  </si>
  <si>
    <t>-78.440045</t>
  </si>
  <si>
    <t>29 625 876</t>
  </si>
  <si>
    <t>3  733  016, 3 734 080</t>
  </si>
  <si>
    <t>Saint-Roch-de-Richelieu</t>
  </si>
  <si>
    <t>Rodrigue Irene</t>
  </si>
  <si>
    <t>Ferme D.E.M. Migneault Inc.</t>
  </si>
  <si>
    <t>4 821 154, 4 821 790, 4 821 791, 5 606 944, 6 519 838</t>
  </si>
  <si>
    <t>Rouyn-Noranda</t>
  </si>
  <si>
    <t>rte de Mont-Brun</t>
  </si>
  <si>
    <t>-78.702612</t>
  </si>
  <si>
    <t>TE</t>
  </si>
  <si>
    <t>FERME TI-NOIR &amp; FILS INC Bruno BOUFFARD</t>
  </si>
  <si>
    <t>Westbury</t>
  </si>
  <si>
    <t>chemin du Bassin Sud, Westbury</t>
  </si>
  <si>
    <t>Porcherie</t>
  </si>
  <si>
    <t>grevé d’une servitude réelle et perpétuelle de tolérance permettant de maintenir la "décharge" des étangs dans sa situation actuelle ainsi qu’une servitude réelle et perpétuelle de drainage et décharge</t>
  </si>
  <si>
    <t xml:space="preserve">29 637 585 </t>
  </si>
  <si>
    <t>5 274 208</t>
  </si>
  <si>
    <t>RENÉ LAFLAMME</t>
  </si>
  <si>
    <t>FERME BRUNEAU &amp; FILS INC.,</t>
  </si>
  <si>
    <t>6 684 988</t>
  </si>
  <si>
    <t>Bellchasse</t>
  </si>
  <si>
    <t>2 bâtiments agricoles, bonne forme de parcelle, étang sur la terre.</t>
  </si>
  <si>
    <t>29 644 394</t>
  </si>
  <si>
    <t>4 591  034, 4 001 198</t>
  </si>
  <si>
    <t>charlevoix</t>
  </si>
  <si>
    <t>29 647 362</t>
  </si>
  <si>
    <t>5  244  629</t>
  </si>
  <si>
    <t>FERME VIAU INC. Jean-Marc VIAU</t>
  </si>
  <si>
    <t>JARDINS PURDÉLYS INC Marcel DESGROSEILLIERS</t>
  </si>
  <si>
    <t>2 867 279, 2 867 290, 2 867 291, 2 867 294</t>
  </si>
  <si>
    <t>Rang saint-Régis , Saint-Isidore</t>
  </si>
  <si>
    <t>45.318437</t>
  </si>
  <si>
    <t>-73.686873</t>
  </si>
  <si>
    <t>FERME SIMONETTA INC.,</t>
  </si>
  <si>
    <t>FERME ROULANTE 1999 INC</t>
  </si>
  <si>
    <t>5 499 923</t>
  </si>
  <si>
    <t>Boisée acéricole, bonne forme de parcelles</t>
  </si>
  <si>
    <t>PLANTATION STÉPHAN PERREAULT, S.E.N.C.</t>
  </si>
  <si>
    <t>FERME LIEUTENANT ENR</t>
  </si>
  <si>
    <t>St-Claude</t>
  </si>
  <si>
    <t>8e rang, St-Claude</t>
  </si>
  <si>
    <t>45.614867</t>
  </si>
  <si>
    <t>-71.934253</t>
  </si>
  <si>
    <t>servitude de lignes électriques</t>
  </si>
  <si>
    <t>Ferme B.M. Nadeau</t>
  </si>
  <si>
    <t>Fermes Dubreuil (1998) Inc.</t>
  </si>
  <si>
    <t>-71.028678</t>
  </si>
  <si>
    <t>parcelles assurées</t>
  </si>
  <si>
    <t>Loam</t>
  </si>
  <si>
    <t>Lauréat GILBERT</t>
  </si>
  <si>
    <t>BOUTIN &amp; LECLERC S.E.N.C</t>
  </si>
  <si>
    <t>5 495 143</t>
  </si>
  <si>
    <t>Wp</t>
  </si>
  <si>
    <t>bâtiment, parcelle régulière, prix bats (vente liée?)</t>
  </si>
  <si>
    <t>29 687 359</t>
  </si>
  <si>
    <t>vente des terres précédentes, 1.5x le prix</t>
  </si>
  <si>
    <t>9308-9514 QUÉBEC INC</t>
  </si>
  <si>
    <t>LES FORÊTS LANGEVIN S.E.N.C</t>
  </si>
  <si>
    <t>6 440 586, 6 440 587, 6 226 223, 6 226 224</t>
  </si>
  <si>
    <t>Saint-Marc-du-Lac-Long</t>
  </si>
  <si>
    <t>165 3e Rang Nord</t>
  </si>
  <si>
    <t>immense terre, avec grand potentiel acéricole, terre et bâtiments en bordure de chemin</t>
  </si>
  <si>
    <t>29 706 410</t>
  </si>
  <si>
    <t>4 100  993</t>
  </si>
  <si>
    <t>29 710 994</t>
  </si>
  <si>
    <t>4 433 150, 4 687 054, 4 433 145, 4 687 056, 4 433 143</t>
  </si>
  <si>
    <t>Sylvain BENOIT,</t>
  </si>
  <si>
    <t>FERME DEUX-MONTS INC</t>
  </si>
  <si>
    <t>4 149 132</t>
  </si>
  <si>
    <t>saint-jean-Baptiste</t>
  </si>
  <si>
    <t>Rang de la Rivière S</t>
  </si>
  <si>
    <t>Vente liée, terre accessible, bonne forme de parcelles, non drainée</t>
  </si>
  <si>
    <t xml:space="preserve">29 721 481 </t>
  </si>
  <si>
    <t>6 696 040</t>
  </si>
  <si>
    <t xml:space="preserve">29 728 360 </t>
  </si>
  <si>
    <t>5 244 299</t>
  </si>
  <si>
    <t>FERME GUICHA S.E.N.C.</t>
  </si>
  <si>
    <t>2755-1936 QUÉBEC INC</t>
  </si>
  <si>
    <t>1 656 905, 1 656 906, 1 657 666, 1 657 667, 6 547 905, 5 647 102</t>
  </si>
  <si>
    <t>Saint-mathias-sur-richelieu</t>
  </si>
  <si>
    <t>Ch. des Trente</t>
  </si>
  <si>
    <t>Vente liée, vente d'assemblage, accessible, en bordure de rivière, drainée</t>
  </si>
  <si>
    <r>
      <t> </t>
    </r>
    <r>
      <rPr>
        <b/>
        <sz val="12"/>
        <color theme="1"/>
        <rFont val="Times New Roman"/>
        <family val="1"/>
      </rPr>
      <t>Rémi RICHARD </t>
    </r>
  </si>
  <si>
    <r>
      <t> </t>
    </r>
    <r>
      <rPr>
        <b/>
        <sz val="12"/>
        <color theme="1"/>
        <rFont val="Times New Roman"/>
        <family val="1"/>
      </rPr>
      <t>9539-7527 QUÉBEC INC </t>
    </r>
  </si>
  <si>
    <t>2 196 295 </t>
  </si>
  <si>
    <t>Bonne forme de parcelle, grand boisé sans potentiel acéricole</t>
  </si>
  <si>
    <t>FERME TURLUTE</t>
  </si>
  <si>
    <t>Jason ROBILLARD</t>
  </si>
  <si>
    <t>4 905 219, 4 905 751, 4 905 225, 6 674 204</t>
  </si>
  <si>
    <t>71, rang des Buttes</t>
  </si>
  <si>
    <t>établisssement d'une servitude dans l'cte, grand lot boisé</t>
  </si>
  <si>
    <t>4652043, 4 652110</t>
  </si>
  <si>
    <t>29 763 029</t>
  </si>
  <si>
    <t>5 532 261</t>
  </si>
  <si>
    <t>29 765 120</t>
  </si>
  <si>
    <t>5 997 207</t>
  </si>
  <si>
    <t>29 770 901</t>
  </si>
  <si>
    <t>5 084 633, 4 525 244, 5 084 634</t>
  </si>
  <si>
    <t>Saint-tite</t>
  </si>
  <si>
    <t>bonne superficie de parcelles, déclivité, petit boisé acricole</t>
  </si>
  <si>
    <t>29 775 131</t>
  </si>
  <si>
    <t>29 792 872</t>
  </si>
  <si>
    <t>6 687 128</t>
  </si>
  <si>
    <t>Huard-Emigdio Yesika</t>
  </si>
  <si>
    <t>Allard Pierre-Olivier, Anne-Raphaëlle ASPIROT-LEBRASSEUR</t>
  </si>
  <si>
    <t>0 3e Rang</t>
  </si>
  <si>
    <t>-71.492354</t>
  </si>
  <si>
    <t>Roland MORNEAU</t>
  </si>
  <si>
    <t>FERME ROLAND MORNEAU IN</t>
  </si>
  <si>
    <t>4 480 523</t>
  </si>
  <si>
    <r>
      <t>3</t>
    </r>
    <r>
      <rPr>
        <i/>
        <sz val="7"/>
        <color theme="1"/>
        <rFont val="Helvetica"/>
        <family val="2"/>
      </rPr>
      <t xml:space="preserve">e </t>
    </r>
    <r>
      <rPr>
        <i/>
        <sz val="11"/>
        <color theme="1"/>
        <rFont val="Helvetica"/>
        <family val="2"/>
      </rPr>
      <t>rang Ouest</t>
    </r>
  </si>
  <si>
    <t>Bonne forme de parcelle, bâtiments sur la terre.</t>
  </si>
  <si>
    <t>29 811 979</t>
  </si>
  <si>
    <t>Ferme Aldo inc Donald Lefebvre</t>
  </si>
  <si>
    <t>Les aménagements La Chaumière (Jean-Guy Sylvain)</t>
  </si>
  <si>
    <t>2639391, 3 838902</t>
  </si>
  <si>
    <t>Saint-Lambert-de-Lauzon et Saint-Gilles</t>
  </si>
  <si>
    <t>34</t>
  </si>
  <si>
    <t>PFM</t>
  </si>
  <si>
    <t>Dépot tills, sol grossier, sableux</t>
  </si>
  <si>
    <t>Hangar 1500 pc</t>
  </si>
  <si>
    <t>2 sites éloignés de 6 km</t>
  </si>
  <si>
    <t>Simoneau Clermont</t>
  </si>
  <si>
    <t>Bergeron David</t>
  </si>
  <si>
    <t>5 691 403, 5 692 096</t>
  </si>
  <si>
    <t>ch des Quinze-Lots</t>
  </si>
  <si>
    <t>FERME B.J.D S.E.N.C</t>
  </si>
  <si>
    <t>GROUPE LAMOUREUX 2021 INC</t>
  </si>
  <si>
    <t>2 600 981</t>
  </si>
  <si>
    <t>carignan</t>
  </si>
  <si>
    <t>Chem. du Coteau de Trèfle N</t>
  </si>
  <si>
    <t>Vente en borudre d'autoroute, non drainée</t>
  </si>
  <si>
    <r>
      <t> </t>
    </r>
    <r>
      <rPr>
        <b/>
        <sz val="11"/>
        <color theme="1"/>
        <rFont val="Arial"/>
        <family val="2"/>
      </rPr>
      <t>FERME MEUNIER &amp; FILS INC.</t>
    </r>
    <r>
      <rPr>
        <sz val="11"/>
        <color theme="1"/>
        <rFont val="Arial"/>
        <family val="2"/>
      </rPr>
      <t>, </t>
    </r>
  </si>
  <si>
    <r>
      <t> </t>
    </r>
    <r>
      <rPr>
        <b/>
        <sz val="11"/>
        <color theme="1"/>
        <rFont val="Arial"/>
        <family val="2"/>
      </rPr>
      <t>FERME ST-GERMAIN &amp; FILLES INC. </t>
    </r>
  </si>
  <si>
    <r>
      <rPr>
        <sz val="12"/>
        <color rgb="FF000000"/>
        <rFont val="Arial"/>
        <family val="2"/>
      </rPr>
      <t> </t>
    </r>
    <r>
      <rPr>
        <b/>
        <sz val="11"/>
        <color rgb="FF000000"/>
        <rFont val="Arial"/>
        <family val="2"/>
      </rPr>
      <t>1 656 418, 1 657 632</t>
    </r>
  </si>
  <si>
    <t>718-658 Chem. de la Branche-du-Rapide</t>
  </si>
  <si>
    <t>terre drainée, séparée par un chemin, facilement accessible.</t>
  </si>
  <si>
    <t>29 829 062</t>
  </si>
  <si>
    <t>Jean-Claude RICHARD</t>
  </si>
  <si>
    <t>FERME L'ESPOIR INC Marcel BISSON Johanne CARRIER</t>
  </si>
  <si>
    <t>Le Val-St-François</t>
  </si>
  <si>
    <t>Val Joli</t>
  </si>
  <si>
    <t>rang 9, Val Joli</t>
  </si>
  <si>
    <t>-72.000282</t>
  </si>
  <si>
    <t>30,19</t>
  </si>
  <si>
    <t>Cours d'eau séparant la terre</t>
  </si>
  <si>
    <t xml:space="preserve">29 831 101 </t>
  </si>
  <si>
    <t>3 622 571</t>
  </si>
  <si>
    <t>29 834 581</t>
  </si>
  <si>
    <t>Solange BUSSIÈRES</t>
  </si>
  <si>
    <t>René VAILLANCOURT</t>
  </si>
  <si>
    <t>3 826 314, 3 826 225, 3 826 312</t>
  </si>
  <si>
    <t>Pont-rouge</t>
  </si>
  <si>
    <t>vendu au voisin (adresse voisine des achteurs et vendeurs), bâtiments sur la terre</t>
  </si>
  <si>
    <t>29 839 992</t>
  </si>
  <si>
    <t>Janie SIMONEAU</t>
  </si>
  <si>
    <t>Valérie GAUDREAU</t>
  </si>
  <si>
    <t>6 686 770</t>
  </si>
  <si>
    <t>chemn du Lac</t>
  </si>
  <si>
    <t>semble etre vente d'assemblage, relief et classe de sol pas excellent</t>
  </si>
  <si>
    <t xml:space="preserve">29 839 420 </t>
  </si>
  <si>
    <t>6  353  512, 6  353  513, 5 533 070</t>
  </si>
  <si>
    <t>29 870 353</t>
  </si>
  <si>
    <t>5 249 743, 5 250 707, 5 250 708, 5 250 711, 5 249 721</t>
  </si>
  <si>
    <t>29 868 428</t>
  </si>
  <si>
    <t>6 704 110, 6 704 111, 5 387 645, 5 387 398</t>
  </si>
  <si>
    <t>plsusieurs parcelles irrégulières, superficie boisée importante</t>
  </si>
  <si>
    <t>29 883 756</t>
  </si>
  <si>
    <t>Jean BLOUIN</t>
  </si>
  <si>
    <t>FERME R.C. TRUCHON ET FILS INC</t>
  </si>
  <si>
    <t>3 380 746</t>
  </si>
  <si>
    <t>terre accessible, déclivité dans les parcelles, bonne formes de parcelles</t>
  </si>
  <si>
    <t>29 885 481</t>
  </si>
  <si>
    <t>5  046  598, 5 043 929</t>
  </si>
  <si>
    <t>29 898 401</t>
  </si>
  <si>
    <t>4 632 318, 4 632 319</t>
  </si>
  <si>
    <t>29 899 378</t>
  </si>
  <si>
    <t>6 704 324</t>
  </si>
  <si>
    <t xml:space="preserve">29 906 715 </t>
  </si>
  <si>
    <t>5 884 213, 5 885 370</t>
  </si>
  <si>
    <t>29 910 184</t>
  </si>
  <si>
    <t>3 233 251</t>
  </si>
  <si>
    <t>Bourgeois Cecile</t>
  </si>
  <si>
    <t>Ferme M.G. S.E.N.C.</t>
  </si>
  <si>
    <t>3233251, 3 233 252, 3 233 253, 3 233 261, 6 642 715, 6 653 488</t>
  </si>
  <si>
    <t>0 ch du Roy</t>
  </si>
  <si>
    <t>-71.941016</t>
  </si>
  <si>
    <t>Limoneux</t>
  </si>
  <si>
    <t>Voie ferrée séparant la terre</t>
  </si>
  <si>
    <t>29 926 574</t>
  </si>
  <si>
    <t>5 981 211</t>
  </si>
  <si>
    <t>29 927 943</t>
  </si>
  <si>
    <t>4 333 683</t>
  </si>
  <si>
    <t>Blandine BEAULIEU</t>
  </si>
  <si>
    <t>Michel DUBÉ</t>
  </si>
  <si>
    <t>5 406 337</t>
  </si>
  <si>
    <t>Lac-des-Aigles</t>
  </si>
  <si>
    <t>rue Lepage</t>
  </si>
  <si>
    <t>un tiers</t>
  </si>
  <si>
    <t>terre a proximité d'un lotissement, enclavée, petit bâtiment</t>
  </si>
  <si>
    <t>29 959 742</t>
  </si>
  <si>
    <t>5 363 420, 5  363  422, 5  363  423, 5 361 328</t>
  </si>
  <si>
    <t>Vallerand Marcel</t>
  </si>
  <si>
    <t>Tanguay Louis-Philippe</t>
  </si>
  <si>
    <t>2981254, 2 981 246</t>
  </si>
  <si>
    <t>0 rue du Coteau-Des-Roches</t>
  </si>
  <si>
    <t>-71.916370</t>
  </si>
  <si>
    <t>2 petits lots séparés par une voie ferrée</t>
  </si>
  <si>
    <t>29 973 132</t>
  </si>
  <si>
    <t>5 018 513, 5 249 150, 6 687 012</t>
  </si>
  <si>
    <t>29 981 459</t>
  </si>
  <si>
    <t>MARTIN ROY</t>
  </si>
  <si>
    <t>9072-1242 QUÉBEC INC Nicolas Beaudoin</t>
  </si>
  <si>
    <t>3 691 584</t>
  </si>
  <si>
    <t>5e Rang, Saint-Raphaël</t>
  </si>
  <si>
    <t>-70.798943</t>
  </si>
  <si>
    <t>12,86</t>
  </si>
  <si>
    <t>Chemin parcourant la terre</t>
  </si>
  <si>
    <t>29 977 104</t>
  </si>
  <si>
    <t>5 884 296</t>
  </si>
  <si>
    <t>29 985 072</t>
  </si>
  <si>
    <t>6 708 958</t>
  </si>
  <si>
    <t xml:space="preserve"> 29 983 729</t>
  </si>
  <si>
    <t>6 689 110</t>
  </si>
  <si>
    <t>Belanger Gilles</t>
  </si>
  <si>
    <t>Ferme Paulemie Inc.</t>
  </si>
  <si>
    <t>-72.165571</t>
  </si>
  <si>
    <t>7</t>
  </si>
  <si>
    <t>Michel Germain</t>
  </si>
  <si>
    <t>9197-0228 Québec inc.</t>
  </si>
  <si>
    <t>ruisseau traversant la terre au sud, accessible, forme de parcelles décentes</t>
  </si>
  <si>
    <t>29 990 585</t>
  </si>
  <si>
    <t>Daniel BÉLANGER</t>
  </si>
  <si>
    <t>Jacques COUILLARD</t>
  </si>
  <si>
    <t>5 933 409</t>
  </si>
  <si>
    <t>3 &amp; 5</t>
  </si>
  <si>
    <t>W &amp; RT</t>
  </si>
  <si>
    <t>déclivité importante dans la boisé, terre accessible, zone humide dans le boisé</t>
  </si>
  <si>
    <t xml:space="preserve">29 995 659 </t>
  </si>
  <si>
    <t>4 647 321</t>
  </si>
  <si>
    <t>Ferme Gilly S.E.N.C. Nicolas Auger et Gilles Auger</t>
  </si>
  <si>
    <t>Du Sablon-Rochette Alexandra</t>
  </si>
  <si>
    <t>3506924, 3 506 892, 3 506 896, 3506925, 3506915, 3506916</t>
  </si>
  <si>
    <t>-71.671867</t>
  </si>
  <si>
    <t>Boisé avec potentiel acéricole</t>
  </si>
  <si>
    <t xml:space="preserve">30 070 096 </t>
  </si>
  <si>
    <t>FERME LACÔTHE INC</t>
  </si>
  <si>
    <t>9520-2487 QUÉBEC INC.</t>
  </si>
  <si>
    <t>3 380 990</t>
  </si>
  <si>
    <t>grande superficie dans les montagnes, petite cabane sur la terre, bon potentiel acéricole</t>
  </si>
  <si>
    <t>30 083 301</t>
  </si>
  <si>
    <t>3 829 588</t>
  </si>
  <si>
    <t>joliette</t>
  </si>
  <si>
    <t>Saint-Paul</t>
  </si>
  <si>
    <t>30 090 017</t>
  </si>
  <si>
    <t>4 781 347, 4 781 348, 4 781 324, 4 781 325, 4 781 326, 4 781 332, 4 783 309, 4 783 310, 4 783 311, 4 781 853</t>
  </si>
  <si>
    <t>Saint-Thomas</t>
  </si>
  <si>
    <t>30 091 585</t>
  </si>
  <si>
    <t>5 884 316</t>
  </si>
  <si>
    <t>Ferme Caprineige S.E.N.C. Caroline MATTE</t>
  </si>
  <si>
    <t>Ferme Paulemie Inc. Christian GARNEAU</t>
  </si>
  <si>
    <t>St-Thuribe</t>
  </si>
  <si>
    <t>-72.129207</t>
  </si>
  <si>
    <t>Chemin traversant la terre. Ligne Hydro traversant la terre boisée</t>
  </si>
  <si>
    <t>Angers Catherine, Lucien, Louise, Claire et Sylvie CÔTÉ,</t>
  </si>
  <si>
    <t>Beaudry Elie</t>
  </si>
  <si>
    <t>3831613, 3831660</t>
  </si>
  <si>
    <t>-71.607155</t>
  </si>
  <si>
    <t>Étang (récréatif). Terre traversée par une voie ferrée</t>
  </si>
  <si>
    <t>M.P. Mercure Et Freres Inc.</t>
  </si>
  <si>
    <t>Ferme Leo Jacobs Et Fils Inc.</t>
  </si>
  <si>
    <t>Cap-Sante</t>
  </si>
  <si>
    <t>-71.743832</t>
  </si>
  <si>
    <t>30 110 583</t>
  </si>
  <si>
    <t>Sylvie PERREAULT, Guy MERCIER</t>
  </si>
  <si>
    <t>Samuel MERCIER, Anthony MERCIER</t>
  </si>
  <si>
    <t>5 041 184</t>
  </si>
  <si>
    <t>11e Rang, à Sainte-Clotilde-de-Beauce</t>
  </si>
  <si>
    <t>-71.022944</t>
  </si>
  <si>
    <t>Terre noire</t>
  </si>
  <si>
    <t>Vente potentiellement liée</t>
  </si>
  <si>
    <t>30 119 717</t>
  </si>
  <si>
    <t>5 288 130, 5 289 873, 5 288 127, 5 289 687, 5 289 869, 5 288 376</t>
  </si>
  <si>
    <t>30 121 747</t>
  </si>
  <si>
    <t>5 396 227</t>
  </si>
  <si>
    <t>Bonne forme de parcelle, accessible, sans boisé</t>
  </si>
  <si>
    <t>30 131 307</t>
  </si>
  <si>
    <t>Luc BELZIL</t>
  </si>
  <si>
    <t>9511-3700 QUÉBEC INC, 9341-0504 QUÉBEC INC.</t>
  </si>
  <si>
    <t>5 514 873, 6 643 546</t>
  </si>
  <si>
    <t>Disraeli</t>
  </si>
  <si>
    <t>5e rang, Disraeli</t>
  </si>
  <si>
    <t>-71.334691</t>
  </si>
  <si>
    <t>5-7</t>
  </si>
  <si>
    <t>30 138 159</t>
  </si>
  <si>
    <t>Larose Michel</t>
  </si>
  <si>
    <t>Larose Keven</t>
  </si>
  <si>
    <t>2 977 402, 3 118 680, 2 977 424</t>
  </si>
  <si>
    <t>rte de l' Hydro</t>
  </si>
  <si>
    <t>-78.079849</t>
  </si>
  <si>
    <t>potentiellement liée</t>
  </si>
  <si>
    <t>30 140 379</t>
  </si>
  <si>
    <t>5 692 098, 5 692 538, 6 696 672, 6 708 135</t>
  </si>
  <si>
    <t xml:space="preserve"> 30 143 435</t>
  </si>
  <si>
    <t>6 708 121</t>
  </si>
  <si>
    <t>boisé acéricole, terre parcelle régulière et accessible</t>
  </si>
  <si>
    <t>30 162 893</t>
  </si>
  <si>
    <t>4 341 173, 2 357 508, 2 360 181, 3 028 563, 2 639 743, 2 639 744, 2 639 746, 2 639 756, 2 640 169, 2 640 172, 2 640 178, 2 640 179, 2 640 181, 3028224, 3028225, 3028838</t>
  </si>
  <si>
    <t>Ferme J.N.P. Marcotte Inc.</t>
  </si>
  <si>
    <t>Coulombe Vincent</t>
  </si>
  <si>
    <t>4896983, 4896985, 4896988, 4896993, 4896994, 4896995</t>
  </si>
  <si>
    <t>St-Basile</t>
  </si>
  <si>
    <t>0 rang Ste-Anne</t>
  </si>
  <si>
    <t>-71.876504</t>
  </si>
  <si>
    <t>Argile, loam sableux</t>
  </si>
  <si>
    <t>30 196 235</t>
  </si>
  <si>
    <t>6 027 770</t>
  </si>
  <si>
    <t>30 201 347</t>
  </si>
  <si>
    <t>LES ÉLEVAGES PORCINS DE BEAUCE INC Philip POULIN</t>
  </si>
  <si>
    <t>Louis FAUCHER</t>
  </si>
  <si>
    <t>3 255 067</t>
  </si>
  <si>
    <t>route Saint-Louis,  Sainte-Marie</t>
  </si>
  <si>
    <t>-70.963230</t>
  </si>
  <si>
    <t>Vente d'assemblage (voir décision 448103)</t>
  </si>
  <si>
    <t>30 236 843</t>
  </si>
  <si>
    <t>Alain BLIER</t>
  </si>
  <si>
    <t>FERME BELVOIE (2015) INC Cyrille BÉLANGER</t>
  </si>
  <si>
    <t>5 538  246, 5 797  099</t>
  </si>
  <si>
    <t>Saint-Ulric</t>
  </si>
  <si>
    <t>rang 4 Est, Saint-Ulric</t>
  </si>
  <si>
    <t>-67.624327</t>
  </si>
  <si>
    <t>Potentiel acéricole 5.1 ha. Coupe partielle (boisé), présence de friches</t>
  </si>
  <si>
    <t>Alain LEMIEUX</t>
  </si>
  <si>
    <t>9307-9705 QUÉBEC INC</t>
  </si>
  <si>
    <t>5 739 669, 6 641 436</t>
  </si>
  <si>
    <t>chemin Corriveau</t>
  </si>
  <si>
    <t>Grande parcelles, non assurée</t>
  </si>
  <si>
    <t>2 600 801, 2 600 989</t>
  </si>
  <si>
    <t>5 304 428, 5 304 748, 5 304 332, 5 304 640, 5 304 647, 5 304 648, 5 304 302, 6 052 650</t>
  </si>
  <si>
    <t>4 987 255, 4 986 997, 4 987 253, 4 987 254, 4 987 748, 5 367 857, 6 393 435, 4 987 058, 4 987 770, 4 987 781, 4 988 269, 5 963 499, 6 266 291, 4 987 005, 6 353 523, 6 353 522, 4 987 769, 5 524 829, 5 367 862, 4 987 249, 4 987 008, 4 987 009</t>
  </si>
  <si>
    <t>5 765 576, 5 765 575, 5 765 574, 5 765 573, 5 765 096, 5 763 743, 5 763 742, 5 765 584, 5 763 804, 5 765 506, 5 763 781, 5 765 349, 5 765 577, 5 763 577, 5 763 823</t>
  </si>
  <si>
    <t>4 617 144, 4 617 333, 4 617 499, 4 617 500</t>
  </si>
  <si>
    <t>4 371 814, 4 371 869, 4 371 874, 4 371 821, 4 371 870, 4 371 875, 4 371 822, 4 371 871, 4 371 867, 4 371 872, 4 371 868, 4 371 873, 5 220 553, 4 371 097, 4 371 815, 4 371 816, 4 371 817, 4 371 818, 4 371 819</t>
  </si>
  <si>
    <t>6 203 217</t>
  </si>
  <si>
    <t>Auclair</t>
  </si>
  <si>
    <t>6568472, 5 423 302</t>
  </si>
  <si>
    <t>4095283, 6 599 212, 4 093 437, 4 095 282, 4 095 283, 4 095 284</t>
  </si>
  <si>
    <t>4759858, 3 655 517</t>
  </si>
  <si>
    <t>4 788 277, 4948335</t>
  </si>
  <si>
    <t>5 426 995, 5 427 014, 5 427 034, 6 174 272, 5427100</t>
  </si>
  <si>
    <t>5 170 410, 5 170 494, 6 627 760, 5170493</t>
  </si>
  <si>
    <t>, 5 726 807, 6 579 561, 5 727 102, 5726767</t>
  </si>
  <si>
    <t>4 948 629, 4 948 695, 4 948 706, 4 949 083, 4948706</t>
  </si>
  <si>
    <t>5 427 044, 5 727 109, 6568475</t>
  </si>
  <si>
    <t>29 411 831</t>
  </si>
  <si>
    <t>6 610 559</t>
  </si>
  <si>
    <t>29 379 921</t>
  </si>
  <si>
    <t>6 648 339</t>
  </si>
  <si>
    <t>29 983 148</t>
  </si>
  <si>
    <t>6 707 463, 6 446 598</t>
  </si>
  <si>
    <t>29 974 070</t>
  </si>
  <si>
    <t>4 307 411, 4 307 410, 4 307 412</t>
  </si>
  <si>
    <t>29 852 622</t>
  </si>
  <si>
    <t>5 661 341, 6 685 637</t>
  </si>
  <si>
    <t>29 379 918</t>
  </si>
  <si>
    <t>6 179 587, 6 232 623</t>
  </si>
  <si>
    <t>29 941 360</t>
  </si>
  <si>
    <t>6 700 613</t>
  </si>
  <si>
    <t>29 534 295</t>
  </si>
  <si>
    <t>4 016 926</t>
  </si>
  <si>
    <t>29 127 261</t>
  </si>
  <si>
    <t>6 656 911</t>
  </si>
  <si>
    <t>29 997 663</t>
  </si>
  <si>
    <t>3 712 445, 3 712 674, 3 712 675</t>
  </si>
  <si>
    <t>29 976 974</t>
  </si>
  <si>
    <t>3 587 044, 3 587 046</t>
  </si>
  <si>
    <t>29 967 937</t>
  </si>
  <si>
    <t>3 712 498, 3 712 499, 3 712 500, 3 712 719, 3 712 722, 3 712 734, 6 682 909, 6 682 911</t>
  </si>
  <si>
    <t>29 741 361</t>
  </si>
  <si>
    <t>3 250 212, 3 250 281, 3 250 210, 3 250 276, 6 695 120</t>
  </si>
  <si>
    <t xml:space="preserve">29 778 682 </t>
  </si>
  <si>
    <t>6 655 577</t>
  </si>
  <si>
    <t>29 859 694</t>
  </si>
  <si>
    <t>3 060 705</t>
  </si>
  <si>
    <t>29 848 734</t>
  </si>
  <si>
    <t>5 719 674, 5 720 084, 5 720 212</t>
  </si>
  <si>
    <t>30 006 863</t>
  </si>
  <si>
    <t>5 720 326</t>
  </si>
  <si>
    <t>29 315 456</t>
  </si>
  <si>
    <t>6 654 658</t>
  </si>
  <si>
    <t>30 168 141</t>
  </si>
  <si>
    <t>6 050 272</t>
  </si>
  <si>
    <t>30 196 658</t>
  </si>
  <si>
    <t>3  170  075, 3 168 854</t>
  </si>
  <si>
    <t>Grosses-roches</t>
  </si>
  <si>
    <t>30 171 148</t>
  </si>
  <si>
    <t>3 814 514, 3 814 522, 3 814 469</t>
  </si>
  <si>
    <t>30 217 176</t>
  </si>
  <si>
    <t>3  518  064</t>
  </si>
  <si>
    <t>Jacques Laurent</t>
  </si>
  <si>
    <t>Ferme Drapeau &amp; Fils</t>
  </si>
  <si>
    <t>6661836, 6 661 835</t>
  </si>
  <si>
    <t>11e Rang, Disraeli (Paroisse)</t>
  </si>
  <si>
    <t>28 787 546</t>
  </si>
  <si>
    <t>4 780 943,4 780 944,4 780 945,4 780 946,4 780 947,4 780 948,4 780 949,4 780 950, 4 780 966, 4 781 754, 5 946  716, 6 059  952, 5 653 832</t>
  </si>
  <si>
    <t>28 795 728</t>
  </si>
  <si>
    <t>4 781 070, 4 781 114</t>
  </si>
  <si>
    <t>28 508 152</t>
  </si>
  <si>
    <t>6 315 293, 4 781 361, 4 782 097</t>
  </si>
  <si>
    <t xml:space="preserve">28 952 640 </t>
  </si>
  <si>
    <t>2 902 935, 2 903 691, 2 903 690</t>
  </si>
  <si>
    <t>29 123 610</t>
  </si>
  <si>
    <t>2 902 786, 4 736 973</t>
  </si>
  <si>
    <t>30 098 418</t>
  </si>
  <si>
    <t>4 284 147, 4 284 148, 4 284 149, 5 233 578</t>
  </si>
  <si>
    <t>Ste-Gertrude-Manneville</t>
  </si>
  <si>
    <t>30 263 192</t>
  </si>
  <si>
    <t>4 005 043, 5 839 319</t>
  </si>
  <si>
    <t>5 614 874</t>
  </si>
  <si>
    <t>Rochebaucourt</t>
  </si>
  <si>
    <t>29 319 000</t>
  </si>
  <si>
    <t>5 547 329</t>
  </si>
  <si>
    <t>29 579 049</t>
  </si>
  <si>
    <t>4 336 198, 4 336 452, 4 336 480, 4 336 481, 4 336 579, 4 762 849, 4  762  850, 4  762  851, 4  762  858, 4  762  859, 4 762 860, 4 762 861, 4 762 862, 4 762 863, 4    762    875, 4 762 876, 4 336 214, 4   336   485, 4 762 852, 4 762 868, 4 336 215, 4   336   486, 4    762    853, 4 762 869, 4 336 220, 4   336   483, 4  336  484, 4 336 507, 4   762   854, 4   762   864, 4   762   866, 4   762   867, 4 762 870, 4   762   871, 4   762   872, 6 301 384, 4 336 236, 4 336 529, 4 336 530, 4 336 531, 4 762 857, 4 762 873, 4   762   874, 4 336 235, 4 762 856</t>
  </si>
  <si>
    <t>29 644 311</t>
  </si>
  <si>
    <t>5 226 024, 5 545 958, 5 546 683, 5 546 681, 5 546 682, 5 546 680, 5 545 926, 5 546 685, 5 546 686, 5 546 687, 5 546 688, 5 547 160, 5 546 684, 5 546 698, 5 545 839, 5 227 245</t>
  </si>
  <si>
    <t>29 934 707</t>
  </si>
  <si>
    <t>5 675 619, 6 675 148, 6 675 151, 6 675 155, 6 675 153, 6 675 157, 6 675 159, 6 675 161</t>
  </si>
  <si>
    <t>29 941 049</t>
  </si>
  <si>
    <t>5 547  441, 5 547 714, 5 547 715, 6 625 563, 5 547   023, 5 547   442, 5 547 141, 5 547 446, 5 547  729, 5 548   080</t>
  </si>
  <si>
    <t>29 956 882</t>
  </si>
  <si>
    <t>5 674 660</t>
  </si>
  <si>
    <t xml:space="preserve">30 146 295 </t>
  </si>
  <si>
    <t>4 476 985, 4 476 986, 4 476 987, 4 476 988, 4 476 989, 4 476 990, 4 476 991, 4 476 992, 4 476 993, 4 476 748, 4 336 088</t>
  </si>
  <si>
    <t>30 185 363</t>
  </si>
  <si>
    <t>5 547 049, 5 547 694, 5 547 695, 5 547 696, 6 696 485, 5 546 866</t>
  </si>
  <si>
    <t>30 273 173</t>
  </si>
  <si>
    <t>5 545 738</t>
  </si>
  <si>
    <t>30 292 831</t>
  </si>
  <si>
    <t>6 707 409</t>
  </si>
  <si>
    <t>Saint-clément</t>
  </si>
  <si>
    <t xml:space="preserve"> 30 292 836 </t>
  </si>
  <si>
    <t>6 252 807, 5 839 944, 6 252 808, 6 252 809, 6 252 81</t>
  </si>
  <si>
    <t>Saint-Paul-de-la-Croix</t>
  </si>
  <si>
    <t>30 046 992</t>
  </si>
  <si>
    <t>6 709 212</t>
  </si>
  <si>
    <t>St-Michel-De-Bellechasse</t>
  </si>
  <si>
    <t>30 256 392</t>
  </si>
  <si>
    <t xml:space="preserve">2 357 927, 2 360 449, 2 360 450, 2 360 451, 2 360 452, 2 360 453, 3 028 589, </t>
  </si>
  <si>
    <t>Total Les Chenaux</t>
  </si>
  <si>
    <t>Total général</t>
  </si>
  <si>
    <t>Nom de l'analyste</t>
  </si>
  <si>
    <t>Type de recherche</t>
  </si>
  <si>
    <t>Date début</t>
  </si>
  <si>
    <t>Date fin</t>
  </si>
  <si>
    <t>Municipalité</t>
  </si>
  <si>
    <t>Mot clé ferme uniquement</t>
  </si>
  <si>
    <t>Simon</t>
  </si>
  <si>
    <t>Terres</t>
  </si>
  <si>
    <t>Terres et bois</t>
  </si>
  <si>
    <t>Ferme</t>
  </si>
  <si>
    <t>Kaka</t>
  </si>
  <si>
    <t>Érablière</t>
  </si>
  <si>
    <t>Bois</t>
  </si>
  <si>
    <t>Abitibi-Ouest</t>
  </si>
  <si>
    <t>FPE</t>
  </si>
  <si>
    <t>Terres -5ha</t>
  </si>
  <si>
    <t>Bois -5ha</t>
  </si>
  <si>
    <t>Antoine-Labelle</t>
  </si>
  <si>
    <t>Eloi</t>
  </si>
  <si>
    <t>Autre (préciser)</t>
  </si>
  <si>
    <t>Acéricole</t>
  </si>
  <si>
    <t>Beauce-Centre</t>
  </si>
  <si>
    <t>Lac frontière</t>
  </si>
  <si>
    <t>Bonaventure</t>
  </si>
  <si>
    <t>Berthier-sur-mer</t>
  </si>
  <si>
    <t>Saint-francois-de-la-rivère-du-sud</t>
  </si>
  <si>
    <t>D'Autray</t>
  </si>
  <si>
    <t>Deux-Montagnes</t>
  </si>
  <si>
    <t>kaka</t>
  </si>
  <si>
    <t>La Côte-de-Gaspé</t>
  </si>
  <si>
    <t>Lac-Saint-Jean-Est</t>
  </si>
  <si>
    <t>Beaumont</t>
  </si>
  <si>
    <t>St-Charles-de-Bellechasse</t>
  </si>
  <si>
    <t>La Haute-Gaspésie</t>
  </si>
  <si>
    <t>La Jacques-Cartier</t>
  </si>
  <si>
    <t>La Matanie (ou Matane [DR])</t>
  </si>
  <si>
    <t>La Matapédia</t>
  </si>
  <si>
    <t>ELoi</t>
  </si>
  <si>
    <t>La Rivière-du-Nord</t>
  </si>
  <si>
    <t>L'Assomption</t>
  </si>
  <si>
    <t>La Vallée-de-la-Gatineau</t>
  </si>
  <si>
    <t>ELOI</t>
  </si>
  <si>
    <t>Sainte-croix,Saint-antoine-de-tilly,Saint-appolinnaire,Notre-dame-du-sacré-cœur,lotbinière,saintédouard-de-lotbinière</t>
  </si>
  <si>
    <t>Le Haut-Saint-Laurent</t>
  </si>
  <si>
    <t>Franklin, Elgin,Hinchinbrooke,Havelock,Saint-chrysostome,ormstown</t>
  </si>
  <si>
    <t>Le Domaine-du-Roy</t>
  </si>
  <si>
    <t>Saint-tite, saint-adelphe, Grandes-piles, Sainte-thècle, saint séverin</t>
  </si>
  <si>
    <t>Le-Fjord-du-Saguenay</t>
  </si>
  <si>
    <t>Les Jardins-de-Napierville</t>
  </si>
  <si>
    <t>Jonquière</t>
  </si>
  <si>
    <t>Chicoutimi</t>
  </si>
  <si>
    <t>Le Rocher-Percé</t>
  </si>
  <si>
    <t>La Baie</t>
  </si>
  <si>
    <t>Les Collines-de-l'Outaouais</t>
  </si>
  <si>
    <t>Saint-cuthbert, saint geneviève, lanoraie</t>
  </si>
  <si>
    <t>Les Laurentides</t>
  </si>
  <si>
    <t>La Tuque</t>
  </si>
  <si>
    <t>+100 ha</t>
  </si>
  <si>
    <t>Les Moulins</t>
  </si>
  <si>
    <t>Les Pays-d'en-Haut</t>
  </si>
  <si>
    <t>Les Sources</t>
  </si>
  <si>
    <t>Le Val-Saint-François</t>
  </si>
  <si>
    <t>L'Île-d'Orléans</t>
  </si>
  <si>
    <t>Maria-Chapdelaine</t>
  </si>
  <si>
    <t>Brossard</t>
  </si>
  <si>
    <t>Maskinongé</t>
  </si>
  <si>
    <t>St-Amable</t>
  </si>
  <si>
    <t>Ste-Julie</t>
  </si>
  <si>
    <t>Montcalm</t>
  </si>
  <si>
    <t>Pontiac</t>
  </si>
  <si>
    <t>Rivière-du-Loup</t>
  </si>
  <si>
    <t>Témiscamingue</t>
  </si>
  <si>
    <t>Sainte-apolline-de-patton, Notre-dame-du-rosaire,cap-saint-ignace</t>
  </si>
  <si>
    <t>Thérèse-De Blainville</t>
  </si>
  <si>
    <t>Henryville Saint-blaise-sur-richelieu Saint-georges-de-clarenceville Saint-Alexandre Saint-Jean-sur-Richelieu</t>
  </si>
  <si>
    <t>Bois- 10ha</t>
  </si>
  <si>
    <t>Tingwick,Warwick,Saint-albert, saint-chritstophe, kingsley falls</t>
  </si>
  <si>
    <t>St-Prosper-de-Champlain</t>
  </si>
  <si>
    <t>100 000+</t>
  </si>
  <si>
    <t>Ste-Geneviève-de-Batiscan</t>
  </si>
  <si>
    <t>St-Adelphe</t>
  </si>
  <si>
    <t>Ste-Anne-de-la-Pérade</t>
  </si>
  <si>
    <t>St-Narcisse</t>
  </si>
  <si>
    <t>Elgin</t>
  </si>
  <si>
    <t>Saint-Chrysostome</t>
  </si>
  <si>
    <t>bois</t>
  </si>
  <si>
    <t>10ha et -</t>
  </si>
  <si>
    <t>Les-Jardins-de-Napierville</t>
  </si>
  <si>
    <t xml:space="preserve">Barnston-ouest </t>
  </si>
  <si>
    <t>stanstead-ouest</t>
  </si>
  <si>
    <t>Rivière-bleue</t>
  </si>
  <si>
    <t>Saint-marc-du-lac-long</t>
  </si>
  <si>
    <t>Pohénégamook</t>
  </si>
  <si>
    <t>Saint-Louis-du-Ha! Ha!</t>
  </si>
  <si>
    <t>Lac-des-aigles</t>
  </si>
  <si>
    <t>Saint-Michel-du-Squatec</t>
  </si>
  <si>
    <t>Saint-juste-du-lac</t>
  </si>
  <si>
    <t>Saint-philibert</t>
  </si>
  <si>
    <t>Saint-côme-de-linière</t>
  </si>
  <si>
    <t>saint-benoit-labre</t>
  </si>
  <si>
    <t>Notre-dame-des-pins</t>
  </si>
  <si>
    <t>Saint-Jules</t>
  </si>
  <si>
    <t>Saint-Victor</t>
  </si>
  <si>
    <t>30/10/2025</t>
  </si>
  <si>
    <t>québec</t>
  </si>
  <si>
    <t>saint-gabriel-de-la-valcartier</t>
  </si>
  <si>
    <t>sainte-catherine-de-la-valcartier</t>
  </si>
  <si>
    <t>Haut saint-charles</t>
  </si>
  <si>
    <t>Sainte-Foy</t>
  </si>
  <si>
    <t>Charlevoix-est</t>
  </si>
  <si>
    <t>saint-tite-des-caps</t>
  </si>
  <si>
    <t>Saint-férréol-les-neiges</t>
  </si>
  <si>
    <t>Sainte-anne-de-beaupré</t>
  </si>
  <si>
    <t>saint-jean-de-matha</t>
  </si>
  <si>
    <t>sainte-beatrix</t>
  </si>
  <si>
    <t>sainte-mélanie</t>
  </si>
  <si>
    <t>saint-felix-de-valois</t>
  </si>
  <si>
    <t>Saint-ambroise-de-kildare</t>
  </si>
  <si>
    <t>l'assomption</t>
  </si>
  <si>
    <t>Mirabel</t>
  </si>
  <si>
    <t>papineau</t>
  </si>
  <si>
    <t>la Haute-côte-Nord</t>
  </si>
  <si>
    <t>sept-rivières</t>
  </si>
  <si>
    <t>Pierre-Eugène</t>
  </si>
  <si>
    <t>Terre et bois</t>
  </si>
  <si>
    <t xml:space="preserve">Pierre-Eugène </t>
  </si>
  <si>
    <t>SIA</t>
  </si>
  <si>
    <t>-70.734833</t>
  </si>
  <si>
    <t>Zone agricole (CPTAQ)</t>
  </si>
  <si>
    <t>Contingent acéricole (Livres)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</si>
</sst>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 * #,##0.00_)\ &quot;$&quot;_ ;_ * \(#,##0.00\)\ &quot;$&quot;_ ;_ * &quot;-&quot;??_)\ &quot;$&quot;_ ;_ @_ "/>
    <numFmt numFmtId="43" formatCode="_ * #,##0.00_)_ ;_ * \(#,##0.00\)_ ;_ * &quot;-&quot;??_)_ ;_ @_ "/>
    <numFmt numFmtId="164" formatCode="&quot;$&quot;#,##0_);[Red]\(&quot;$&quot;#,##0\)"/>
    <numFmt numFmtId="165" formatCode="yyyy\-mm\-dd;@"/>
    <numFmt numFmtId="166" formatCode="#,##0.00\ &quot;$&quot;"/>
    <numFmt numFmtId="167" formatCode="_ * #,##0_)\ &quot;$&quot;_ ;_ * \(#,##0\)\ &quot;$&quot;_ ;_ * &quot;-&quot;??_)\ &quot;$&quot;_ ;_ @_ "/>
    <numFmt numFmtId="168" formatCode="_ * #,##0_)_ ;_ * \(#,##0\)_ ;_ * &quot;-&quot;??_)_ ;_ @_ "/>
    <numFmt numFmtId="169" formatCode="0.0"/>
    <numFmt numFmtId="170" formatCode="_(* #\ ###\ ##0_);_(* \(#,##0\);_(* &quot;-&quot;_);_(@_)"/>
    <numFmt numFmtId="171" formatCode="&quot;$&quot;#,##0.00"/>
  </numFmts>
  <fonts count="55">
    <font>
      <sz val="11"/>
      <color theme="1"/>
      <name val="Calibri"/>
      <family val="2"/>
      <scheme val="minor"/>
    </font>
    <font>
      <sz val="11"/>
      <color theme="1"/>
      <name val="Calibri"/>
      <family val="2"/>
      <scheme val="minor"/>
    </font>
    <font>
      <u/>
      <sz val="11"/>
      <color theme="10"/>
      <name val="Calibri"/>
      <family val="2"/>
      <scheme val="minor"/>
    </font>
    <font>
      <sz val="10"/>
      <name val="Arial"/>
      <family val="2"/>
    </font>
    <font>
      <sz val="11"/>
      <name val="Calibri"/>
      <family val="2"/>
      <scheme val="minor"/>
    </font>
    <font>
      <i/>
      <sz val="11"/>
      <name val="Calibri"/>
      <family val="2"/>
      <scheme val="minor"/>
    </font>
    <font>
      <i/>
      <sz val="11"/>
      <color theme="1"/>
      <name val="Calibri"/>
      <family val="2"/>
      <scheme val="minor"/>
    </font>
    <font>
      <b/>
      <sz val="11"/>
      <color theme="1"/>
      <name val="Calibri"/>
      <family val="2"/>
      <scheme val="minor"/>
    </font>
    <font>
      <sz val="11"/>
      <color rgb="FF000000"/>
      <name val="Calibri"/>
      <family val="2"/>
      <scheme val="minor"/>
    </font>
    <font>
      <b/>
      <sz val="11"/>
      <name val="Calibri"/>
      <family val="2"/>
      <scheme val="minor"/>
    </font>
    <font>
      <b/>
      <sz val="11"/>
      <color rgb="FF000000"/>
      <name val="Calibri"/>
      <family val="2"/>
      <scheme val="minor"/>
    </font>
    <font>
      <i/>
      <sz val="10"/>
      <color theme="1"/>
      <name val="Helvetica"/>
      <family val="2"/>
    </font>
    <font>
      <sz val="11"/>
      <color theme="1"/>
      <name val="Montserrat"/>
    </font>
    <font>
      <sz val="8"/>
      <name val="Calibri"/>
      <family val="2"/>
      <scheme val="minor"/>
    </font>
    <font>
      <sz val="11"/>
      <color theme="1"/>
      <name val="Times"/>
    </font>
    <font>
      <sz val="11"/>
      <color theme="1"/>
      <name val="Helvetica"/>
      <family val="2"/>
    </font>
    <font>
      <sz val="11"/>
      <color rgb="FF1F1F1F"/>
      <name val="Arial"/>
      <family val="2"/>
    </font>
    <font>
      <sz val="11"/>
      <color rgb="FF000000"/>
      <name val="Aptos Narrow"/>
      <family val="2"/>
    </font>
    <font>
      <sz val="10"/>
      <color theme="1"/>
      <name val="Arial"/>
      <family val="2"/>
    </font>
    <font>
      <sz val="11"/>
      <name val="Montserrat"/>
    </font>
    <font>
      <sz val="11"/>
      <color rgb="FF000000"/>
      <name val="Montserrat"/>
    </font>
    <font>
      <sz val="10"/>
      <color theme="1"/>
      <name val="Helvetica"/>
      <family val="2"/>
    </font>
    <font>
      <i/>
      <sz val="11"/>
      <color theme="1"/>
      <name val="Helvetica"/>
      <family val="2"/>
    </font>
    <font>
      <i/>
      <sz val="12"/>
      <color theme="1"/>
      <name val="Helvetica"/>
      <family val="2"/>
    </font>
    <font>
      <i/>
      <sz val="7"/>
      <color theme="1"/>
      <name val="Helvetica"/>
      <family val="2"/>
    </font>
    <font>
      <i/>
      <sz val="12"/>
      <color theme="1"/>
      <name val="Times"/>
    </font>
    <font>
      <i/>
      <sz val="10"/>
      <color rgb="FF0000FF"/>
      <name val="Helvetica"/>
      <family val="2"/>
    </font>
    <font>
      <sz val="12"/>
      <color theme="1"/>
      <name val="Arial"/>
      <family val="2"/>
    </font>
    <font>
      <b/>
      <sz val="10"/>
      <color theme="1"/>
      <name val="Arial"/>
      <family val="2"/>
    </font>
    <font>
      <i/>
      <sz val="9"/>
      <color theme="1"/>
      <name val="Helvetica"/>
      <family val="2"/>
    </font>
    <font>
      <sz val="12"/>
      <color theme="1"/>
      <name val="Helvetica"/>
      <family val="2"/>
    </font>
    <font>
      <sz val="12"/>
      <color theme="1"/>
      <name val="Times New Roman"/>
      <family val="1"/>
    </font>
    <font>
      <b/>
      <sz val="12"/>
      <color theme="1"/>
      <name val="Times New Roman"/>
      <family val="1"/>
    </font>
    <font>
      <i/>
      <sz val="12"/>
      <color rgb="FF0000FF"/>
      <name val="Helvetica"/>
      <family val="2"/>
    </font>
    <font>
      <i/>
      <sz val="11"/>
      <color rgb="FF0000FF"/>
      <name val="Helvetica"/>
      <family val="2"/>
    </font>
    <font>
      <sz val="12"/>
      <color rgb="FF000000"/>
      <name val="Helvetica Neue"/>
      <family val="2"/>
    </font>
    <font>
      <sz val="12"/>
      <color rgb="FF000000"/>
      <name val="Arial"/>
      <family val="2"/>
    </font>
    <font>
      <b/>
      <sz val="11"/>
      <color theme="1"/>
      <name val="Arial"/>
      <family val="2"/>
    </font>
    <font>
      <sz val="11"/>
      <color rgb="FFFF0000"/>
      <name val="Calibri"/>
      <family val="2"/>
      <scheme val="minor"/>
    </font>
    <font>
      <i/>
      <sz val="13"/>
      <color rgb="FF0000FF"/>
      <name val="Helvetica"/>
      <family val="2"/>
    </font>
    <font>
      <i/>
      <sz val="13"/>
      <color rgb="FF0000FF"/>
      <name val="Times"/>
    </font>
    <font>
      <i/>
      <sz val="13"/>
      <color theme="1"/>
      <name val="Helvetica"/>
      <family val="2"/>
    </font>
    <font>
      <b/>
      <i/>
      <sz val="12"/>
      <color theme="1"/>
      <name val="Helvetica"/>
      <family val="2"/>
    </font>
    <font>
      <sz val="11"/>
      <color theme="1"/>
      <name val="Arial"/>
      <family val="2"/>
    </font>
    <font>
      <b/>
      <sz val="11"/>
      <color rgb="FF000000"/>
      <name val="Arial"/>
      <family val="2"/>
    </font>
    <font>
      <sz val="11"/>
      <color rgb="FF242424"/>
      <name val="Aptos Narrow"/>
    </font>
    <font>
      <sz val="11"/>
      <color rgb="FF000000"/>
      <name val="Calibri"/>
      <family val="2"/>
    </font>
    <font>
      <i/>
      <sz val="8"/>
      <color theme="1"/>
      <name val="Helvetica"/>
      <family val="2"/>
    </font>
    <font>
      <sz val="11"/>
      <color rgb="FF000000"/>
      <name val="Montserrat"/>
      <charset val="1"/>
    </font>
    <font>
      <sz val="10"/>
      <name val="Montserrat"/>
    </font>
    <font>
      <u/>
      <sz val="11"/>
      <color theme="10"/>
      <name val="Montserrat"/>
    </font>
    <font>
      <b/>
      <sz val="10"/>
      <name val="Arial"/>
      <family val="2"/>
    </font>
    <font>
      <b/>
      <sz val="11"/>
      <color rgb="FF242424"/>
      <name val="Aptos Narrow"/>
    </font>
    <font>
      <u/>
      <sz val="11"/>
      <color theme="1"/>
      <name val="Calibri"/>
      <family val="2"/>
      <scheme val="minor"/>
    </font>
    <font>
      <sz val="14"/>
      <name val="-webkit-standard"/>
    </font>
  </fonts>
  <fills count="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0.14999847407452621"/>
        <bgColor theme="0" tint="-0.14999847407452621"/>
      </patternFill>
    </fill>
    <fill>
      <patternFill patternType="solid">
        <fgColor rgb="FFEBF3FB"/>
        <bgColor rgb="FFEBF3FB"/>
      </patternFill>
    </fill>
  </fills>
  <borders count="9">
    <border>
      <left/>
      <right/>
      <top/>
      <bottom/>
      <diagonal/>
    </border>
    <border>
      <left/>
      <right/>
      <top/>
      <bottom style="thin">
        <color theme="1"/>
      </bottom>
      <diagonal/>
    </border>
    <border>
      <left/>
      <right/>
      <top/>
      <bottom style="thin">
        <color indexed="64"/>
      </bottom>
      <diagonal/>
    </border>
    <border>
      <left/>
      <right/>
      <top style="thin">
        <color theme="1"/>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BFBFBF"/>
      </left>
      <right style="thin">
        <color rgb="FFBFBFBF"/>
      </right>
      <top style="thin">
        <color rgb="FFBFBFBF"/>
      </top>
      <bottom style="thin">
        <color rgb="FFBFBFBF"/>
      </bottom>
      <diagonal/>
    </border>
    <border>
      <left style="thin">
        <color rgb="FFCCCCCC"/>
      </left>
      <right style="thin">
        <color rgb="FFCCCCCC"/>
      </right>
      <top style="thin">
        <color rgb="FFCCCCCC"/>
      </top>
      <bottom style="thin">
        <color rgb="FFCCCCCC"/>
      </bottom>
      <diagonal/>
    </border>
    <border>
      <left/>
      <right style="thin">
        <color rgb="FFCCCCCC"/>
      </right>
      <top style="thin">
        <color rgb="FFCCCCCC"/>
      </top>
      <bottom style="thin">
        <color rgb="FFCCCCCC"/>
      </bottom>
      <diagonal/>
    </border>
  </borders>
  <cellStyleXfs count="7">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0"/>
    <xf numFmtId="9" fontId="1" fillId="0" borderId="0" applyFont="0" applyFill="0" applyBorder="0" applyAlignment="0" applyProtection="0"/>
    <xf numFmtId="43" fontId="1" fillId="0" borderId="0" applyFont="0" applyFill="0" applyBorder="0" applyAlignment="0" applyProtection="0"/>
    <xf numFmtId="0" fontId="3" fillId="0" borderId="0"/>
  </cellStyleXfs>
  <cellXfs count="510">
    <xf numFmtId="0" fontId="0" fillId="0" borderId="0" xfId="0"/>
    <xf numFmtId="44" fontId="0" fillId="0" borderId="0" xfId="1" applyFont="1" applyFill="1" applyAlignment="1">
      <alignment horizontal="left" vertical="center" wrapText="1"/>
    </xf>
    <xf numFmtId="2" fontId="0" fillId="0" borderId="0" xfId="1" applyNumberFormat="1" applyFont="1" applyFill="1" applyAlignment="1">
      <alignment horizontal="left" vertical="center" wrapText="1"/>
    </xf>
    <xf numFmtId="44" fontId="0" fillId="0" borderId="0" xfId="1" applyFont="1" applyFill="1" applyAlignment="1">
      <alignment vertical="center"/>
    </xf>
    <xf numFmtId="0" fontId="0" fillId="0" borderId="0" xfId="1" applyNumberFormat="1" applyFont="1" applyFill="1" applyAlignment="1">
      <alignment horizontal="left" vertical="center" wrapText="1"/>
    </xf>
    <xf numFmtId="0" fontId="4" fillId="0" borderId="0" xfId="0" applyFont="1" applyAlignment="1">
      <alignment horizontal="left" vertical="center" wrapText="1"/>
    </xf>
    <xf numFmtId="44" fontId="4" fillId="0" borderId="0" xfId="1" applyFont="1" applyFill="1" applyAlignment="1">
      <alignment horizontal="left" vertical="center" wrapText="1"/>
    </xf>
    <xf numFmtId="0" fontId="0" fillId="0" borderId="0" xfId="1" quotePrefix="1" applyNumberFormat="1" applyFont="1" applyFill="1" applyAlignment="1">
      <alignment horizontal="left" vertical="center" wrapText="1"/>
    </xf>
    <xf numFmtId="0" fontId="6" fillId="0" borderId="0" xfId="0" applyFont="1" applyAlignment="1">
      <alignment horizontal="left" vertical="center" wrapText="1"/>
    </xf>
    <xf numFmtId="44" fontId="6" fillId="0" borderId="0" xfId="1" applyFont="1" applyFill="1" applyAlignment="1">
      <alignment horizontal="left" vertical="center" wrapText="1"/>
    </xf>
    <xf numFmtId="0" fontId="4" fillId="0" borderId="0" xfId="0" applyFont="1" applyAlignment="1">
      <alignment vertical="center" wrapText="1"/>
    </xf>
    <xf numFmtId="2" fontId="4" fillId="0" borderId="0" xfId="0" applyNumberFormat="1" applyFont="1" applyAlignment="1">
      <alignment horizontal="left" vertical="center" wrapText="1"/>
    </xf>
    <xf numFmtId="0" fontId="4" fillId="0" borderId="0" xfId="0" applyFont="1" applyAlignment="1">
      <alignment vertical="center"/>
    </xf>
    <xf numFmtId="2" fontId="4" fillId="0" borderId="0" xfId="0" applyNumberFormat="1" applyFont="1" applyAlignment="1">
      <alignment vertical="center"/>
    </xf>
    <xf numFmtId="44" fontId="4" fillId="0" borderId="0" xfId="0" applyNumberFormat="1" applyFont="1" applyAlignment="1">
      <alignment horizontal="left" vertical="center" wrapText="1"/>
    </xf>
    <xf numFmtId="167" fontId="0" fillId="0" borderId="0" xfId="1" applyNumberFormat="1" applyFont="1" applyFill="1" applyBorder="1" applyAlignment="1">
      <alignment horizontal="left" vertical="center" wrapText="1"/>
    </xf>
    <xf numFmtId="44" fontId="0" fillId="0" borderId="0" xfId="1" applyFont="1" applyFill="1" applyBorder="1" applyAlignment="1">
      <alignment horizontal="left" vertical="center" wrapText="1"/>
    </xf>
    <xf numFmtId="168" fontId="0" fillId="0" borderId="0" xfId="5" applyNumberFormat="1" applyFont="1" applyFill="1" applyBorder="1" applyAlignment="1">
      <alignment horizontal="left" vertical="center" wrapText="1"/>
    </xf>
    <xf numFmtId="44" fontId="0" fillId="0" borderId="0" xfId="1" applyFont="1" applyFill="1" applyAlignment="1">
      <alignment horizontal="right" vertical="center" wrapText="1"/>
    </xf>
    <xf numFmtId="14" fontId="0" fillId="0" borderId="0" xfId="0" applyNumberFormat="1"/>
    <xf numFmtId="0" fontId="0" fillId="0" borderId="0" xfId="0" applyAlignment="1">
      <alignment wrapText="1"/>
    </xf>
    <xf numFmtId="167" fontId="7" fillId="0" borderId="0" xfId="1" applyNumberFormat="1" applyFont="1" applyFill="1" applyBorder="1" applyAlignment="1">
      <alignment horizontal="left" vertical="center" wrapText="1"/>
    </xf>
    <xf numFmtId="44" fontId="7" fillId="0" borderId="0" xfId="1" applyFont="1" applyFill="1" applyBorder="1" applyAlignment="1">
      <alignment horizontal="left" vertical="center" wrapText="1"/>
    </xf>
    <xf numFmtId="44" fontId="7" fillId="0" borderId="0" xfId="1" quotePrefix="1" applyFont="1" applyFill="1" applyBorder="1" applyAlignment="1">
      <alignment horizontal="left" vertical="center" wrapText="1"/>
    </xf>
    <xf numFmtId="0" fontId="0" fillId="0" borderId="0" xfId="0" pivotButton="1"/>
    <xf numFmtId="0" fontId="0" fillId="0" borderId="0" xfId="1" applyNumberFormat="1" applyFont="1" applyFill="1" applyBorder="1" applyAlignment="1">
      <alignment horizontal="left" vertical="center" wrapText="1"/>
    </xf>
    <xf numFmtId="0" fontId="0" fillId="0" borderId="0" xfId="1" quotePrefix="1" applyNumberFormat="1" applyFont="1" applyFill="1" applyBorder="1" applyAlignment="1">
      <alignment horizontal="left" vertical="center" wrapText="1"/>
    </xf>
    <xf numFmtId="44" fontId="0" fillId="0" borderId="3" xfId="1" applyFont="1" applyFill="1" applyBorder="1" applyAlignment="1">
      <alignment horizontal="left" vertical="center" wrapText="1"/>
    </xf>
    <xf numFmtId="0" fontId="7" fillId="0" borderId="0" xfId="0" applyFont="1" applyAlignment="1">
      <alignment horizontal="center" vertical="center" wrapText="1"/>
    </xf>
    <xf numFmtId="0" fontId="7" fillId="0" borderId="3" xfId="0" applyFont="1" applyBorder="1" applyAlignment="1">
      <alignment horizontal="center" vertical="center" wrapText="1"/>
    </xf>
    <xf numFmtId="167" fontId="7" fillId="0" borderId="3" xfId="1" applyNumberFormat="1" applyFont="1" applyFill="1" applyBorder="1" applyAlignment="1">
      <alignment horizontal="center" vertical="center" wrapText="1"/>
    </xf>
    <xf numFmtId="44" fontId="7" fillId="0" borderId="3" xfId="1" applyFont="1" applyFill="1" applyBorder="1" applyAlignment="1">
      <alignment horizontal="center" vertical="center" wrapText="1"/>
    </xf>
    <xf numFmtId="2" fontId="7" fillId="0" borderId="3" xfId="0" applyNumberFormat="1" applyFont="1" applyBorder="1" applyAlignment="1">
      <alignment horizontal="center" vertical="center" wrapText="1"/>
    </xf>
    <xf numFmtId="168" fontId="7" fillId="0" borderId="3" xfId="5" applyNumberFormat="1" applyFont="1" applyFill="1" applyBorder="1" applyAlignment="1">
      <alignment horizontal="center" vertical="center" wrapText="1"/>
    </xf>
    <xf numFmtId="0" fontId="0" fillId="0" borderId="0" xfId="0" applyAlignment="1">
      <alignment horizontal="center" vertical="center" wrapText="1"/>
    </xf>
    <xf numFmtId="0" fontId="0" fillId="0" borderId="3" xfId="0" applyBorder="1" applyAlignment="1">
      <alignment horizontal="left" vertical="center" wrapText="1"/>
    </xf>
    <xf numFmtId="0" fontId="0" fillId="0" borderId="3" xfId="0" applyBorder="1" applyAlignment="1">
      <alignment vertical="center" wrapText="1"/>
    </xf>
    <xf numFmtId="0" fontId="0" fillId="0" borderId="0" xfId="0" applyAlignment="1">
      <alignment vertical="center" wrapText="1"/>
    </xf>
    <xf numFmtId="3" fontId="0" fillId="0" borderId="3" xfId="0" applyNumberFormat="1" applyBorder="1" applyAlignment="1">
      <alignment horizontal="left" vertical="center" wrapText="1"/>
    </xf>
    <xf numFmtId="2" fontId="0" fillId="0" borderId="3" xfId="0" applyNumberFormat="1" applyBorder="1" applyAlignment="1">
      <alignment horizontal="left" vertical="center" wrapText="1"/>
    </xf>
    <xf numFmtId="0" fontId="0" fillId="0" borderId="3" xfId="0" applyBorder="1" applyAlignment="1">
      <alignment vertical="center"/>
    </xf>
    <xf numFmtId="2" fontId="0" fillId="0" borderId="3" xfId="0" applyNumberFormat="1" applyBorder="1" applyAlignment="1">
      <alignment vertical="center"/>
    </xf>
    <xf numFmtId="44" fontId="0" fillId="0" borderId="3" xfId="0" applyNumberFormat="1" applyBorder="1" applyAlignment="1">
      <alignment horizontal="left" vertical="center" wrapText="1"/>
    </xf>
    <xf numFmtId="0" fontId="0" fillId="0" borderId="0" xfId="0" applyAlignment="1">
      <alignment horizontal="left" vertical="center" wrapText="1"/>
    </xf>
    <xf numFmtId="14" fontId="0" fillId="0" borderId="0" xfId="0" applyNumberFormat="1" applyAlignment="1">
      <alignment horizontal="left" vertical="center" wrapText="1"/>
    </xf>
    <xf numFmtId="3" fontId="0" fillId="0" borderId="0" xfId="0" applyNumberFormat="1" applyAlignment="1">
      <alignment horizontal="left" vertical="center" wrapText="1"/>
    </xf>
    <xf numFmtId="2" fontId="0" fillId="0" borderId="0" xfId="0" applyNumberFormat="1" applyAlignment="1">
      <alignment horizontal="left" vertical="center" wrapText="1"/>
    </xf>
    <xf numFmtId="0" fontId="0" fillId="0" borderId="0" xfId="0" applyAlignment="1">
      <alignment vertical="center"/>
    </xf>
    <xf numFmtId="2" fontId="0" fillId="0" borderId="0" xfId="0" applyNumberFormat="1" applyAlignment="1">
      <alignment vertical="center"/>
    </xf>
    <xf numFmtId="44" fontId="0" fillId="0" borderId="0" xfId="0" applyNumberFormat="1" applyAlignment="1">
      <alignment horizontal="left" vertical="center" wrapText="1"/>
    </xf>
    <xf numFmtId="0" fontId="12" fillId="0" borderId="0" xfId="0" applyFont="1" applyAlignment="1">
      <alignment horizontal="left" vertical="center" wrapText="1"/>
    </xf>
    <xf numFmtId="165" fontId="0" fillId="0" borderId="0" xfId="0" applyNumberFormat="1" applyAlignment="1">
      <alignment horizontal="left" vertical="center" wrapText="1"/>
    </xf>
    <xf numFmtId="167" fontId="0" fillId="0" borderId="0" xfId="1" applyNumberFormat="1" applyFont="1" applyFill="1" applyAlignment="1">
      <alignment horizontal="left" vertical="center" wrapText="1"/>
    </xf>
    <xf numFmtId="168" fontId="0" fillId="0" borderId="0" xfId="5" applyNumberFormat="1" applyFont="1" applyFill="1" applyAlignment="1">
      <alignment horizontal="left" vertical="center" wrapText="1"/>
    </xf>
    <xf numFmtId="0" fontId="3" fillId="0" borderId="0" xfId="3" applyAlignment="1">
      <alignment vertical="center"/>
    </xf>
    <xf numFmtId="0" fontId="3" fillId="0" borderId="0" xfId="3" applyAlignment="1">
      <alignment vertical="center" wrapText="1"/>
    </xf>
    <xf numFmtId="167" fontId="4" fillId="0" borderId="0" xfId="1" applyNumberFormat="1" applyFont="1" applyFill="1" applyAlignment="1">
      <alignment horizontal="left" vertical="center" wrapText="1"/>
    </xf>
    <xf numFmtId="168" fontId="4" fillId="0" borderId="0" xfId="5" applyNumberFormat="1" applyFont="1" applyFill="1" applyAlignment="1">
      <alignment horizontal="left" vertical="center" wrapText="1"/>
    </xf>
    <xf numFmtId="0" fontId="4" fillId="0" borderId="0" xfId="0" applyFont="1"/>
    <xf numFmtId="167" fontId="0" fillId="0" borderId="0" xfId="0" applyNumberFormat="1" applyAlignment="1">
      <alignment horizontal="center" vertical="center" wrapText="1"/>
    </xf>
    <xf numFmtId="0" fontId="0" fillId="0" borderId="0" xfId="0" applyAlignment="1">
      <alignment vertical="top" wrapText="1"/>
    </xf>
    <xf numFmtId="0" fontId="0" fillId="0" borderId="0" xfId="0" applyAlignment="1">
      <alignment horizontal="center" vertical="center"/>
    </xf>
    <xf numFmtId="44" fontId="0" fillId="0" borderId="0" xfId="1" applyFont="1" applyFill="1" applyBorder="1"/>
    <xf numFmtId="2" fontId="0" fillId="0" borderId="0" xfId="0" applyNumberFormat="1"/>
    <xf numFmtId="2" fontId="0" fillId="0" borderId="0" xfId="1" applyNumberFormat="1" applyFont="1" applyFill="1" applyBorder="1"/>
    <xf numFmtId="1" fontId="0" fillId="0" borderId="0" xfId="0" applyNumberFormat="1"/>
    <xf numFmtId="0" fontId="7" fillId="0" borderId="0" xfId="0" applyFont="1"/>
    <xf numFmtId="0" fontId="7" fillId="0" borderId="0" xfId="0" applyFont="1" applyAlignment="1">
      <alignment horizontal="left" vertical="center" wrapText="1"/>
    </xf>
    <xf numFmtId="0" fontId="7" fillId="0" borderId="0" xfId="0" applyFont="1" applyAlignment="1">
      <alignment vertical="center" wrapText="1"/>
    </xf>
    <xf numFmtId="3" fontId="7" fillId="0" borderId="0" xfId="0" applyNumberFormat="1" applyFont="1" applyAlignment="1">
      <alignment horizontal="left" vertical="center" wrapText="1"/>
    </xf>
    <xf numFmtId="2" fontId="7" fillId="0" borderId="0" xfId="0" applyNumberFormat="1" applyFont="1" applyAlignment="1">
      <alignment horizontal="left" vertical="center" wrapText="1"/>
    </xf>
    <xf numFmtId="0" fontId="7" fillId="0" borderId="0" xfId="0" applyFont="1" applyAlignment="1">
      <alignment vertical="center"/>
    </xf>
    <xf numFmtId="168" fontId="7" fillId="0" borderId="0" xfId="5" applyNumberFormat="1" applyFont="1" applyFill="1" applyBorder="1" applyAlignment="1">
      <alignment horizontal="left" vertical="center" wrapText="1"/>
    </xf>
    <xf numFmtId="2" fontId="7" fillId="0" borderId="0" xfId="0" applyNumberFormat="1" applyFont="1" applyAlignment="1">
      <alignment vertical="center"/>
    </xf>
    <xf numFmtId="44" fontId="7" fillId="0" borderId="0" xfId="0" applyNumberFormat="1" applyFont="1" applyAlignment="1">
      <alignment horizontal="left" vertical="center" wrapText="1"/>
    </xf>
    <xf numFmtId="0" fontId="0" fillId="0" borderId="1" xfId="0" applyBorder="1" applyAlignment="1">
      <alignment horizontal="left" vertical="center" wrapText="1"/>
    </xf>
    <xf numFmtId="44" fontId="0" fillId="0" borderId="1" xfId="1" applyFont="1" applyFill="1" applyBorder="1" applyAlignment="1">
      <alignment horizontal="left" vertical="center" wrapText="1"/>
    </xf>
    <xf numFmtId="0" fontId="7" fillId="0" borderId="0" xfId="0" applyFont="1" applyAlignment="1">
      <alignment horizontal="left" vertical="center"/>
    </xf>
    <xf numFmtId="169" fontId="0" fillId="0" borderId="0" xfId="0" applyNumberFormat="1" applyAlignment="1">
      <alignment horizontal="left" vertical="center" wrapText="1"/>
    </xf>
    <xf numFmtId="3" fontId="0" fillId="0" borderId="0" xfId="0" applyNumberFormat="1" applyAlignment="1">
      <alignment vertical="center" wrapText="1"/>
    </xf>
    <xf numFmtId="0" fontId="0" fillId="0" borderId="0" xfId="0" applyAlignment="1">
      <alignment horizontal="left" vertical="center"/>
    </xf>
    <xf numFmtId="14" fontId="0" fillId="0" borderId="0" xfId="0" applyNumberFormat="1" applyAlignment="1">
      <alignment horizontal="left" vertical="center"/>
    </xf>
    <xf numFmtId="44" fontId="0" fillId="0" borderId="0" xfId="1" applyFont="1" applyFill="1" applyAlignment="1">
      <alignment horizontal="left" vertical="center"/>
    </xf>
    <xf numFmtId="167" fontId="7" fillId="0" borderId="0" xfId="1" applyNumberFormat="1" applyFont="1" applyFill="1" applyAlignment="1">
      <alignment horizontal="left" vertical="center"/>
    </xf>
    <xf numFmtId="44" fontId="7" fillId="0" borderId="0" xfId="1" applyFont="1" applyFill="1" applyAlignment="1">
      <alignment horizontal="left" vertical="center"/>
    </xf>
    <xf numFmtId="2" fontId="7" fillId="0" borderId="0" xfId="0" applyNumberFormat="1" applyFont="1" applyAlignment="1">
      <alignment horizontal="left" vertical="center"/>
    </xf>
    <xf numFmtId="168" fontId="7" fillId="0" borderId="0" xfId="5" applyNumberFormat="1" applyFont="1" applyFill="1" applyAlignment="1">
      <alignment horizontal="left" vertical="center"/>
    </xf>
    <xf numFmtId="1" fontId="0" fillId="0" borderId="0" xfId="0" applyNumberFormat="1" applyAlignment="1">
      <alignment horizontal="left" vertical="center" wrapText="1"/>
    </xf>
    <xf numFmtId="0" fontId="11" fillId="0" borderId="0" xfId="0" applyFont="1" applyAlignment="1">
      <alignment wrapText="1"/>
    </xf>
    <xf numFmtId="167" fontId="0" fillId="0" borderId="0" xfId="1" applyNumberFormat="1" applyFont="1" applyFill="1" applyAlignment="1">
      <alignment vertical="center"/>
    </xf>
    <xf numFmtId="167" fontId="0" fillId="0" borderId="0" xfId="1" applyNumberFormat="1" applyFont="1" applyFill="1" applyBorder="1" applyAlignment="1">
      <alignment horizontal="left" vertical="center"/>
    </xf>
    <xf numFmtId="0" fontId="0" fillId="0" borderId="0" xfId="0" quotePrefix="1" applyAlignment="1">
      <alignment vertical="center" wrapText="1"/>
    </xf>
    <xf numFmtId="167" fontId="0" fillId="0" borderId="0" xfId="1" applyNumberFormat="1" applyFont="1" applyFill="1" applyAlignment="1">
      <alignment horizontal="center" vertical="center" wrapText="1"/>
    </xf>
    <xf numFmtId="167" fontId="0" fillId="0" borderId="0" xfId="1" applyNumberFormat="1" applyFont="1" applyFill="1"/>
    <xf numFmtId="44" fontId="0" fillId="0" borderId="0" xfId="1" applyFont="1" applyFill="1"/>
    <xf numFmtId="168" fontId="0" fillId="0" borderId="0" xfId="5" applyNumberFormat="1" applyFont="1" applyFill="1"/>
    <xf numFmtId="0" fontId="0" fillId="0" borderId="0" xfId="1" applyNumberFormat="1" applyFont="1" applyFill="1"/>
    <xf numFmtId="2" fontId="0" fillId="0" borderId="0" xfId="1" applyNumberFormat="1" applyFont="1" applyFill="1"/>
    <xf numFmtId="44" fontId="7" fillId="0" borderId="0" xfId="1" applyFont="1" applyFill="1"/>
    <xf numFmtId="2" fontId="7" fillId="0" borderId="0" xfId="1" applyNumberFormat="1" applyFont="1" applyFill="1"/>
    <xf numFmtId="0" fontId="7" fillId="0" borderId="0" xfId="1" applyNumberFormat="1" applyFont="1" applyFill="1"/>
    <xf numFmtId="0" fontId="7" fillId="0" borderId="0" xfId="1" quotePrefix="1" applyNumberFormat="1" applyFont="1" applyFill="1"/>
    <xf numFmtId="2" fontId="0" fillId="0" borderId="0" xfId="1" applyNumberFormat="1" applyFont="1" applyFill="1" applyBorder="1" applyAlignment="1">
      <alignment horizontal="left" vertical="center" wrapText="1"/>
    </xf>
    <xf numFmtId="44" fontId="0" fillId="0" borderId="0" xfId="1" applyFont="1" applyFill="1" applyBorder="1" applyAlignment="1">
      <alignment vertical="center"/>
    </xf>
    <xf numFmtId="0" fontId="0" fillId="0" borderId="3" xfId="1" applyNumberFormat="1" applyFont="1" applyFill="1" applyBorder="1" applyAlignment="1">
      <alignment horizontal="left" vertical="center" wrapText="1"/>
    </xf>
    <xf numFmtId="0" fontId="0" fillId="0" borderId="3" xfId="1" quotePrefix="1" applyNumberFormat="1" applyFont="1" applyFill="1" applyBorder="1" applyAlignment="1">
      <alignment horizontal="left" vertical="center" wrapText="1"/>
    </xf>
    <xf numFmtId="2" fontId="0" fillId="0" borderId="3" xfId="1" applyNumberFormat="1" applyFont="1" applyFill="1" applyBorder="1" applyAlignment="1">
      <alignment horizontal="left" vertical="center" wrapText="1"/>
    </xf>
    <xf numFmtId="44" fontId="0" fillId="0" borderId="3" xfId="1" applyFont="1" applyFill="1" applyBorder="1" applyAlignment="1">
      <alignment vertical="center"/>
    </xf>
    <xf numFmtId="1" fontId="7" fillId="0" borderId="0" xfId="0" applyNumberFormat="1" applyFont="1" applyAlignment="1">
      <alignment horizontal="center" vertical="center" wrapText="1"/>
    </xf>
    <xf numFmtId="44" fontId="7" fillId="0" borderId="0" xfId="1" applyFont="1" applyFill="1" applyBorder="1" applyAlignment="1">
      <alignment horizontal="center" vertical="center" wrapText="1"/>
    </xf>
    <xf numFmtId="2" fontId="7" fillId="0" borderId="0" xfId="0" applyNumberFormat="1" applyFont="1" applyAlignment="1">
      <alignment horizontal="center" vertical="center" wrapText="1"/>
    </xf>
    <xf numFmtId="2" fontId="7" fillId="0" borderId="0" xfId="1" applyNumberFormat="1" applyFont="1" applyFill="1" applyBorder="1" applyAlignment="1">
      <alignment horizontal="center" vertical="center" wrapText="1"/>
    </xf>
    <xf numFmtId="1" fontId="0" fillId="0" borderId="3" xfId="0" applyNumberFormat="1" applyBorder="1" applyAlignment="1">
      <alignment horizontal="left" vertical="center" wrapText="1"/>
    </xf>
    <xf numFmtId="0" fontId="6" fillId="0" borderId="0" xfId="0" applyFont="1" applyAlignment="1">
      <alignment vertical="center"/>
    </xf>
    <xf numFmtId="0" fontId="6" fillId="0" borderId="0" xfId="0" applyFont="1" applyAlignment="1">
      <alignment vertical="top" wrapText="1"/>
    </xf>
    <xf numFmtId="0" fontId="6" fillId="0" borderId="0" xfId="0" applyFont="1"/>
    <xf numFmtId="0" fontId="6" fillId="0" borderId="0" xfId="0" applyFont="1" applyAlignment="1">
      <alignment vertical="center" wrapText="1"/>
    </xf>
    <xf numFmtId="165" fontId="6" fillId="0" borderId="0" xfId="0" applyNumberFormat="1" applyFont="1" applyAlignment="1">
      <alignment horizontal="left" vertical="center" wrapText="1"/>
    </xf>
    <xf numFmtId="0" fontId="6" fillId="0" borderId="0" xfId="0" applyFont="1" applyAlignment="1">
      <alignment horizontal="center" vertical="center" wrapText="1"/>
    </xf>
    <xf numFmtId="2" fontId="6" fillId="0" borderId="0" xfId="0" applyNumberFormat="1" applyFont="1" applyAlignment="1">
      <alignment horizontal="left" vertical="center" wrapText="1"/>
    </xf>
    <xf numFmtId="2" fontId="6" fillId="0" borderId="0" xfId="1" applyNumberFormat="1" applyFont="1" applyFill="1" applyAlignment="1">
      <alignment horizontal="left" vertical="center" wrapText="1"/>
    </xf>
    <xf numFmtId="1" fontId="6" fillId="0" borderId="0" xfId="0" applyNumberFormat="1" applyFont="1" applyAlignment="1">
      <alignment horizontal="left" vertical="center" wrapText="1"/>
    </xf>
    <xf numFmtId="44" fontId="6" fillId="0" borderId="0" xfId="1" applyFont="1" applyFill="1" applyAlignment="1">
      <alignment vertical="center"/>
    </xf>
    <xf numFmtId="2" fontId="7" fillId="0" borderId="0" xfId="0" applyNumberFormat="1" applyFont="1"/>
    <xf numFmtId="1" fontId="7" fillId="0" borderId="0" xfId="0" applyNumberFormat="1" applyFont="1"/>
    <xf numFmtId="167" fontId="7" fillId="0" borderId="0" xfId="0" applyNumberFormat="1" applyFont="1" applyAlignment="1">
      <alignment horizontal="center" vertical="center" wrapText="1"/>
    </xf>
    <xf numFmtId="166" fontId="0" fillId="0" borderId="0" xfId="0" applyNumberFormat="1" applyAlignment="1">
      <alignment horizontal="center" vertical="center" wrapText="1"/>
    </xf>
    <xf numFmtId="2" fontId="0" fillId="0" borderId="0" xfId="0" applyNumberFormat="1" applyAlignment="1">
      <alignment horizontal="left"/>
    </xf>
    <xf numFmtId="0" fontId="0" fillId="0" borderId="0" xfId="0" applyAlignment="1">
      <alignment horizontal="left"/>
    </xf>
    <xf numFmtId="166" fontId="6" fillId="0" borderId="0" xfId="0" applyNumberFormat="1" applyFont="1" applyAlignment="1">
      <alignment horizontal="center" vertical="center" wrapText="1"/>
    </xf>
    <xf numFmtId="0" fontId="7" fillId="0" borderId="0" xfId="0" applyFont="1" applyAlignment="1">
      <alignment horizontal="left"/>
    </xf>
    <xf numFmtId="0" fontId="9" fillId="0" borderId="0" xfId="0" applyFont="1"/>
    <xf numFmtId="0" fontId="10" fillId="0" borderId="0" xfId="0" applyFont="1"/>
    <xf numFmtId="0" fontId="14" fillId="0" borderId="0" xfId="0" applyFont="1" applyAlignment="1">
      <alignment horizontal="left" vertical="center"/>
    </xf>
    <xf numFmtId="167" fontId="0" fillId="0" borderId="0" xfId="0" applyNumberFormat="1" applyAlignment="1">
      <alignment horizontal="left" vertical="center"/>
    </xf>
    <xf numFmtId="3" fontId="0" fillId="0" borderId="0" xfId="0" applyNumberFormat="1" applyAlignment="1">
      <alignment horizontal="left" vertical="center"/>
    </xf>
    <xf numFmtId="3" fontId="15" fillId="0" borderId="0" xfId="0" applyNumberFormat="1" applyFont="1" applyAlignment="1">
      <alignment horizontal="left" vertical="center"/>
    </xf>
    <xf numFmtId="0" fontId="8" fillId="0" borderId="0" xfId="0" applyFont="1" applyAlignment="1">
      <alignment horizontal="left" vertical="center"/>
    </xf>
    <xf numFmtId="1" fontId="4" fillId="0" borderId="0" xfId="0" applyNumberFormat="1" applyFont="1" applyAlignment="1">
      <alignment horizontal="left" vertical="top" wrapText="1"/>
    </xf>
    <xf numFmtId="0" fontId="0" fillId="0" borderId="0" xfId="0" applyAlignment="1">
      <alignment horizontal="left" vertical="top" wrapText="1"/>
    </xf>
    <xf numFmtId="3" fontId="0" fillId="0" borderId="0" xfId="0" applyNumberFormat="1" applyAlignment="1">
      <alignment horizontal="left" vertical="top" wrapText="1"/>
    </xf>
    <xf numFmtId="44" fontId="0" fillId="0" borderId="0" xfId="1" applyFont="1" applyFill="1" applyAlignment="1">
      <alignment horizontal="left" vertical="top" wrapText="1"/>
    </xf>
    <xf numFmtId="0" fontId="0" fillId="0" borderId="0" xfId="1" applyNumberFormat="1" applyFont="1" applyFill="1" applyAlignment="1">
      <alignment horizontal="left" vertical="top" wrapText="1"/>
    </xf>
    <xf numFmtId="0" fontId="0" fillId="0" borderId="0" xfId="1" quotePrefix="1" applyNumberFormat="1" applyFont="1" applyFill="1" applyAlignment="1">
      <alignment horizontal="left" vertical="top" wrapText="1"/>
    </xf>
    <xf numFmtId="2" fontId="0" fillId="0" borderId="0" xfId="0" applyNumberFormat="1" applyAlignment="1">
      <alignment horizontal="left" vertical="top" wrapText="1"/>
    </xf>
    <xf numFmtId="2" fontId="0" fillId="0" borderId="0" xfId="1" applyNumberFormat="1" applyFont="1" applyFill="1" applyAlignment="1">
      <alignment horizontal="left" vertical="top" wrapText="1"/>
    </xf>
    <xf numFmtId="1" fontId="0" fillId="0" borderId="0" xfId="0" applyNumberFormat="1" applyAlignment="1">
      <alignment horizontal="left" vertical="top" wrapText="1"/>
    </xf>
    <xf numFmtId="0" fontId="7" fillId="0" borderId="0" xfId="0" applyFont="1" applyAlignment="1">
      <alignment horizontal="left" vertical="top" wrapText="1"/>
    </xf>
    <xf numFmtId="165" fontId="0" fillId="0" borderId="0" xfId="0" applyNumberFormat="1" applyAlignment="1">
      <alignment horizontal="left" vertical="top" wrapText="1"/>
    </xf>
    <xf numFmtId="0" fontId="4" fillId="0" borderId="0" xfId="0" applyFont="1" applyAlignment="1">
      <alignment horizontal="left" vertical="top" wrapText="1"/>
    </xf>
    <xf numFmtId="44" fontId="0" fillId="0" borderId="0" xfId="1" applyFont="1" applyFill="1" applyBorder="1" applyAlignment="1">
      <alignment horizontal="left" vertical="top" wrapText="1"/>
    </xf>
    <xf numFmtId="0" fontId="0" fillId="0" borderId="0" xfId="1" applyNumberFormat="1" applyFont="1" applyFill="1" applyBorder="1" applyAlignment="1">
      <alignment horizontal="left" vertical="top" wrapText="1"/>
    </xf>
    <xf numFmtId="2" fontId="0" fillId="0" borderId="0" xfId="1" applyNumberFormat="1" applyFont="1" applyFill="1" applyBorder="1" applyAlignment="1">
      <alignment horizontal="left" vertical="top" wrapText="1"/>
    </xf>
    <xf numFmtId="2" fontId="7" fillId="0" borderId="0" xfId="0" applyNumberFormat="1" applyFont="1" applyAlignment="1">
      <alignment horizontal="left" vertical="top" wrapText="1"/>
    </xf>
    <xf numFmtId="44" fontId="0" fillId="0" borderId="0" xfId="1" applyFont="1" applyFill="1" applyAlignment="1">
      <alignment horizontal="center" vertical="top" wrapText="1"/>
    </xf>
    <xf numFmtId="0" fontId="0" fillId="0" borderId="0" xfId="1" quotePrefix="1" applyNumberFormat="1" applyFont="1" applyFill="1" applyBorder="1" applyAlignment="1">
      <alignment horizontal="left" vertical="top" wrapText="1"/>
    </xf>
    <xf numFmtId="165" fontId="4" fillId="0" borderId="0" xfId="0" applyNumberFormat="1" applyFont="1" applyAlignment="1">
      <alignment horizontal="left" vertical="top" wrapText="1"/>
    </xf>
    <xf numFmtId="2" fontId="4" fillId="0" borderId="0" xfId="0" applyNumberFormat="1" applyFont="1" applyAlignment="1">
      <alignment horizontal="left" vertical="top" wrapText="1"/>
    </xf>
    <xf numFmtId="44" fontId="0" fillId="0" borderId="0" xfId="1" applyFont="1" applyFill="1" applyAlignment="1">
      <alignment vertical="top" wrapText="1"/>
    </xf>
    <xf numFmtId="44" fontId="0" fillId="0" borderId="0" xfId="1" applyFont="1" applyFill="1" applyBorder="1" applyAlignment="1">
      <alignment vertical="top" wrapText="1"/>
    </xf>
    <xf numFmtId="44" fontId="0" fillId="0" borderId="0" xfId="1" applyFont="1" applyFill="1" applyAlignment="1">
      <alignment horizontal="right" vertical="top" wrapText="1"/>
    </xf>
    <xf numFmtId="0" fontId="0" fillId="0" borderId="0" xfId="0" quotePrefix="1" applyAlignment="1">
      <alignment vertical="top" wrapText="1"/>
    </xf>
    <xf numFmtId="167" fontId="4" fillId="0" borderId="0" xfId="1" applyNumberFormat="1" applyFont="1" applyFill="1" applyBorder="1" applyAlignment="1">
      <alignment horizontal="left" vertical="center" wrapText="1"/>
    </xf>
    <xf numFmtId="0" fontId="16" fillId="0" borderId="0" xfId="0" applyFont="1" applyAlignment="1">
      <alignment wrapText="1"/>
    </xf>
    <xf numFmtId="14" fontId="0" fillId="0" borderId="0" xfId="0" applyNumberFormat="1" applyAlignment="1">
      <alignment horizontal="left" vertical="top"/>
    </xf>
    <xf numFmtId="1" fontId="0" fillId="0" borderId="0" xfId="0" applyNumberFormat="1" applyAlignment="1">
      <alignment horizontal="left" vertical="center"/>
    </xf>
    <xf numFmtId="0" fontId="0" fillId="0" borderId="0" xfId="1" applyNumberFormat="1" applyFont="1" applyFill="1" applyAlignment="1">
      <alignment horizontal="left" vertical="center"/>
    </xf>
    <xf numFmtId="2" fontId="0" fillId="0" borderId="0" xfId="0" applyNumberFormat="1" applyAlignment="1">
      <alignment horizontal="left" vertical="center"/>
    </xf>
    <xf numFmtId="2" fontId="0" fillId="0" borderId="0" xfId="1" applyNumberFormat="1" applyFont="1" applyFill="1" applyAlignment="1">
      <alignment horizontal="left" vertical="center"/>
    </xf>
    <xf numFmtId="1" fontId="0" fillId="2" borderId="0" xfId="0" applyNumberFormat="1" applyFill="1" applyAlignment="1">
      <alignment horizontal="left" vertical="center"/>
    </xf>
    <xf numFmtId="0" fontId="0" fillId="2" borderId="0" xfId="0" applyFill="1" applyAlignment="1">
      <alignment horizontal="left" vertical="center"/>
    </xf>
    <xf numFmtId="44" fontId="0" fillId="2" borderId="0" xfId="1" applyFont="1" applyFill="1" applyAlignment="1">
      <alignment horizontal="left" vertical="center"/>
    </xf>
    <xf numFmtId="0" fontId="0" fillId="2" borderId="0" xfId="1" applyNumberFormat="1" applyFont="1" applyFill="1" applyAlignment="1">
      <alignment horizontal="left" vertical="center"/>
    </xf>
    <xf numFmtId="2" fontId="0" fillId="2" borderId="0" xfId="0" applyNumberFormat="1" applyFill="1" applyAlignment="1">
      <alignment horizontal="left" vertical="center"/>
    </xf>
    <xf numFmtId="2" fontId="0" fillId="2" borderId="0" xfId="1" applyNumberFormat="1" applyFont="1" applyFill="1" applyAlignment="1">
      <alignment horizontal="left" vertical="center"/>
    </xf>
    <xf numFmtId="44" fontId="0" fillId="2" borderId="0" xfId="1" applyFont="1" applyFill="1" applyAlignment="1">
      <alignment horizontal="right" vertical="center"/>
    </xf>
    <xf numFmtId="44" fontId="0" fillId="0" borderId="0" xfId="1" applyFont="1" applyAlignment="1">
      <alignment horizontal="right" vertical="center"/>
    </xf>
    <xf numFmtId="1" fontId="0" fillId="2" borderId="0" xfId="0" applyNumberFormat="1" applyFill="1" applyAlignment="1">
      <alignment horizontal="left" vertical="center" wrapText="1"/>
    </xf>
    <xf numFmtId="0" fontId="0" fillId="2" borderId="0" xfId="0" applyFill="1" applyAlignment="1">
      <alignment horizontal="left" vertical="center" wrapText="1"/>
    </xf>
    <xf numFmtId="44" fontId="0" fillId="2" borderId="0" xfId="1" applyFont="1" applyFill="1" applyAlignment="1">
      <alignment horizontal="left" vertical="center" wrapText="1"/>
    </xf>
    <xf numFmtId="2" fontId="0" fillId="2" borderId="0" xfId="0" applyNumberFormat="1" applyFill="1" applyAlignment="1">
      <alignment horizontal="left" vertical="center" wrapText="1"/>
    </xf>
    <xf numFmtId="44" fontId="0" fillId="0" borderId="0" xfId="1" applyFont="1" applyAlignment="1">
      <alignment horizontal="left" vertical="center" wrapText="1"/>
    </xf>
    <xf numFmtId="0" fontId="0" fillId="2" borderId="0" xfId="1" applyNumberFormat="1" applyFont="1" applyFill="1" applyAlignment="1">
      <alignment horizontal="left" vertical="center" wrapText="1"/>
    </xf>
    <xf numFmtId="2" fontId="0" fillId="2" borderId="0" xfId="1" applyNumberFormat="1" applyFont="1" applyFill="1" applyAlignment="1">
      <alignment horizontal="left" vertical="center" wrapText="1"/>
    </xf>
    <xf numFmtId="44" fontId="6" fillId="0" borderId="0" xfId="0" applyNumberFormat="1" applyFont="1" applyAlignment="1">
      <alignment horizontal="left" vertical="center" wrapText="1"/>
    </xf>
    <xf numFmtId="170" fontId="7" fillId="0" borderId="3" xfId="0" applyNumberFormat="1" applyFont="1" applyBorder="1" applyAlignment="1">
      <alignment horizontal="center" vertical="center" wrapText="1"/>
    </xf>
    <xf numFmtId="170" fontId="4" fillId="0" borderId="3" xfId="0" applyNumberFormat="1" applyFont="1" applyBorder="1" applyAlignment="1">
      <alignment horizontal="left" vertical="center" wrapText="1"/>
    </xf>
    <xf numFmtId="170" fontId="4" fillId="0" borderId="0" xfId="0" applyNumberFormat="1" applyFont="1" applyAlignment="1">
      <alignment horizontal="left" vertical="center" wrapText="1"/>
    </xf>
    <xf numFmtId="170" fontId="9" fillId="0" borderId="0" xfId="0" applyNumberFormat="1" applyFont="1" applyAlignment="1">
      <alignment horizontal="left" vertical="center" wrapText="1"/>
    </xf>
    <xf numFmtId="170" fontId="0" fillId="0" borderId="0" xfId="0" applyNumberFormat="1" applyAlignment="1">
      <alignment horizontal="left" vertical="center"/>
    </xf>
    <xf numFmtId="170" fontId="0" fillId="0" borderId="0" xfId="0" applyNumberFormat="1" applyAlignment="1">
      <alignment horizontal="left" vertical="center" wrapText="1"/>
    </xf>
    <xf numFmtId="170" fontId="4" fillId="0" borderId="0" xfId="2" applyNumberFormat="1" applyFont="1" applyFill="1" applyAlignment="1">
      <alignment horizontal="left" vertical="center" wrapText="1"/>
    </xf>
    <xf numFmtId="170" fontId="7" fillId="0" borderId="0" xfId="0" applyNumberFormat="1" applyFont="1" applyAlignment="1">
      <alignment horizontal="left" vertical="center"/>
    </xf>
    <xf numFmtId="170" fontId="8" fillId="0" borderId="0" xfId="0" applyNumberFormat="1" applyFont="1" applyAlignment="1">
      <alignment horizontal="left" vertical="center" wrapText="1"/>
    </xf>
    <xf numFmtId="170" fontId="4" fillId="0" borderId="0" xfId="0" applyNumberFormat="1" applyFont="1" applyAlignment="1">
      <alignment horizontal="left" vertical="top" wrapText="1"/>
    </xf>
    <xf numFmtId="170" fontId="4" fillId="0" borderId="0" xfId="0" applyNumberFormat="1" applyFont="1" applyAlignment="1">
      <alignment horizontal="left" vertical="center"/>
    </xf>
    <xf numFmtId="170" fontId="0" fillId="0" borderId="0" xfId="0" applyNumberFormat="1"/>
    <xf numFmtId="170" fontId="18" fillId="0" borderId="0" xfId="0" applyNumberFormat="1" applyFont="1"/>
    <xf numFmtId="0" fontId="7" fillId="0" borderId="3" xfId="0" applyFont="1" applyBorder="1" applyAlignment="1">
      <alignment horizontal="left" vertical="top" wrapText="1"/>
    </xf>
    <xf numFmtId="0" fontId="0" fillId="0" borderId="0" xfId="0" applyAlignment="1">
      <alignment horizontal="left" vertical="top"/>
    </xf>
    <xf numFmtId="0" fontId="7" fillId="0" borderId="0" xfId="1" quotePrefix="1" applyNumberFormat="1" applyFont="1" applyFill="1" applyBorder="1" applyAlignment="1">
      <alignment horizontal="left" vertical="top" wrapText="1"/>
    </xf>
    <xf numFmtId="0" fontId="4" fillId="0" borderId="0" xfId="1" applyNumberFormat="1" applyFont="1" applyFill="1" applyAlignment="1">
      <alignment horizontal="left" vertical="top" wrapText="1"/>
    </xf>
    <xf numFmtId="0" fontId="3" fillId="0" borderId="0" xfId="3" applyAlignment="1">
      <alignment horizontal="left" vertical="top"/>
    </xf>
    <xf numFmtId="0" fontId="7" fillId="0" borderId="0" xfId="1" quotePrefix="1" applyNumberFormat="1" applyFont="1" applyFill="1" applyAlignment="1">
      <alignment horizontal="left" vertical="top"/>
    </xf>
    <xf numFmtId="0" fontId="0" fillId="0" borderId="0" xfId="1" applyNumberFormat="1" applyFont="1" applyFill="1" applyBorder="1" applyAlignment="1">
      <alignment horizontal="left" vertical="top"/>
    </xf>
    <xf numFmtId="0" fontId="0" fillId="0" borderId="0" xfId="1" applyNumberFormat="1" applyFont="1" applyFill="1" applyAlignment="1">
      <alignment horizontal="left" vertical="top"/>
    </xf>
    <xf numFmtId="0" fontId="7" fillId="0" borderId="0" xfId="1" applyNumberFormat="1" applyFont="1" applyFill="1" applyBorder="1" applyAlignment="1">
      <alignment horizontal="left" vertical="top" wrapText="1"/>
    </xf>
    <xf numFmtId="0" fontId="7" fillId="0" borderId="0" xfId="1" applyNumberFormat="1" applyFont="1" applyFill="1" applyAlignment="1">
      <alignment horizontal="left" vertical="top"/>
    </xf>
    <xf numFmtId="0" fontId="9" fillId="0" borderId="0" xfId="0" applyFont="1" applyAlignment="1">
      <alignment horizontal="left" vertical="top"/>
    </xf>
    <xf numFmtId="2" fontId="7" fillId="0" borderId="3" xfId="0" applyNumberFormat="1" applyFont="1" applyBorder="1" applyAlignment="1">
      <alignment horizontal="left" vertical="top" wrapText="1"/>
    </xf>
    <xf numFmtId="2" fontId="7" fillId="0" borderId="0" xfId="0" applyNumberFormat="1" applyFont="1" applyAlignment="1">
      <alignment horizontal="left" vertical="top"/>
    </xf>
    <xf numFmtId="2" fontId="0" fillId="0" borderId="0" xfId="0" applyNumberFormat="1" applyAlignment="1">
      <alignment horizontal="left" vertical="top"/>
    </xf>
    <xf numFmtId="0" fontId="7" fillId="0" borderId="0" xfId="0" applyFont="1" applyAlignment="1">
      <alignment horizontal="left" vertical="top"/>
    </xf>
    <xf numFmtId="1" fontId="0" fillId="0" borderId="0" xfId="0" applyNumberFormat="1" applyAlignment="1">
      <alignment horizontal="left" vertical="top"/>
    </xf>
    <xf numFmtId="9" fontId="7" fillId="0" borderId="3" xfId="4" applyFont="1" applyFill="1" applyBorder="1" applyAlignment="1">
      <alignment horizontal="left" vertical="top" wrapText="1"/>
    </xf>
    <xf numFmtId="9" fontId="0" fillId="0" borderId="0" xfId="4" applyFont="1" applyFill="1" applyBorder="1" applyAlignment="1">
      <alignment horizontal="left" vertical="top" wrapText="1"/>
    </xf>
    <xf numFmtId="9" fontId="0" fillId="0" borderId="0" xfId="0" applyNumberFormat="1" applyAlignment="1">
      <alignment horizontal="left" vertical="top"/>
    </xf>
    <xf numFmtId="9" fontId="0" fillId="0" borderId="0" xfId="4" applyFont="1" applyFill="1" applyAlignment="1">
      <alignment horizontal="left" vertical="top" wrapText="1"/>
    </xf>
    <xf numFmtId="9" fontId="7" fillId="0" borderId="0" xfId="4" applyFont="1" applyFill="1" applyBorder="1" applyAlignment="1">
      <alignment horizontal="left" vertical="top" wrapText="1"/>
    </xf>
    <xf numFmtId="9" fontId="0" fillId="0" borderId="0" xfId="4" applyFont="1" applyFill="1" applyBorder="1" applyAlignment="1">
      <alignment horizontal="left" vertical="top"/>
    </xf>
    <xf numFmtId="9" fontId="4" fillId="0" borderId="0" xfId="4" applyFont="1" applyFill="1" applyAlignment="1">
      <alignment horizontal="left" vertical="top" wrapText="1"/>
    </xf>
    <xf numFmtId="9" fontId="7" fillId="0" borderId="0" xfId="4" applyFont="1" applyFill="1" applyAlignment="1">
      <alignment horizontal="left" vertical="top"/>
    </xf>
    <xf numFmtId="9" fontId="0" fillId="0" borderId="0" xfId="4" applyFont="1" applyFill="1" applyAlignment="1">
      <alignment horizontal="left" vertical="top"/>
    </xf>
    <xf numFmtId="0" fontId="12" fillId="0" borderId="0" xfId="0" applyFont="1" applyAlignment="1">
      <alignment horizontal="center" vertical="center" wrapText="1"/>
    </xf>
    <xf numFmtId="44" fontId="12" fillId="0" borderId="0" xfId="1" applyFont="1" applyFill="1" applyAlignment="1">
      <alignment horizontal="center" vertical="center" wrapText="1"/>
    </xf>
    <xf numFmtId="170" fontId="7" fillId="0" borderId="0" xfId="0" applyNumberFormat="1" applyFont="1" applyAlignment="1">
      <alignment horizontal="center" vertical="center" wrapText="1"/>
    </xf>
    <xf numFmtId="170" fontId="9" fillId="0" borderId="0" xfId="2" applyNumberFormat="1" applyFont="1" applyFill="1" applyAlignment="1">
      <alignment horizontal="left" vertical="center" wrapText="1"/>
    </xf>
    <xf numFmtId="170" fontId="7" fillId="0" borderId="0" xfId="0" applyNumberFormat="1" applyFont="1" applyAlignment="1">
      <alignment horizontal="left" vertical="center" wrapText="1"/>
    </xf>
    <xf numFmtId="170" fontId="5" fillId="0" borderId="0" xfId="0" applyNumberFormat="1" applyFont="1" applyAlignment="1">
      <alignment horizontal="left" vertical="center" wrapText="1"/>
    </xf>
    <xf numFmtId="170" fontId="9" fillId="0" borderId="0" xfId="0" applyNumberFormat="1" applyFont="1" applyAlignment="1">
      <alignment horizontal="left" vertical="top" wrapText="1"/>
    </xf>
    <xf numFmtId="170" fontId="4" fillId="0" borderId="0" xfId="2" applyNumberFormat="1" applyFont="1" applyFill="1" applyAlignment="1">
      <alignment horizontal="left" vertical="top" wrapText="1"/>
    </xf>
    <xf numFmtId="170" fontId="0" fillId="0" borderId="0" xfId="0" applyNumberFormat="1" applyAlignment="1">
      <alignment horizontal="left" vertical="top" wrapText="1"/>
    </xf>
    <xf numFmtId="170" fontId="12" fillId="0" borderId="0" xfId="0" applyNumberFormat="1" applyFont="1" applyAlignment="1">
      <alignment horizontal="center" vertical="center"/>
    </xf>
    <xf numFmtId="170" fontId="11" fillId="0" borderId="0" xfId="0" applyNumberFormat="1" applyFont="1" applyAlignment="1">
      <alignment horizontal="left" vertical="center" wrapText="1"/>
    </xf>
    <xf numFmtId="170" fontId="0" fillId="2" borderId="0" xfId="0" applyNumberFormat="1" applyFill="1" applyAlignment="1">
      <alignment horizontal="left" vertical="center" wrapText="1"/>
    </xf>
    <xf numFmtId="170" fontId="0" fillId="2" borderId="0" xfId="0" applyNumberFormat="1" applyFill="1" applyAlignment="1">
      <alignment horizontal="left" vertical="center"/>
    </xf>
    <xf numFmtId="0" fontId="19" fillId="0" borderId="0" xfId="0" applyFont="1" applyAlignment="1">
      <alignment horizontal="center" vertical="center" wrapText="1"/>
    </xf>
    <xf numFmtId="0" fontId="20" fillId="0" borderId="0" xfId="0" applyFont="1" applyAlignment="1">
      <alignment horizontal="center" vertical="center"/>
    </xf>
    <xf numFmtId="9" fontId="0" fillId="0" borderId="0" xfId="1" applyNumberFormat="1" applyFont="1" applyFill="1" applyAlignment="1">
      <alignment horizontal="left"/>
    </xf>
    <xf numFmtId="0" fontId="11" fillId="0" borderId="0" xfId="0" applyFont="1"/>
    <xf numFmtId="0" fontId="21" fillId="0" borderId="0" xfId="0" applyFont="1"/>
    <xf numFmtId="0" fontId="15" fillId="0" borderId="0" xfId="0" applyFont="1"/>
    <xf numFmtId="0" fontId="0" fillId="0" borderId="0" xfId="0" applyAlignment="1">
      <alignment horizontal="center" vertical="top" wrapText="1"/>
    </xf>
    <xf numFmtId="0" fontId="0" fillId="0" borderId="0" xfId="3" applyFont="1" applyAlignment="1">
      <alignment vertical="center"/>
    </xf>
    <xf numFmtId="0" fontId="0" fillId="0" borderId="0" xfId="1" quotePrefix="1" applyNumberFormat="1" applyFont="1" applyFill="1" applyAlignment="1">
      <alignment horizontal="left" vertical="center"/>
    </xf>
    <xf numFmtId="0" fontId="0" fillId="0" borderId="0" xfId="1" quotePrefix="1" applyNumberFormat="1" applyFont="1" applyFill="1"/>
    <xf numFmtId="1" fontId="7" fillId="0" borderId="0" xfId="0" applyNumberFormat="1" applyFont="1" applyAlignment="1">
      <alignment horizontal="left" vertical="center"/>
    </xf>
    <xf numFmtId="0" fontId="22" fillId="0" borderId="0" xfId="0" applyFont="1"/>
    <xf numFmtId="0" fontId="22" fillId="0" borderId="0" xfId="0" applyFont="1" applyAlignment="1">
      <alignment wrapText="1"/>
    </xf>
    <xf numFmtId="0" fontId="23" fillId="0" borderId="0" xfId="0" applyFont="1"/>
    <xf numFmtId="0" fontId="23" fillId="0" borderId="0" xfId="0" applyFont="1" applyAlignment="1">
      <alignment wrapText="1"/>
    </xf>
    <xf numFmtId="0" fontId="25" fillId="0" borderId="0" xfId="0" applyFont="1"/>
    <xf numFmtId="167" fontId="0" fillId="0" borderId="0" xfId="1" applyNumberFormat="1" applyFont="1" applyFill="1" applyAlignment="1">
      <alignment horizontal="left" vertical="top" wrapText="1"/>
    </xf>
    <xf numFmtId="167" fontId="0" fillId="0" borderId="0" xfId="1" applyNumberFormat="1" applyFont="1" applyFill="1" applyAlignment="1">
      <alignment horizontal="left" vertical="center"/>
    </xf>
    <xf numFmtId="167" fontId="0" fillId="0" borderId="0" xfId="0" applyNumberFormat="1"/>
    <xf numFmtId="0" fontId="8" fillId="0" borderId="0" xfId="0" applyFont="1"/>
    <xf numFmtId="0" fontId="26" fillId="0" borderId="0" xfId="0" applyFont="1" applyAlignment="1">
      <alignment wrapText="1"/>
    </xf>
    <xf numFmtId="170" fontId="0" fillId="3" borderId="0" xfId="0" applyNumberFormat="1" applyFill="1" applyAlignment="1">
      <alignment horizontal="left" vertical="center" wrapText="1"/>
    </xf>
    <xf numFmtId="0" fontId="0" fillId="3" borderId="0" xfId="0" applyFill="1" applyAlignment="1">
      <alignment horizontal="left" vertical="center" wrapText="1"/>
    </xf>
    <xf numFmtId="44" fontId="0" fillId="3" borderId="0" xfId="1" applyFont="1" applyFill="1" applyAlignment="1">
      <alignment horizontal="left" vertical="center" wrapText="1"/>
    </xf>
    <xf numFmtId="44" fontId="0" fillId="3" borderId="0" xfId="1" applyFont="1" applyFill="1" applyAlignment="1">
      <alignment horizontal="left" vertical="center"/>
    </xf>
    <xf numFmtId="0" fontId="0" fillId="3" borderId="0" xfId="1" applyNumberFormat="1" applyFont="1" applyFill="1" applyAlignment="1">
      <alignment horizontal="left" vertical="center" wrapText="1"/>
    </xf>
    <xf numFmtId="2" fontId="0" fillId="3" borderId="0" xfId="0" applyNumberFormat="1" applyFill="1" applyAlignment="1">
      <alignment horizontal="left" vertical="center" wrapText="1"/>
    </xf>
    <xf numFmtId="2" fontId="0" fillId="3" borderId="0" xfId="1" applyNumberFormat="1" applyFont="1" applyFill="1" applyAlignment="1">
      <alignment horizontal="left" vertical="center" wrapText="1"/>
    </xf>
    <xf numFmtId="1" fontId="0" fillId="3" borderId="0" xfId="0" applyNumberFormat="1" applyFill="1" applyAlignment="1">
      <alignment horizontal="left" vertical="center" wrapText="1"/>
    </xf>
    <xf numFmtId="0" fontId="27" fillId="0" borderId="0" xfId="0" applyFont="1"/>
    <xf numFmtId="0" fontId="29" fillId="0" borderId="0" xfId="0" applyFont="1"/>
    <xf numFmtId="49" fontId="0" fillId="0" borderId="0" xfId="0" quotePrefix="1" applyNumberFormat="1" applyAlignment="1">
      <alignment horizontal="right" vertical="center"/>
    </xf>
    <xf numFmtId="2" fontId="0" fillId="0" borderId="0" xfId="1" applyNumberFormat="1" applyFont="1" applyFill="1" applyAlignment="1">
      <alignment vertical="center"/>
    </xf>
    <xf numFmtId="3" fontId="0" fillId="0" borderId="0" xfId="0" applyNumberFormat="1"/>
    <xf numFmtId="0" fontId="0" fillId="0" borderId="0" xfId="1" quotePrefix="1" applyNumberFormat="1" applyFont="1" applyFill="1" applyAlignment="1">
      <alignment horizontal="left" vertical="top"/>
    </xf>
    <xf numFmtId="3" fontId="23" fillId="0" borderId="0" xfId="0" applyNumberFormat="1" applyFont="1"/>
    <xf numFmtId="0" fontId="30" fillId="0" borderId="0" xfId="0" applyFont="1"/>
    <xf numFmtId="168" fontId="0" fillId="0" borderId="0" xfId="5" applyNumberFormat="1" applyFont="1" applyFill="1" applyBorder="1"/>
    <xf numFmtId="0" fontId="32" fillId="0" borderId="0" xfId="0" applyFont="1"/>
    <xf numFmtId="0" fontId="31" fillId="0" borderId="0" xfId="0" applyFont="1"/>
    <xf numFmtId="0" fontId="33" fillId="0" borderId="0" xfId="0" applyFont="1"/>
    <xf numFmtId="0" fontId="0" fillId="0" borderId="0" xfId="1" quotePrefix="1" applyNumberFormat="1" applyFont="1" applyFill="1" applyBorder="1" applyAlignment="1">
      <alignment horizontal="left" vertical="top"/>
    </xf>
    <xf numFmtId="2" fontId="0" fillId="0" borderId="3" xfId="0" applyNumberFormat="1" applyBorder="1" applyAlignment="1">
      <alignment horizontal="left" vertical="top" wrapText="1"/>
    </xf>
    <xf numFmtId="0" fontId="34" fillId="0" borderId="0" xfId="0" applyFont="1"/>
    <xf numFmtId="0" fontId="0" fillId="0" borderId="0" xfId="1" applyNumberFormat="1" applyFont="1" applyAlignment="1">
      <alignment horizontal="left" vertical="top"/>
    </xf>
    <xf numFmtId="0" fontId="0" fillId="0" borderId="3" xfId="0" applyBorder="1"/>
    <xf numFmtId="0" fontId="17" fillId="0" borderId="0" xfId="0" applyFont="1"/>
    <xf numFmtId="0" fontId="0" fillId="0" borderId="5" xfId="0" applyBorder="1" applyAlignment="1">
      <alignment horizontal="left" vertical="center" wrapText="1"/>
    </xf>
    <xf numFmtId="44" fontId="0" fillId="0" borderId="0" xfId="1" applyFont="1" applyBorder="1" applyAlignment="1">
      <alignment horizontal="left" vertical="center" wrapText="1"/>
    </xf>
    <xf numFmtId="0" fontId="35" fillId="0" borderId="0" xfId="0" applyFont="1"/>
    <xf numFmtId="0" fontId="36" fillId="0" borderId="0" xfId="0" applyFont="1"/>
    <xf numFmtId="0" fontId="37" fillId="0" borderId="0" xfId="0" applyFont="1"/>
    <xf numFmtId="0" fontId="0" fillId="0" borderId="0" xfId="1" applyNumberFormat="1" applyFont="1" applyFill="1" applyBorder="1"/>
    <xf numFmtId="0" fontId="0" fillId="0" borderId="0" xfId="1" quotePrefix="1" applyNumberFormat="1" applyFont="1" applyFill="1" applyBorder="1"/>
    <xf numFmtId="0" fontId="3" fillId="0" borderId="0" xfId="3" applyAlignment="1">
      <alignment vertical="top" wrapText="1"/>
    </xf>
    <xf numFmtId="0" fontId="0" fillId="0" borderId="0" xfId="0" quotePrefix="1"/>
    <xf numFmtId="3" fontId="0" fillId="0" borderId="0" xfId="0" applyNumberFormat="1" applyAlignment="1">
      <alignment wrapText="1"/>
    </xf>
    <xf numFmtId="0" fontId="38" fillId="0" borderId="0" xfId="0" applyFont="1"/>
    <xf numFmtId="0" fontId="0" fillId="0" borderId="3" xfId="0" applyBorder="1" applyAlignment="1">
      <alignment horizontal="left" vertical="top" wrapText="1"/>
    </xf>
    <xf numFmtId="0" fontId="0" fillId="0" borderId="3" xfId="1" applyNumberFormat="1" applyFont="1" applyFill="1" applyBorder="1" applyAlignment="1">
      <alignment horizontal="left" vertical="top" wrapText="1"/>
    </xf>
    <xf numFmtId="0" fontId="1" fillId="0" borderId="0" xfId="1" quotePrefix="1" applyNumberFormat="1" applyFont="1" applyFill="1" applyBorder="1" applyAlignment="1">
      <alignment horizontal="left" vertical="center" wrapText="1"/>
    </xf>
    <xf numFmtId="170" fontId="0" fillId="0" borderId="0" xfId="0" applyNumberFormat="1" applyAlignment="1">
      <alignment horizontal="right"/>
    </xf>
    <xf numFmtId="169" fontId="0" fillId="0" borderId="0" xfId="0" applyNumberFormat="1" applyAlignment="1">
      <alignment horizontal="left" vertical="top"/>
    </xf>
    <xf numFmtId="2" fontId="9" fillId="0" borderId="0" xfId="0" applyNumberFormat="1" applyFont="1" applyAlignment="1">
      <alignment horizontal="center" vertical="center" wrapText="1"/>
    </xf>
    <xf numFmtId="0" fontId="0" fillId="0" borderId="0" xfId="0" applyAlignment="1">
      <alignment horizontal="right"/>
    </xf>
    <xf numFmtId="3" fontId="4" fillId="0" borderId="0" xfId="6" applyNumberFormat="1" applyFont="1" applyAlignment="1">
      <alignment horizontal="left" vertical="center"/>
    </xf>
    <xf numFmtId="9" fontId="0" fillId="0" borderId="0" xfId="1" applyNumberFormat="1" applyFont="1" applyFill="1" applyBorder="1" applyAlignment="1">
      <alignment horizontal="left" vertical="top"/>
    </xf>
    <xf numFmtId="0" fontId="39" fillId="0" borderId="0" xfId="0" applyFont="1"/>
    <xf numFmtId="0" fontId="40" fillId="0" borderId="0" xfId="0" applyFont="1"/>
    <xf numFmtId="3" fontId="22" fillId="0" borderId="0" xfId="0" applyNumberFormat="1" applyFont="1"/>
    <xf numFmtId="167" fontId="0" fillId="0" borderId="0" xfId="1" applyNumberFormat="1" applyFont="1" applyFill="1" applyBorder="1"/>
    <xf numFmtId="170" fontId="38" fillId="0" borderId="0" xfId="0" applyNumberFormat="1" applyFont="1"/>
    <xf numFmtId="0" fontId="0" fillId="0" borderId="2" xfId="0" applyBorder="1" applyAlignment="1">
      <alignment wrapText="1"/>
    </xf>
    <xf numFmtId="0" fontId="41" fillId="0" borderId="0" xfId="0" applyFont="1"/>
    <xf numFmtId="0" fontId="42" fillId="0" borderId="0" xfId="0" applyFont="1"/>
    <xf numFmtId="3" fontId="42" fillId="0" borderId="0" xfId="0" applyNumberFormat="1" applyFont="1"/>
    <xf numFmtId="167" fontId="0" fillId="0" borderId="3" xfId="1" applyNumberFormat="1" applyFont="1" applyFill="1" applyBorder="1" applyAlignment="1">
      <alignment horizontal="left" vertical="center" wrapText="1"/>
    </xf>
    <xf numFmtId="9" fontId="0" fillId="0" borderId="3" xfId="4" applyFont="1" applyFill="1" applyBorder="1" applyAlignment="1">
      <alignment horizontal="left" vertical="top" wrapText="1"/>
    </xf>
    <xf numFmtId="168" fontId="0" fillId="0" borderId="3" xfId="5" applyNumberFormat="1" applyFont="1" applyFill="1" applyBorder="1" applyAlignment="1">
      <alignment horizontal="left" vertical="center" wrapText="1"/>
    </xf>
    <xf numFmtId="165" fontId="7" fillId="0" borderId="0" xfId="0" applyNumberFormat="1" applyFont="1" applyAlignment="1">
      <alignment horizontal="center" vertical="center" wrapText="1"/>
    </xf>
    <xf numFmtId="165" fontId="0" fillId="0" borderId="3" xfId="0" applyNumberFormat="1" applyBorder="1" applyAlignment="1">
      <alignment horizontal="left" vertical="center" wrapText="1"/>
    </xf>
    <xf numFmtId="165" fontId="0" fillId="0" borderId="0" xfId="0" applyNumberFormat="1"/>
    <xf numFmtId="165" fontId="0" fillId="0" borderId="0" xfId="0" applyNumberFormat="1" applyAlignment="1">
      <alignment horizontal="left" vertical="top"/>
    </xf>
    <xf numFmtId="165" fontId="0" fillId="0" borderId="0" xfId="0" applyNumberFormat="1" applyAlignment="1">
      <alignment horizontal="left" vertical="center"/>
    </xf>
    <xf numFmtId="165" fontId="7" fillId="0" borderId="0" xfId="0" applyNumberFormat="1" applyFont="1" applyAlignment="1">
      <alignment horizontal="left" vertical="center" wrapText="1"/>
    </xf>
    <xf numFmtId="165" fontId="0" fillId="0" borderId="0" xfId="0" applyNumberFormat="1" applyAlignment="1">
      <alignment horizontal="left"/>
    </xf>
    <xf numFmtId="165" fontId="0" fillId="3" borderId="0" xfId="0" applyNumberFormat="1" applyFill="1" applyAlignment="1">
      <alignment horizontal="left" vertical="center" wrapText="1"/>
    </xf>
    <xf numFmtId="165" fontId="7" fillId="0" borderId="0" xfId="0" applyNumberFormat="1" applyFont="1" applyAlignment="1">
      <alignment horizontal="left" vertical="center"/>
    </xf>
    <xf numFmtId="165" fontId="7" fillId="0" borderId="0" xfId="0" applyNumberFormat="1" applyFont="1"/>
    <xf numFmtId="165" fontId="0" fillId="2" borderId="0" xfId="0" applyNumberFormat="1" applyFill="1" applyAlignment="1">
      <alignment horizontal="left" vertical="center" wrapText="1"/>
    </xf>
    <xf numFmtId="165" fontId="0" fillId="2" borderId="0" xfId="0" applyNumberFormat="1" applyFill="1" applyAlignment="1">
      <alignment horizontal="left" vertical="center"/>
    </xf>
    <xf numFmtId="2" fontId="0" fillId="0" borderId="0" xfId="0" applyNumberFormat="1" applyAlignment="1">
      <alignment wrapText="1"/>
    </xf>
    <xf numFmtId="0" fontId="45" fillId="0" borderId="0" xfId="0" applyFont="1"/>
    <xf numFmtId="44" fontId="7" fillId="0" borderId="3" xfId="0" applyNumberFormat="1" applyFont="1" applyBorder="1" applyAlignment="1">
      <alignment horizontal="left" vertical="center" wrapText="1"/>
    </xf>
    <xf numFmtId="170" fontId="0" fillId="0" borderId="3" xfId="0" applyNumberFormat="1" applyBorder="1"/>
    <xf numFmtId="170" fontId="4" fillId="0" borderId="1" xfId="0" applyNumberFormat="1" applyFont="1" applyBorder="1" applyAlignment="1">
      <alignment horizontal="left" vertical="center" wrapText="1"/>
    </xf>
    <xf numFmtId="165" fontId="0" fillId="0" borderId="3" xfId="0" applyNumberFormat="1" applyBorder="1"/>
    <xf numFmtId="165" fontId="7" fillId="0" borderId="3" xfId="0" applyNumberFormat="1" applyFont="1" applyBorder="1" applyAlignment="1">
      <alignment horizontal="left" vertical="top" wrapText="1"/>
    </xf>
    <xf numFmtId="165" fontId="0" fillId="0" borderId="3" xfId="0" applyNumberFormat="1" applyBorder="1" applyAlignment="1">
      <alignment horizontal="left" vertical="top"/>
    </xf>
    <xf numFmtId="0" fontId="0" fillId="0" borderId="1" xfId="0" applyBorder="1" applyAlignment="1">
      <alignment vertical="center" wrapText="1"/>
    </xf>
    <xf numFmtId="3" fontId="0" fillId="0" borderId="3" xfId="0" applyNumberFormat="1" applyBorder="1"/>
    <xf numFmtId="44" fontId="0" fillId="0" borderId="3" xfId="1" applyFont="1" applyFill="1" applyBorder="1"/>
    <xf numFmtId="44" fontId="0" fillId="0" borderId="3" xfId="1" applyFont="1" applyFill="1" applyBorder="1" applyAlignment="1">
      <alignment horizontal="left" vertical="top" wrapText="1"/>
    </xf>
    <xf numFmtId="44" fontId="0" fillId="0" borderId="3" xfId="1" applyFont="1" applyFill="1" applyBorder="1" applyAlignment="1">
      <alignment vertical="top" wrapText="1"/>
    </xf>
    <xf numFmtId="0" fontId="0" fillId="0" borderId="3" xfId="0" applyBorder="1" applyAlignment="1">
      <alignment vertical="top" wrapText="1"/>
    </xf>
    <xf numFmtId="0" fontId="0" fillId="0" borderId="3" xfId="1" applyNumberFormat="1" applyFont="1" applyFill="1" applyBorder="1" applyAlignment="1">
      <alignment horizontal="left" vertical="top"/>
    </xf>
    <xf numFmtId="0" fontId="0" fillId="0" borderId="3" xfId="1" applyNumberFormat="1" applyFont="1" applyFill="1" applyBorder="1"/>
    <xf numFmtId="0" fontId="0" fillId="0" borderId="3" xfId="1" quotePrefix="1" applyNumberFormat="1" applyFont="1" applyFill="1" applyBorder="1"/>
    <xf numFmtId="2" fontId="0" fillId="0" borderId="3" xfId="0" applyNumberFormat="1" applyBorder="1"/>
    <xf numFmtId="0" fontId="0" fillId="0" borderId="5" xfId="0" applyBorder="1"/>
    <xf numFmtId="0" fontId="0" fillId="0" borderId="5" xfId="0" applyBorder="1" applyAlignment="1">
      <alignment horizontal="left" vertical="top" wrapText="1"/>
    </xf>
    <xf numFmtId="2" fontId="0" fillId="0" borderId="3" xfId="1" applyNumberFormat="1" applyFont="1" applyFill="1" applyBorder="1"/>
    <xf numFmtId="2" fontId="0" fillId="0" borderId="3" xfId="1" applyNumberFormat="1" applyFont="1" applyFill="1" applyBorder="1" applyAlignment="1">
      <alignment horizontal="left" vertical="top" wrapText="1"/>
    </xf>
    <xf numFmtId="1" fontId="0" fillId="0" borderId="3" xfId="0" applyNumberFormat="1" applyBorder="1"/>
    <xf numFmtId="1" fontId="0" fillId="0" borderId="3" xfId="0" applyNumberFormat="1" applyBorder="1" applyAlignment="1">
      <alignment horizontal="left" vertical="top" wrapText="1"/>
    </xf>
    <xf numFmtId="170" fontId="7" fillId="0" borderId="0" xfId="0" applyNumberFormat="1" applyFont="1"/>
    <xf numFmtId="0" fontId="46" fillId="0" borderId="0" xfId="0" applyFont="1"/>
    <xf numFmtId="167" fontId="7" fillId="0" borderId="0" xfId="1" applyNumberFormat="1" applyFont="1" applyFill="1"/>
    <xf numFmtId="168" fontId="7" fillId="0" borderId="0" xfId="5" applyNumberFormat="1" applyFont="1" applyFill="1"/>
    <xf numFmtId="0" fontId="0" fillId="0" borderId="0" xfId="0" quotePrefix="1" applyAlignment="1">
      <alignment wrapText="1"/>
    </xf>
    <xf numFmtId="2" fontId="0" fillId="0" borderId="3" xfId="0" applyNumberFormat="1" applyBorder="1" applyAlignment="1">
      <alignment horizontal="left" vertical="top"/>
    </xf>
    <xf numFmtId="170" fontId="4" fillId="0" borderId="3" xfId="0" applyNumberFormat="1" applyFont="1" applyBorder="1" applyAlignment="1">
      <alignment horizontal="left" vertical="top" wrapText="1"/>
    </xf>
    <xf numFmtId="165" fontId="0" fillId="0" borderId="3" xfId="0" applyNumberFormat="1" applyBorder="1" applyAlignment="1">
      <alignment horizontal="left" vertical="top" wrapText="1"/>
    </xf>
    <xf numFmtId="3" fontId="0" fillId="0" borderId="3" xfId="0" applyNumberFormat="1" applyBorder="1" applyAlignment="1">
      <alignment horizontal="left" vertical="top" wrapText="1"/>
    </xf>
    <xf numFmtId="0" fontId="0" fillId="0" borderId="3" xfId="1" quotePrefix="1" applyNumberFormat="1" applyFont="1" applyFill="1" applyBorder="1" applyAlignment="1">
      <alignment horizontal="left" vertical="top" wrapText="1"/>
    </xf>
    <xf numFmtId="165" fontId="7" fillId="0" borderId="0" xfId="0" applyNumberFormat="1" applyFont="1" applyAlignment="1">
      <alignment horizontal="left" vertical="top" wrapText="1"/>
    </xf>
    <xf numFmtId="165" fontId="7" fillId="0" borderId="0" xfId="0" applyNumberFormat="1" applyFont="1" applyAlignment="1">
      <alignment horizontal="left" vertical="top"/>
    </xf>
    <xf numFmtId="165" fontId="0" fillId="0" borderId="1" xfId="0" applyNumberFormat="1" applyBorder="1" applyAlignment="1">
      <alignment horizontal="left" vertical="top" wrapText="1"/>
    </xf>
    <xf numFmtId="165" fontId="27" fillId="0" borderId="0" xfId="0" applyNumberFormat="1" applyFont="1"/>
    <xf numFmtId="14" fontId="11" fillId="0" borderId="0" xfId="0" applyNumberFormat="1" applyFont="1"/>
    <xf numFmtId="167" fontId="12" fillId="0" borderId="0" xfId="1" applyNumberFormat="1" applyFont="1" applyFill="1" applyAlignment="1">
      <alignment horizontal="left" vertical="center" wrapText="1"/>
    </xf>
    <xf numFmtId="167" fontId="12" fillId="0" borderId="0" xfId="0" applyNumberFormat="1" applyFont="1" applyAlignment="1">
      <alignment horizontal="center" vertical="center" wrapText="1"/>
    </xf>
    <xf numFmtId="167" fontId="12" fillId="0" borderId="0" xfId="1" applyNumberFormat="1" applyFont="1" applyFill="1" applyAlignment="1">
      <alignment horizontal="center" vertical="center" wrapText="1"/>
    </xf>
    <xf numFmtId="2" fontId="12" fillId="0" borderId="0" xfId="0" applyNumberFormat="1" applyFont="1" applyAlignment="1">
      <alignment horizontal="left" vertical="center" wrapText="1"/>
    </xf>
    <xf numFmtId="2" fontId="12" fillId="0" borderId="0" xfId="0" applyNumberFormat="1" applyFont="1" applyAlignment="1">
      <alignment horizontal="center" vertical="center" wrapText="1"/>
    </xf>
    <xf numFmtId="170" fontId="0" fillId="0" borderId="3" xfId="0" applyNumberFormat="1" applyBorder="1" applyAlignment="1">
      <alignment horizontal="left" vertical="top" wrapText="1"/>
    </xf>
    <xf numFmtId="170" fontId="5" fillId="0" borderId="0" xfId="2" applyNumberFormat="1" applyFont="1" applyFill="1" applyBorder="1" applyAlignment="1">
      <alignment horizontal="left" vertical="top" wrapText="1"/>
    </xf>
    <xf numFmtId="170" fontId="4" fillId="0" borderId="0" xfId="2" applyNumberFormat="1" applyFont="1" applyFill="1" applyBorder="1" applyAlignment="1">
      <alignment horizontal="left" vertical="center" wrapText="1"/>
    </xf>
    <xf numFmtId="170" fontId="7" fillId="0" borderId="0" xfId="0" applyNumberFormat="1" applyFont="1" applyAlignment="1">
      <alignment horizontal="left" vertical="top" wrapText="1"/>
    </xf>
    <xf numFmtId="0" fontId="4" fillId="0" borderId="3" xfId="0" applyFont="1" applyBorder="1" applyAlignment="1">
      <alignment horizontal="left" vertical="top" wrapText="1"/>
    </xf>
    <xf numFmtId="0" fontId="6" fillId="0" borderId="0" xfId="0" applyFont="1" applyAlignment="1">
      <alignment horizontal="left" vertical="top" wrapText="1"/>
    </xf>
    <xf numFmtId="0" fontId="7" fillId="0" borderId="0" xfId="0" applyFont="1" applyAlignment="1">
      <alignment vertical="top" wrapText="1"/>
    </xf>
    <xf numFmtId="165" fontId="4" fillId="0" borderId="3" xfId="0" applyNumberFormat="1" applyFont="1" applyBorder="1" applyAlignment="1">
      <alignment horizontal="left" vertical="top" wrapText="1"/>
    </xf>
    <xf numFmtId="165" fontId="6" fillId="0" borderId="0" xfId="0" applyNumberFormat="1" applyFont="1" applyAlignment="1">
      <alignment horizontal="left" vertical="top" wrapText="1"/>
    </xf>
    <xf numFmtId="0" fontId="4" fillId="0" borderId="3" xfId="0" applyFont="1" applyBorder="1" applyAlignment="1">
      <alignment vertical="top" wrapText="1"/>
    </xf>
    <xf numFmtId="0" fontId="6" fillId="0" borderId="0" xfId="0" applyFont="1" applyAlignment="1">
      <alignment horizontal="center" vertical="top" wrapText="1"/>
    </xf>
    <xf numFmtId="3" fontId="9" fillId="0" borderId="0" xfId="6" applyNumberFormat="1" applyFont="1" applyAlignment="1">
      <alignment horizontal="left" vertical="top" wrapText="1"/>
    </xf>
    <xf numFmtId="44" fontId="4" fillId="0" borderId="3" xfId="1" applyFont="1" applyFill="1" applyBorder="1" applyAlignment="1">
      <alignment horizontal="left" vertical="top" wrapText="1"/>
    </xf>
    <xf numFmtId="44" fontId="6" fillId="0" borderId="0" xfId="1" applyFont="1" applyFill="1" applyBorder="1" applyAlignment="1">
      <alignment horizontal="left" vertical="top" wrapText="1"/>
    </xf>
    <xf numFmtId="167" fontId="0" fillId="0" borderId="0" xfId="1" applyNumberFormat="1" applyFont="1" applyFill="1" applyBorder="1" applyAlignment="1">
      <alignment horizontal="left" vertical="top" wrapText="1"/>
    </xf>
    <xf numFmtId="0" fontId="0" fillId="0" borderId="1" xfId="0" applyBorder="1" applyAlignment="1">
      <alignment horizontal="left" vertical="top" wrapText="1"/>
    </xf>
    <xf numFmtId="0" fontId="0" fillId="0" borderId="0" xfId="1" applyNumberFormat="1" applyFont="1" applyFill="1" applyBorder="1" applyAlignment="1">
      <alignment vertical="top" wrapText="1"/>
    </xf>
    <xf numFmtId="2" fontId="0" fillId="0" borderId="0" xfId="0" quotePrefix="1" applyNumberFormat="1" applyAlignment="1">
      <alignment horizontal="left" vertical="top"/>
    </xf>
    <xf numFmtId="0" fontId="0" fillId="0" borderId="0" xfId="1" quotePrefix="1" applyNumberFormat="1" applyFont="1" applyFill="1" applyBorder="1" applyAlignment="1">
      <alignment vertical="top" wrapText="1"/>
    </xf>
    <xf numFmtId="2" fontId="4" fillId="0" borderId="3" xfId="0" applyNumberFormat="1" applyFont="1" applyBorder="1" applyAlignment="1">
      <alignment horizontal="left" vertical="top" wrapText="1"/>
    </xf>
    <xf numFmtId="2" fontId="6" fillId="0" borderId="0" xfId="0" applyNumberFormat="1" applyFont="1" applyAlignment="1">
      <alignment horizontal="left" vertical="top" wrapText="1"/>
    </xf>
    <xf numFmtId="0" fontId="0" fillId="0" borderId="1" xfId="0" applyBorder="1" applyAlignment="1">
      <alignment vertical="top" wrapText="1"/>
    </xf>
    <xf numFmtId="0" fontId="7" fillId="0" borderId="0" xfId="0" applyFont="1" applyAlignment="1">
      <alignment horizontal="center" vertical="top" wrapText="1"/>
    </xf>
    <xf numFmtId="0" fontId="0" fillId="0" borderId="3" xfId="0" quotePrefix="1" applyBorder="1" applyAlignment="1">
      <alignment vertical="top" wrapText="1"/>
    </xf>
    <xf numFmtId="0" fontId="0" fillId="0" borderId="4" xfId="0" applyBorder="1" applyAlignment="1">
      <alignment horizontal="left" vertical="top" wrapText="1"/>
    </xf>
    <xf numFmtId="0" fontId="4" fillId="0" borderId="5" xfId="0" applyFont="1" applyBorder="1" applyAlignment="1">
      <alignment horizontal="left" vertical="top" wrapText="1"/>
    </xf>
    <xf numFmtId="2" fontId="0" fillId="0" borderId="5" xfId="0" applyNumberFormat="1" applyBorder="1" applyAlignment="1">
      <alignment horizontal="left" vertical="top" wrapText="1"/>
    </xf>
    <xf numFmtId="2" fontId="7" fillId="0" borderId="0" xfId="0" applyNumberFormat="1" applyFont="1" applyAlignment="1">
      <alignment vertical="top" wrapText="1"/>
    </xf>
    <xf numFmtId="2" fontId="4" fillId="0" borderId="3" xfId="1" applyNumberFormat="1" applyFont="1" applyFill="1" applyBorder="1" applyAlignment="1">
      <alignment horizontal="left" vertical="top" wrapText="1"/>
    </xf>
    <xf numFmtId="2" fontId="6" fillId="0" borderId="0" xfId="1" applyNumberFormat="1" applyFont="1" applyFill="1" applyBorder="1" applyAlignment="1">
      <alignment horizontal="left" vertical="top" wrapText="1"/>
    </xf>
    <xf numFmtId="2" fontId="0" fillId="0" borderId="0" xfId="1" applyNumberFormat="1" applyFont="1" applyFill="1" applyBorder="1" applyAlignment="1">
      <alignment vertical="top" wrapText="1"/>
    </xf>
    <xf numFmtId="1" fontId="4" fillId="0" borderId="3" xfId="0" applyNumberFormat="1" applyFont="1" applyBorder="1" applyAlignment="1">
      <alignment horizontal="left" vertical="top" wrapText="1"/>
    </xf>
    <xf numFmtId="1" fontId="6" fillId="0" borderId="0" xfId="0" applyNumberFormat="1" applyFont="1" applyAlignment="1">
      <alignment horizontal="left" vertical="top" wrapText="1"/>
    </xf>
    <xf numFmtId="1" fontId="7" fillId="0" borderId="0" xfId="0" applyNumberFormat="1" applyFont="1" applyAlignment="1">
      <alignment vertical="top" wrapText="1"/>
    </xf>
    <xf numFmtId="44" fontId="4" fillId="0" borderId="3" xfId="1" applyFont="1" applyFill="1" applyBorder="1" applyAlignment="1">
      <alignment vertical="top" wrapText="1"/>
    </xf>
    <xf numFmtId="44" fontId="6" fillId="0" borderId="0" xfId="1" applyFont="1" applyFill="1" applyBorder="1" applyAlignment="1">
      <alignment vertical="top" wrapText="1"/>
    </xf>
    <xf numFmtId="9" fontId="0" fillId="0" borderId="0" xfId="0" applyNumberFormat="1"/>
    <xf numFmtId="0" fontId="18" fillId="0" borderId="0" xfId="0" applyFont="1"/>
    <xf numFmtId="14" fontId="8" fillId="0" borderId="0" xfId="0" applyNumberFormat="1" applyFont="1"/>
    <xf numFmtId="2" fontId="4" fillId="4" borderId="0" xfId="0" applyNumberFormat="1" applyFont="1" applyFill="1"/>
    <xf numFmtId="2" fontId="38" fillId="0" borderId="0" xfId="0" applyNumberFormat="1" applyFont="1" applyAlignment="1">
      <alignment horizontal="left" vertical="top"/>
    </xf>
    <xf numFmtId="2" fontId="38" fillId="0" borderId="0" xfId="0" applyNumberFormat="1" applyFont="1"/>
    <xf numFmtId="165" fontId="38" fillId="0" borderId="0" xfId="0" applyNumberFormat="1" applyFont="1" applyAlignment="1">
      <alignment horizontal="left" vertical="top"/>
    </xf>
    <xf numFmtId="167" fontId="38" fillId="0" borderId="0" xfId="1" applyNumberFormat="1" applyFont="1" applyFill="1"/>
    <xf numFmtId="0" fontId="38" fillId="0" borderId="0" xfId="1" applyNumberFormat="1" applyFont="1" applyFill="1" applyAlignment="1">
      <alignment horizontal="left" vertical="top"/>
    </xf>
    <xf numFmtId="0" fontId="38" fillId="0" borderId="0" xfId="0" applyFont="1" applyAlignment="1">
      <alignment horizontal="left" vertical="top"/>
    </xf>
    <xf numFmtId="9" fontId="38" fillId="0" borderId="0" xfId="4" applyFont="1" applyFill="1" applyAlignment="1">
      <alignment horizontal="left" vertical="top"/>
    </xf>
    <xf numFmtId="168" fontId="38" fillId="0" borderId="0" xfId="5" applyNumberFormat="1" applyFont="1" applyFill="1"/>
    <xf numFmtId="44" fontId="38" fillId="0" borderId="0" xfId="0" applyNumberFormat="1" applyFont="1" applyAlignment="1">
      <alignment horizontal="left" vertical="center" wrapText="1"/>
    </xf>
    <xf numFmtId="0" fontId="38" fillId="0" borderId="0" xfId="1" quotePrefix="1" applyNumberFormat="1" applyFont="1" applyFill="1" applyAlignment="1">
      <alignment horizontal="left" vertical="top"/>
    </xf>
    <xf numFmtId="44" fontId="38" fillId="0" borderId="0" xfId="1" applyFont="1" applyFill="1"/>
    <xf numFmtId="0" fontId="8" fillId="0" borderId="3" xfId="0" applyFont="1" applyBorder="1"/>
    <xf numFmtId="0" fontId="48" fillId="0" borderId="0" xfId="0" applyFont="1" applyAlignment="1">
      <alignment horizontal="left" vertical="center" wrapText="1"/>
    </xf>
    <xf numFmtId="0" fontId="12" fillId="0" borderId="0" xfId="0" applyFont="1" applyAlignment="1">
      <alignment vertical="center"/>
    </xf>
    <xf numFmtId="9" fontId="12" fillId="0" borderId="0" xfId="4" applyFont="1" applyAlignment="1">
      <alignment horizontal="left" vertical="center" wrapText="1"/>
    </xf>
    <xf numFmtId="0" fontId="12" fillId="0" borderId="0" xfId="0" applyFont="1" applyAlignment="1">
      <alignment vertical="center" wrapText="1"/>
    </xf>
    <xf numFmtId="0" fontId="49" fillId="0" borderId="0" xfId="6" applyFont="1" applyAlignment="1">
      <alignment vertical="center" wrapText="1"/>
    </xf>
    <xf numFmtId="0" fontId="12" fillId="0" borderId="0" xfId="0" applyFont="1" applyAlignment="1">
      <alignment vertical="top" wrapText="1"/>
    </xf>
    <xf numFmtId="167" fontId="0" fillId="0" borderId="3" xfId="0" applyNumberFormat="1" applyBorder="1" applyAlignment="1">
      <alignment horizontal="left" vertical="center"/>
    </xf>
    <xf numFmtId="49" fontId="7" fillId="0" borderId="0" xfId="0" applyNumberFormat="1" applyFont="1" applyAlignment="1">
      <alignment horizontal="center" vertical="center" wrapText="1"/>
    </xf>
    <xf numFmtId="49" fontId="0" fillId="0" borderId="3" xfId="0" applyNumberFormat="1" applyBorder="1" applyAlignment="1">
      <alignment vertical="top" wrapText="1"/>
    </xf>
    <xf numFmtId="49" fontId="4" fillId="0" borderId="3" xfId="0" applyNumberFormat="1" applyFont="1" applyBorder="1" applyAlignment="1">
      <alignment vertical="top" wrapText="1"/>
    </xf>
    <xf numFmtId="49" fontId="0" fillId="0" borderId="3" xfId="0" quotePrefix="1" applyNumberFormat="1" applyBorder="1" applyAlignment="1">
      <alignment horizontal="right" vertical="center"/>
    </xf>
    <xf numFmtId="49" fontId="0" fillId="0" borderId="3" xfId="0" applyNumberFormat="1" applyBorder="1"/>
    <xf numFmtId="49" fontId="0" fillId="0" borderId="3" xfId="0" quotePrefix="1" applyNumberFormat="1" applyBorder="1" applyAlignment="1">
      <alignment horizontal="right" vertical="top" wrapText="1"/>
    </xf>
    <xf numFmtId="49" fontId="0" fillId="0" borderId="0" xfId="0" applyNumberFormat="1"/>
    <xf numFmtId="49" fontId="0" fillId="0" borderId="0" xfId="0" applyNumberFormat="1" applyAlignment="1">
      <alignment vertical="top" wrapText="1"/>
    </xf>
    <xf numFmtId="49" fontId="6" fillId="0" borderId="0" xfId="0" applyNumberFormat="1" applyFont="1" applyAlignment="1">
      <alignment horizontal="center" vertical="top" wrapText="1"/>
    </xf>
    <xf numFmtId="49" fontId="0" fillId="0" borderId="0" xfId="0" quotePrefix="1" applyNumberFormat="1" applyAlignment="1">
      <alignment horizontal="right" vertical="top" wrapText="1"/>
    </xf>
    <xf numFmtId="49" fontId="0" fillId="0" borderId="0" xfId="0" applyNumberFormat="1" applyAlignment="1">
      <alignment horizontal="center" vertical="top" wrapText="1"/>
    </xf>
    <xf numFmtId="49" fontId="7" fillId="0" borderId="0" xfId="0" applyNumberFormat="1" applyFont="1" applyAlignment="1">
      <alignment horizontal="center" vertical="top" wrapText="1"/>
    </xf>
    <xf numFmtId="49" fontId="0" fillId="0" borderId="0" xfId="0" applyNumberFormat="1" applyAlignment="1">
      <alignment vertical="center"/>
    </xf>
    <xf numFmtId="49" fontId="0" fillId="0" borderId="0" xfId="0" applyNumberFormat="1" applyAlignment="1">
      <alignment horizontal="center" vertical="center"/>
    </xf>
    <xf numFmtId="49" fontId="0" fillId="0" borderId="0" xfId="0" applyNumberFormat="1" applyAlignment="1">
      <alignment horizontal="right" vertical="center" wrapText="1"/>
    </xf>
    <xf numFmtId="49" fontId="0" fillId="0" borderId="0" xfId="0" applyNumberFormat="1" applyAlignment="1">
      <alignment horizontal="center" vertical="center" wrapText="1"/>
    </xf>
    <xf numFmtId="49" fontId="7" fillId="0" borderId="0" xfId="0" applyNumberFormat="1" applyFont="1" applyAlignment="1">
      <alignment horizontal="center" vertical="center"/>
    </xf>
    <xf numFmtId="49" fontId="7" fillId="0" borderId="0" xfId="0" applyNumberFormat="1" applyFont="1" applyAlignment="1">
      <alignment horizontal="left" vertical="center"/>
    </xf>
    <xf numFmtId="49" fontId="6" fillId="0" borderId="0" xfId="0" applyNumberFormat="1" applyFont="1" applyAlignment="1">
      <alignment horizontal="center" vertical="center" wrapText="1"/>
    </xf>
    <xf numFmtId="49" fontId="0" fillId="0" borderId="0" xfId="0" applyNumberFormat="1" applyAlignment="1">
      <alignment horizontal="right" vertical="center"/>
    </xf>
    <xf numFmtId="49" fontId="7" fillId="0" borderId="0" xfId="0" applyNumberFormat="1" applyFont="1"/>
    <xf numFmtId="49" fontId="0" fillId="3" borderId="0" xfId="0" applyNumberFormat="1" applyFill="1" applyAlignment="1">
      <alignment horizontal="left" vertical="center" wrapText="1"/>
    </xf>
    <xf numFmtId="49" fontId="0" fillId="0" borderId="0" xfId="0" applyNumberFormat="1" applyAlignment="1">
      <alignment horizontal="right"/>
    </xf>
    <xf numFmtId="49" fontId="0" fillId="0" borderId="0" xfId="0" applyNumberFormat="1" applyAlignment="1">
      <alignment horizontal="left" vertical="center" wrapText="1"/>
    </xf>
    <xf numFmtId="49" fontId="0" fillId="2" borderId="0" xfId="0" applyNumberFormat="1" applyFill="1" applyAlignment="1">
      <alignment horizontal="left" vertical="center" wrapText="1"/>
    </xf>
    <xf numFmtId="49" fontId="0" fillId="2" borderId="0" xfId="0" applyNumberFormat="1" applyFill="1" applyAlignment="1">
      <alignment horizontal="left" vertical="center"/>
    </xf>
    <xf numFmtId="49" fontId="0" fillId="0" borderId="0" xfId="0" applyNumberFormat="1" applyAlignment="1">
      <alignment horizontal="left" vertical="center"/>
    </xf>
    <xf numFmtId="0" fontId="2" fillId="0" borderId="0" xfId="2"/>
    <xf numFmtId="0" fontId="50" fillId="0" borderId="0" xfId="2" applyFont="1" applyFill="1" applyAlignment="1">
      <alignment horizontal="center" vertical="center" wrapText="1"/>
    </xf>
    <xf numFmtId="0" fontId="12" fillId="0" borderId="0" xfId="0" applyFont="1" applyAlignment="1">
      <alignment horizontal="center" vertical="center"/>
    </xf>
    <xf numFmtId="165" fontId="12" fillId="0" borderId="0" xfId="0" applyNumberFormat="1" applyFont="1" applyAlignment="1">
      <alignment horizontal="left" vertical="center" wrapText="1"/>
    </xf>
    <xf numFmtId="0" fontId="23" fillId="0" borderId="3" xfId="0" applyFont="1" applyBorder="1"/>
    <xf numFmtId="0" fontId="0" fillId="0" borderId="3" xfId="0" applyBorder="1" applyAlignment="1">
      <alignment horizontal="left" vertical="center"/>
    </xf>
    <xf numFmtId="171" fontId="0" fillId="0" borderId="0" xfId="1" applyNumberFormat="1" applyFont="1" applyFill="1"/>
    <xf numFmtId="170" fontId="7" fillId="0" borderId="0" xfId="0" applyNumberFormat="1" applyFont="1" applyAlignment="1">
      <alignment horizontal="left"/>
    </xf>
    <xf numFmtId="44" fontId="7" fillId="0" borderId="0" xfId="1" applyFont="1" applyFill="1" applyAlignment="1">
      <alignment horizontal="left" vertical="center" wrapText="1"/>
    </xf>
    <xf numFmtId="2" fontId="7" fillId="0" borderId="0" xfId="0" applyNumberFormat="1" applyFont="1" applyAlignment="1">
      <alignment horizontal="left"/>
    </xf>
    <xf numFmtId="0" fontId="52" fillId="0" borderId="0" xfId="0" applyFont="1"/>
    <xf numFmtId="0" fontId="7" fillId="0" borderId="0" xfId="0" quotePrefix="1" applyFont="1" applyAlignment="1">
      <alignment horizontal="left" vertical="top"/>
    </xf>
    <xf numFmtId="0" fontId="0" fillId="5" borderId="0" xfId="1" applyNumberFormat="1" applyFont="1" applyFill="1" applyBorder="1" applyAlignment="1">
      <alignment horizontal="left" vertical="top"/>
    </xf>
    <xf numFmtId="0" fontId="51" fillId="0" borderId="0" xfId="0" applyFont="1" applyAlignment="1">
      <alignment horizontal="left" wrapText="1"/>
    </xf>
    <xf numFmtId="170" fontId="0" fillId="0" borderId="6" xfId="0" applyNumberFormat="1" applyBorder="1"/>
    <xf numFmtId="3" fontId="23" fillId="0" borderId="3" xfId="0" applyNumberFormat="1" applyFont="1" applyBorder="1"/>
    <xf numFmtId="167" fontId="0" fillId="0" borderId="1" xfId="1" applyNumberFormat="1" applyFont="1" applyFill="1" applyBorder="1" applyAlignment="1">
      <alignment horizontal="left" vertical="center" wrapText="1"/>
    </xf>
    <xf numFmtId="0" fontId="0" fillId="0" borderId="1" xfId="1" applyNumberFormat="1" applyFont="1" applyFill="1" applyBorder="1" applyAlignment="1">
      <alignment horizontal="left" vertical="top" wrapText="1"/>
    </xf>
    <xf numFmtId="2" fontId="0" fillId="0" borderId="1" xfId="0" applyNumberFormat="1" applyBorder="1" applyAlignment="1">
      <alignment horizontal="left" vertical="top" wrapText="1"/>
    </xf>
    <xf numFmtId="2" fontId="0" fillId="0" borderId="1" xfId="0" applyNumberFormat="1" applyBorder="1" applyAlignment="1">
      <alignment horizontal="left" vertical="center" wrapText="1"/>
    </xf>
    <xf numFmtId="0" fontId="0" fillId="0" borderId="1" xfId="0" applyBorder="1" applyAlignment="1">
      <alignment vertical="center"/>
    </xf>
    <xf numFmtId="9" fontId="0" fillId="0" borderId="1" xfId="4" applyFont="1" applyFill="1" applyBorder="1" applyAlignment="1">
      <alignment horizontal="left" vertical="top" wrapText="1"/>
    </xf>
    <xf numFmtId="168" fontId="0" fillId="0" borderId="1" xfId="5" applyNumberFormat="1" applyFont="1" applyFill="1" applyBorder="1" applyAlignment="1">
      <alignment horizontal="left" vertical="center" wrapText="1"/>
    </xf>
    <xf numFmtId="2" fontId="0" fillId="0" borderId="1" xfId="0" applyNumberFormat="1" applyBorder="1" applyAlignment="1">
      <alignment vertical="center"/>
    </xf>
    <xf numFmtId="44" fontId="0" fillId="0" borderId="1" xfId="0" applyNumberFormat="1" applyBorder="1" applyAlignment="1">
      <alignment horizontal="left" vertical="center" wrapText="1"/>
    </xf>
    <xf numFmtId="164" fontId="0" fillId="0" borderId="0" xfId="0" applyNumberFormat="1"/>
    <xf numFmtId="0" fontId="7" fillId="0" borderId="3" xfId="4" applyNumberFormat="1" applyFont="1" applyFill="1" applyBorder="1" applyAlignment="1">
      <alignment horizontal="left" vertical="top" wrapText="1"/>
    </xf>
    <xf numFmtId="0" fontId="0" fillId="0" borderId="3" xfId="4" applyNumberFormat="1" applyFont="1" applyFill="1" applyBorder="1" applyAlignment="1">
      <alignment horizontal="left" vertical="top" wrapText="1"/>
    </xf>
    <xf numFmtId="0" fontId="0" fillId="0" borderId="0" xfId="4" applyNumberFormat="1" applyFont="1" applyFill="1" applyBorder="1" applyAlignment="1">
      <alignment horizontal="left" vertical="top" wrapText="1"/>
    </xf>
    <xf numFmtId="0" fontId="0" fillId="0" borderId="0" xfId="4" applyNumberFormat="1" applyFont="1" applyFill="1" applyAlignment="1">
      <alignment horizontal="left" vertical="top"/>
    </xf>
    <xf numFmtId="0" fontId="0" fillId="0" borderId="0" xfId="4" applyNumberFormat="1" applyFont="1" applyFill="1" applyAlignment="1">
      <alignment horizontal="left" vertical="top" wrapText="1"/>
    </xf>
    <xf numFmtId="0" fontId="0" fillId="0" borderId="1" xfId="4" applyNumberFormat="1" applyFont="1" applyFill="1" applyBorder="1" applyAlignment="1">
      <alignment horizontal="left" vertical="top" wrapText="1"/>
    </xf>
    <xf numFmtId="0" fontId="0" fillId="0" borderId="0" xfId="4" applyNumberFormat="1" applyFont="1" applyFill="1" applyBorder="1" applyAlignment="1">
      <alignment horizontal="left" vertical="top"/>
    </xf>
    <xf numFmtId="0" fontId="7" fillId="0" borderId="0" xfId="4" applyNumberFormat="1" applyFont="1" applyFill="1" applyBorder="1" applyAlignment="1">
      <alignment horizontal="left" vertical="top" wrapText="1"/>
    </xf>
    <xf numFmtId="0" fontId="4" fillId="0" borderId="0" xfId="4" applyNumberFormat="1" applyFont="1" applyFill="1" applyAlignment="1">
      <alignment horizontal="left" vertical="top" wrapText="1"/>
    </xf>
    <xf numFmtId="0" fontId="38" fillId="0" borderId="0" xfId="4" applyNumberFormat="1" applyFont="1" applyFill="1" applyAlignment="1">
      <alignment horizontal="left" vertical="top"/>
    </xf>
    <xf numFmtId="0" fontId="7" fillId="0" borderId="0" xfId="4" applyNumberFormat="1" applyFont="1" applyFill="1" applyAlignment="1">
      <alignment horizontal="left" vertical="top"/>
    </xf>
    <xf numFmtId="0" fontId="12" fillId="0" borderId="0" xfId="4" applyNumberFormat="1" applyFont="1" applyAlignment="1">
      <alignment horizontal="left" vertical="center" wrapText="1"/>
    </xf>
    <xf numFmtId="44" fontId="53" fillId="0" borderId="0" xfId="1" applyFont="1" applyFill="1"/>
    <xf numFmtId="0" fontId="3" fillId="6" borderId="7" xfId="0" applyFont="1" applyFill="1" applyBorder="1" applyAlignment="1">
      <alignment wrapText="1"/>
    </xf>
    <xf numFmtId="0" fontId="3" fillId="6" borderId="8" xfId="0" applyFont="1" applyFill="1" applyBorder="1" applyAlignment="1">
      <alignment wrapText="1"/>
    </xf>
    <xf numFmtId="0" fontId="3" fillId="0" borderId="8" xfId="0" applyFont="1" applyBorder="1" applyAlignment="1">
      <alignment wrapText="1"/>
    </xf>
    <xf numFmtId="164" fontId="3" fillId="6" borderId="8" xfId="0" applyNumberFormat="1" applyFont="1" applyFill="1" applyBorder="1" applyAlignment="1">
      <alignment wrapText="1"/>
    </xf>
    <xf numFmtId="170" fontId="4" fillId="0" borderId="1" xfId="0" applyNumberFormat="1" applyFont="1" applyBorder="1" applyAlignment="1">
      <alignment horizontal="left" vertical="top" wrapText="1"/>
    </xf>
    <xf numFmtId="44" fontId="0" fillId="0" borderId="1" xfId="1" applyFont="1" applyFill="1" applyBorder="1" applyAlignment="1">
      <alignment horizontal="left" vertical="top" wrapText="1"/>
    </xf>
    <xf numFmtId="0" fontId="4" fillId="0" borderId="1" xfId="0" applyFont="1" applyBorder="1" applyAlignment="1">
      <alignment horizontal="left" vertical="top" wrapText="1"/>
    </xf>
    <xf numFmtId="0" fontId="4" fillId="0" borderId="1" xfId="0" applyFont="1" applyBorder="1" applyAlignment="1">
      <alignment vertical="top" wrapText="1"/>
    </xf>
    <xf numFmtId="49" fontId="0" fillId="0" borderId="1" xfId="0" applyNumberFormat="1" applyBorder="1" applyAlignment="1">
      <alignment vertical="top" wrapText="1"/>
    </xf>
    <xf numFmtId="2" fontId="0" fillId="0" borderId="1" xfId="1" applyNumberFormat="1" applyFont="1" applyFill="1" applyBorder="1" applyAlignment="1">
      <alignment horizontal="left" vertical="top" wrapText="1"/>
    </xf>
    <xf numFmtId="1" fontId="0" fillId="0" borderId="1" xfId="0" applyNumberFormat="1" applyBorder="1" applyAlignment="1">
      <alignment horizontal="left" vertical="top" wrapText="1"/>
    </xf>
    <xf numFmtId="44" fontId="0" fillId="0" borderId="1" xfId="1" applyFont="1" applyFill="1" applyBorder="1" applyAlignment="1">
      <alignment vertical="top" wrapText="1"/>
    </xf>
    <xf numFmtId="14" fontId="36" fillId="0" borderId="0" xfId="0" applyNumberFormat="1" applyFont="1"/>
    <xf numFmtId="0" fontId="54" fillId="0" borderId="0" xfId="0" applyFont="1"/>
  </cellXfs>
  <cellStyles count="7">
    <cellStyle name="Hyperlink" xfId="2" xr:uid="{ACCE6C03-9D3C-4E0A-BBE3-DE9E4D19D65F}"/>
    <cellStyle name="Milliers" xfId="5" builtinId="3"/>
    <cellStyle name="Monétaire" xfId="1" builtinId="4"/>
    <cellStyle name="Normal" xfId="0" builtinId="0"/>
    <cellStyle name="Normal 3" xfId="3" xr:uid="{6A1CE973-2E2E-4FA0-84D5-1E613AC5B192}"/>
    <cellStyle name="Normal 3 2" xfId="6" xr:uid="{D13B0B45-84CD-47B1-9F14-B32673E717B3}"/>
    <cellStyle name="Pourcentage" xfId="4" builtinId="5"/>
  </cellStyles>
  <dxfs count="17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numFmt numFmtId="2" formatCode="0.00"/>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numFmt numFmtId="1" formatCode="0"/>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auto="1"/>
        </patternFill>
      </fill>
    </dxf>
    <dxf>
      <numFmt numFmtId="2" formatCode="0.00"/>
    </dxf>
    <dxf>
      <numFmt numFmtId="2" formatCode="0.00"/>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30" formatCode="@"/>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2" formatCode="0.00"/>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165" formatCode="yyyy\-mm\-dd;@"/>
      <fill>
        <patternFill patternType="none">
          <fgColor indexed="64"/>
          <bgColor auto="1"/>
        </patternFill>
      </fill>
    </dxf>
    <dxf>
      <fill>
        <patternFill patternType="none">
          <fgColor indexed="64"/>
          <bgColor auto="1"/>
        </patternFill>
      </fill>
    </dxf>
    <dxf>
      <numFmt numFmtId="170" formatCode="_(* #\ ###\ ##0_);_(* \(#,##0\);_(* &quot;-&quot;_);_(@_)"/>
      <fill>
        <patternFill patternType="none">
          <fgColor indexed="64"/>
          <bgColor auto="1"/>
        </patternFill>
      </fill>
    </dxf>
    <dxf>
      <border outline="0">
        <top style="thin">
          <color theme="1"/>
        </top>
      </border>
    </dxf>
    <dxf>
      <fill>
        <patternFill patternType="none">
          <fgColor indexed="64"/>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2" formatCode="0.00"/>
      <fill>
        <patternFill patternType="none">
          <bgColor auto="1"/>
        </patternFill>
      </fill>
    </dxf>
    <dxf>
      <font>
        <b val="0"/>
        <i val="0"/>
        <strike val="0"/>
        <condense val="0"/>
        <extend val="0"/>
        <outline val="0"/>
        <shadow val="0"/>
        <u val="none"/>
        <vertAlign val="baseline"/>
        <sz val="11"/>
        <color theme="1"/>
        <name val="Calibri"/>
        <family val="2"/>
        <scheme val="minor"/>
      </font>
      <numFmt numFmtId="168" formatCode="_ * #,##0_)_ ;_ * \(#,##0\)_ ;_ * &quot;-&quot;??_)_ ;_ @_ "/>
      <fill>
        <patternFill patternType="none">
          <bgColor auto="1"/>
        </patternFill>
      </fill>
    </dxf>
    <dxf>
      <numFmt numFmtId="2" formatCode="0.00"/>
      <fill>
        <patternFill patternType="none">
          <bgColor auto="1"/>
        </patternFill>
      </fill>
    </dxf>
    <dxf>
      <fill>
        <patternFill patternType="none">
          <bgColor auto="1"/>
        </patternFill>
      </fill>
    </dxf>
    <dxf>
      <numFmt numFmtId="2" formatCode="0.00"/>
      <fill>
        <patternFill patternType="none">
          <bgColor auto="1"/>
        </patternFill>
      </fill>
    </dxf>
    <dxf>
      <fill>
        <patternFill patternType="none">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bgColor auto="1"/>
        </patternFill>
      </fill>
      <alignment horizontal="left" vertical="top" textRotation="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bgColor auto="1"/>
        </patternFill>
      </fill>
      <alignment horizontal="left" vertical="top" textRotation="0" indent="0" justifyLastLine="0" shrinkToFit="0" readingOrder="0"/>
    </dxf>
    <dxf>
      <font>
        <b val="0"/>
        <i val="0"/>
        <strike val="0"/>
        <condense val="0"/>
        <extend val="0"/>
        <outline val="0"/>
        <shadow val="0"/>
        <u val="none"/>
        <vertAlign val="baseline"/>
        <sz val="11"/>
        <color theme="1"/>
        <name val="Calibri"/>
        <family val="2"/>
        <scheme val="minor"/>
      </font>
      <numFmt numFmtId="13" formatCode="0%"/>
      <fill>
        <patternFill patternType="none">
          <bgColor auto="1"/>
        </patternFill>
      </fill>
      <alignment horizontal="left" vertical="top" textRotation="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bgColor auto="1"/>
        </patternFill>
      </fill>
    </dxf>
    <dxf>
      <fill>
        <patternFill patternType="none">
          <bgColor auto="1"/>
        </patternFill>
      </fill>
    </dxf>
    <dxf>
      <fill>
        <patternFill patternType="none">
          <bgColor auto="1"/>
        </patternFill>
      </fill>
      <alignment horizontal="left" vertical="top" textRotation="0" indent="0" justifyLastLine="0" shrinkToFit="0" readingOrder="0"/>
    </dxf>
    <dxf>
      <fill>
        <patternFill patternType="none">
          <bgColor auto="1"/>
        </patternFill>
      </fill>
    </dxf>
    <dxf>
      <fill>
        <patternFill patternType="none">
          <bgColor auto="1"/>
        </patternFill>
      </fill>
    </dxf>
    <dxf>
      <numFmt numFmtId="2" formatCode="0.00"/>
      <fill>
        <patternFill patternType="none">
          <bgColor auto="1"/>
        </patternFill>
      </fill>
      <alignment horizontal="left" vertical="top" textRotation="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bgColor auto="1"/>
        </patternFill>
      </fill>
      <alignment horizontal="left" vertical="top" textRotation="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bgColor auto="1"/>
        </patternFill>
      </fill>
      <alignment horizontal="left" vertical="top" textRotation="0" indent="0" justifyLastLine="0" shrinkToFit="0" readingOrder="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val="0"/>
        <i val="0"/>
        <strike val="0"/>
        <condense val="0"/>
        <extend val="0"/>
        <outline val="0"/>
        <shadow val="0"/>
        <u val="none"/>
        <vertAlign val="baseline"/>
        <sz val="11"/>
        <color theme="1"/>
        <name val="Calibri"/>
        <family val="2"/>
        <scheme val="minor"/>
      </font>
      <numFmt numFmtId="167" formatCode="_ * #,##0_)\ &quot;$&quot;_ ;_ * \(#,##0\)\ &quot;$&quot;_ ;_ * &quot;-&quot;??_)\ &quot;$&quot;_ ;_ @_ "/>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5" formatCode="yyyy\-mm\-dd;@"/>
      <fill>
        <patternFill patternType="none">
          <bgColor auto="1"/>
        </patternFill>
      </fill>
      <alignment horizontal="left" vertical="top" textRotation="0" indent="0" justifyLastLine="0" shrinkToFit="0" readingOrder="0"/>
    </dxf>
    <dxf>
      <fill>
        <patternFill patternType="none">
          <bgColor auto="1"/>
        </patternFill>
      </fill>
    </dxf>
    <dxf>
      <numFmt numFmtId="170" formatCode="_(* #\ ###\ ##0_);_(* \(#,##0\);_(* &quot;-&quot;_);_(@_)"/>
      <fill>
        <patternFill patternType="none">
          <bgColor auto="1"/>
        </patternFill>
      </fill>
    </dxf>
    <dxf>
      <fill>
        <patternFill patternType="none">
          <bgColor auto="1"/>
        </patternFill>
      </fill>
    </dxf>
    <dxf>
      <font>
        <b/>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pivotCacheDefinition" Target="pivotCache/pivotCacheDefinition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397.437128703707" createdVersion="8" refreshedVersion="8" minRefreshableVersion="3" recordCount="123" xr:uid="{D8AB755E-566B-4F75-B022-6216B16C433D}">
  <cacheSource type="worksheet">
    <worksheetSource ref="H1:H1048576" sheet="Terre"/>
  </cacheSource>
  <cacheFields count="42">
    <cacheField name="No d'enr." numFmtId="0">
      <sharedItems containsBlank="1" containsMixedTypes="1" containsNumber="1" containsInteger="1" minValue="22309676" maxValue="28520417"/>
    </cacheField>
    <cacheField name="MLS" numFmtId="0">
      <sharedItems containsString="0" containsBlank="1" containsNumber="1" containsInteger="1" minValue="12936685" maxValue="22138106"/>
    </cacheField>
    <cacheField name="Date de l'acte ou de l'avant contrat" numFmtId="0">
      <sharedItems containsNonDate="0" containsDate="1" containsString="0" containsBlank="1" minDate="2016-05-17T00:00:00" maxDate="2023-12-20T00:00:00"/>
    </cacheField>
    <cacheField name="Vendeur" numFmtId="0">
      <sharedItems containsNonDate="0" containsBlank="1"/>
    </cacheField>
    <cacheField name="Acheteur" numFmtId="0">
      <sharedItems containsNonDate="0" containsBlank="1"/>
    </cacheField>
    <cacheField name="Lots" numFmtId="0">
      <sharedItems containsBlank="1" containsMixedTypes="1" containsNumber="1" containsInteger="1" minValue="2814312" maxValue="6599152"/>
    </cacheField>
    <cacheField name="Prix de vente ($)" numFmtId="0">
      <sharedItems containsBlank="1" containsMixedTypes="1" containsNumber="1" minValue="10000" maxValue="10475000"/>
    </cacheField>
    <cacheField name="Prix de vente redressé au temps ($)" numFmtId="0">
      <sharedItems containsNonDate="0" containsString="0" containsBlank="1"/>
    </cacheField>
    <cacheField name="Région administrative" numFmtId="0">
      <sharedItems containsNonDate="0" containsBlank="1" count="8">
        <s v="Chaudière-Appalaches"/>
        <s v="Capitale-Nationale"/>
        <s v="Bas-Saint-Laurent"/>
        <s v="Montérégie"/>
        <s v="Centre-du-Québec"/>
        <m/>
        <s v="Mauricie"/>
        <s v="Capitale Nationale"/>
      </sharedItems>
    </cacheField>
    <cacheField name="MRC" numFmtId="0">
      <sharedItems containsNonDate="0" containsBlank="1" count="18">
        <s v="Bellechasse"/>
        <s v="Charlevoix"/>
        <s v="Charlevoix-Est"/>
        <s v="Kamouraka"/>
        <s v="La Nouvelle Beauce"/>
        <s v="La Vallée-du-Richelieu"/>
        <s v="Les Appalaches"/>
        <s v="L'Ile-d'Orléans"/>
        <s v="Lotbinière"/>
        <s v="Marguerite-D'Youville"/>
        <s v="Nicolet-Yamaska"/>
        <s v="Robert-Cliche"/>
        <m/>
        <s v="Nouvelle Beauce"/>
        <s v="Les Chenaux"/>
        <s v="Portneuf"/>
        <s v="Portneuf "/>
        <s v="Québec"/>
      </sharedItems>
    </cacheField>
    <cacheField name="Ville/Municipalité" numFmtId="0">
      <sharedItems containsNonDate="0" containsBlank="1" count="63">
        <s v="Bellechasse"/>
        <s v="Les Éboulements"/>
        <s v="Baie-Saint-Paul"/>
        <s v="L'Isle-aux-Coudres"/>
        <s v="La Malbaie"/>
        <s v="Saint-Irénée"/>
        <s v="Saint-Siméon"/>
        <s v="Saint-Josephde- Kamouraska"/>
        <s v="Sainte- Anne-de-la-Pocatière"/>
        <s v="Sainte-Hélène-de-Kamouraska"/>
        <s v="St-Alexandre-de-Kamouraska"/>
        <s v="Saint-Pascal"/>
        <s v="Saint-Elzéar"/>
        <s v="Saint-Bernard"/>
        <s v="Saint-Antoine-sur-Richelieu"/>
        <s v="Saint-Denis-de-Richelieu"/>
        <s v="Saint-Julien"/>
        <s v="Saint-François-de-l'île-d'Orléans"/>
        <s v="Saint-Jean-de-l'Ile-d'Orléans"/>
        <s v="Sainte-Famille"/>
        <s v="Sainte-Famille-de-l'Île-d'Orléans"/>
        <s v="Sainte-Croix"/>
        <s v="Saint-Edouard-de-Lotbinière"/>
        <s v="Saint-Edouard-de-Lotbinière, Notre-Dame-du-Sacré-Cœur-d'Issoudun, Laurier-Station"/>
        <s v="Notre-Dame-du-Sacré-Cœur-d'Issoudun"/>
        <s v="Lotbinière"/>
        <s v="Sainte-Julie et Varennes"/>
        <s v="Verchères"/>
        <s v="Verchères et Calixa-Lavallée"/>
        <s v="Varennes"/>
        <s v="Baie-du-Febvre"/>
        <s v="Pierreville"/>
        <s v="Saint-Zéphirin-de-Courval"/>
        <s v="La Visitation-de-Yamaska"/>
        <s v="Saint-Elphège"/>
        <s v="Saint-Odilon-de-Cranbourne"/>
        <s v="Saint-Malachie"/>
        <s v="Honfleur"/>
        <s v="Beaumont"/>
        <s v="Saint-Gervais"/>
        <s v="Saint-Anselme"/>
        <s v="Saint-Charles-de-_x000a_Bellechasse"/>
        <s v="Saint-Charles-de-Bellechasse"/>
        <m/>
        <s v="Sainte-Hénédine"/>
        <s v="Sainte-Marie"/>
        <s v="Saint-Isidore"/>
        <s v="Sainte-Anne de la Pérade"/>
        <s v="Deschambault-Grondines"/>
        <s v="Sainte-Geneviève de Batiscan"/>
        <s v="Saint-Thuribe"/>
        <s v="Saint-Prosper-de-Champlain"/>
        <s v="Batiscan"/>
        <s v="Saint-Apollinaire"/>
        <s v="Berthier-sur-Mer"/>
        <s v="Saint-Vallier"/>
        <s v="Saint-Michel-de-Bellechasse"/>
        <s v="Pont-Rouge"/>
        <s v="Pont-Rouge "/>
        <s v="Saint-Basile"/>
        <s v="Saint Basile"/>
        <s v="Saint-Marc-des-Carrières"/>
        <s v="Saint-Augustin-de-Desmaures"/>
      </sharedItems>
    </cacheField>
    <cacheField name="Adresse complète" numFmtId="0">
      <sharedItems containsNonDate="0" containsBlank="1"/>
    </cacheField>
    <cacheField name="Latitude" numFmtId="0">
      <sharedItems containsBlank="1" containsMixedTypes="1" containsNumber="1" minValue="46.417043" maxValue="46.839722000000002"/>
    </cacheField>
    <cacheField name="Longitude" numFmtId="0">
      <sharedItems containsBlank="1" containsMixedTypes="1" containsNumber="1" minValue="-72.135484000000005" maxValue="-70.788373000000007"/>
    </cacheField>
    <cacheField name="Superficie totale (ha)" numFmtId="0">
      <sharedItems containsBlank="1" containsMixedTypes="1" containsNumber="1" minValue="0.43" maxValue="336.66"/>
    </cacheField>
    <cacheField name="Usage prédominant" numFmtId="0">
      <sharedItems containsNonDate="0" containsBlank="1"/>
    </cacheField>
    <cacheField name="CPTAQ" numFmtId="0">
      <sharedItems containsNonDate="0" containsBlank="1"/>
    </cacheField>
    <cacheField name="Topographie" numFmtId="0">
      <sharedItems containsNonDate="0" containsBlank="1"/>
    </cacheField>
    <cacheField name="Classe de sol dominante" numFmtId="0">
      <sharedItems containsBlank="1" containsMixedTypes="1" containsNumber="1" containsInteger="1" minValue="2" maxValue="7"/>
    </cacheField>
    <cacheField name="Sous-classe dominante" numFmtId="0">
      <sharedItems containsNonDate="0" containsBlank="1"/>
    </cacheField>
    <cacheField name="Superficie cultivée (ha)" numFmtId="0">
      <sharedItems containsString="0" containsBlank="1" containsNumber="1" minValue="0.43" maxValue="283.91000000000003"/>
    </cacheField>
    <cacheField name="Source superficie cultivée" numFmtId="0">
      <sharedItems containsNonDate="0" containsBlank="1"/>
    </cacheField>
    <cacheField name="Superficie drainée (ha)" numFmtId="0">
      <sharedItems containsBlank="1" containsMixedTypes="1" containsNumber="1" minValue="0" maxValue="283.91000000000003"/>
    </cacheField>
    <cacheField name="Source superficie drainée" numFmtId="0">
      <sharedItems containsNonDate="0" containsBlank="1"/>
    </cacheField>
    <cacheField name="Type de culture" numFmtId="0">
      <sharedItems containsNonDate="0" containsBlank="1"/>
    </cacheField>
    <cacheField name="UTM" numFmtId="0">
      <sharedItems containsNonDate="0" containsString="0" containsBlank="1"/>
    </cacheField>
    <cacheField name="Superficie boisée (ha)" numFmtId="0">
      <sharedItems containsBlank="1" containsMixedTypes="1" containsNumber="1" minValue="0" maxValue="114.35"/>
    </cacheField>
    <cacheField name="Superficie autres, friches, fossés (ha)" numFmtId="0">
      <sharedItems containsString="0" containsBlank="1" containsNumber="1" minValue="7.0000000000000007E-2" maxValue="6.08"/>
    </cacheField>
    <cacheField name="Superficie terrain résidentiel (m²)" numFmtId="2">
      <sharedItems containsNonDate="0" containsString="0" containsBlank="1"/>
    </cacheField>
    <cacheField name="Droit acquis" numFmtId="0">
      <sharedItems containsNonDate="0" containsString="0" containsBlank="1"/>
    </cacheField>
    <cacheField name="Maison(s)" numFmtId="0">
      <sharedItems containsNonDate="0" containsString="0" containsBlank="1"/>
    </cacheField>
    <cacheField name="Valeur contributive maison(s) + terrain ($)" numFmtId="0">
      <sharedItems containsNonDate="0" containsString="0" containsBlank="1"/>
    </cacheField>
    <cacheField name="Source valeur constributive maison(s) + terrain ($)" numFmtId="0">
      <sharedItems containsNonDate="0" containsString="0" containsBlank="1"/>
    </cacheField>
    <cacheField name="Bâtiments agricoles" numFmtId="0">
      <sharedItems containsNonDate="0" containsBlank="1"/>
    </cacheField>
    <cacheField name="Valeur contributive bâtiments agricoles ($)" numFmtId="0">
      <sharedItems containsString="0" containsBlank="1" containsNumber="1" containsInteger="1" minValue="5000" maxValue="420000"/>
    </cacheField>
    <cacheField name="Source valeur constributive bâtiments agricoles" numFmtId="0">
      <sharedItems containsNonDate="0" containsBlank="1"/>
    </cacheField>
    <cacheField name="Autres inclusions" numFmtId="0">
      <sharedItems containsNonDate="0" containsBlank="1"/>
    </cacheField>
    <cacheField name="Valeur autres inclusions ($)" numFmtId="0">
      <sharedItems containsString="0" containsBlank="1" containsNumber="1" containsInteger="1" minValue="30000" maxValue="82800"/>
    </cacheField>
    <cacheField name="Observations" numFmtId="0">
      <sharedItems containsNonDate="0" containsBlank="1"/>
    </cacheField>
    <cacheField name="Décisions CPTAQ" numFmtId="0">
      <sharedItems containsBlank="1" containsMixedTypes="1" containsNumber="1" containsInteger="1" minValue="4355" maxValue="429814"/>
    </cacheField>
    <cacheField name="Interne" numFmtId="0">
      <sharedItems containsNonDate="0" containsString="0" containsBlank="1"/>
    </cacheField>
    <cacheField name="Taux unitaire global ($/ha)" numFmtId="0">
      <sharedItems containsBlank="1" containsMixedTypes="1" containsNumber="1" minValue="1245.8471760797343" maxValue="64231.54218119310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3">
  <r>
    <n v="28520417"/>
    <m/>
    <d v="2023-10-31T00:00:00"/>
    <s v="FERME LOASIS S.E.N.C. (Étienne_x000a_Roy et par Caroline Lacasse)"/>
    <s v="FERME L. DION &amp; FILS INC (Luc Dion)"/>
    <s v="3 587 315, 3 587 316, 6 578 062, 6 578 063"/>
    <n v="1562000"/>
    <m/>
    <x v="0"/>
    <x v="0"/>
    <x v="0"/>
    <s v="3e Rang Est_x000a_St-Henri"/>
    <s v="46.659962"/>
    <s v="-70.867117"/>
    <n v="49.69"/>
    <s v="Cultures annuelles"/>
    <s v="oui"/>
    <s v="Légère pente"/>
    <n v="3"/>
    <s v="FT"/>
    <n v="41.2"/>
    <s v="FADQ"/>
    <n v="10.199999999999999"/>
    <s v="infosols"/>
    <m/>
    <m/>
    <n v="5.6"/>
    <m/>
    <m/>
    <m/>
    <m/>
    <m/>
    <m/>
    <s v="Étable, hangar, silos"/>
    <m/>
    <m/>
    <m/>
    <m/>
    <m/>
    <m/>
    <m/>
    <n v="31434.896357415979"/>
  </r>
  <r>
    <n v="25629542"/>
    <n v="22138106"/>
    <d v="2020-07-22T00:00:00"/>
    <s v="Martin LAPOINTE, Manon BOUCHARD"/>
    <s v="Pierre PAQUET"/>
    <n v="5438957"/>
    <n v="300000"/>
    <m/>
    <x v="1"/>
    <x v="1"/>
    <x v="1"/>
    <s v="2490, Route du Fleuve_x000a_Les Éboulements"/>
    <s v="47.479265"/>
    <s v="-70.309319"/>
    <n v="4.6706024767974439"/>
    <s v="Cultures annuelles"/>
    <s v="oui"/>
    <s v="Plane"/>
    <n v="3"/>
    <s v="P"/>
    <n v="4.5706024767974442"/>
    <s v="Mesures Demeter"/>
    <m/>
    <m/>
    <m/>
    <m/>
    <m/>
    <n v="0.1"/>
    <m/>
    <m/>
    <m/>
    <m/>
    <m/>
    <s v="Bâtiment de 2006"/>
    <n v="140000"/>
    <m/>
    <s v="Tracteur et équipements aratoires"/>
    <n v="30000"/>
    <s v="servitude de passage, de conduite d’aqueduc et de tolérance pour le_x000a_passage de fil électrique"/>
    <m/>
    <m/>
    <n v="64231.542181193101"/>
  </r>
  <r>
    <n v="26229695"/>
    <m/>
    <d v="2021-04-21T00:00:00"/>
    <s v="PIERRE DU MOULIN INC (Rudy_x000a_Laixhay)"/>
    <s v="FERME DU GOUFFRE S.E.N.C. (Nicol Simard et Lucie Tremblay)"/>
    <s v="4001203, 4001215"/>
    <n v="135000"/>
    <m/>
    <x v="1"/>
    <x v="1"/>
    <x v="2"/>
    <s v="Chemin Saint-Laurent_x000a_Baie-Saint-Paul"/>
    <s v="47.509150"/>
    <s v="-70.494905"/>
    <n v="32.327954999999996"/>
    <s v="Prairie, maraichage"/>
    <s v="oui"/>
    <s v="Plane"/>
    <n v="3"/>
    <s v="F"/>
    <n v="6.1000000000000005"/>
    <s v="Mesures Demeter"/>
    <m/>
    <m/>
    <m/>
    <m/>
    <n v="25.027954999999995"/>
    <n v="1.2"/>
    <m/>
    <m/>
    <m/>
    <m/>
    <m/>
    <m/>
    <m/>
    <m/>
    <m/>
    <m/>
    <s v="Boisé mixte (dominance feuillus)"/>
    <s v="238282 (autorise enlèvement de sable)"/>
    <m/>
    <n v="4175.9523607354695"/>
  </r>
  <r>
    <n v="27228999"/>
    <n v="15152762"/>
    <d v="2022-04-13T00:00:00"/>
    <s v="Marc-André RACINE, Ménandre RACINE, Diane GAUTHIER"/>
    <s v="JEAN RODRIGUE, RADIOLOGUE INC"/>
    <s v="5 438 770, 5 438 769"/>
    <n v="500000"/>
    <m/>
    <x v="1"/>
    <x v="1"/>
    <x v="1"/>
    <s v="rang Saint-Joseph_x000a_Les Éboulements"/>
    <s v="47.499830"/>
    <s v="-70.365300"/>
    <n v="52.131759400000007"/>
    <s v="Bleuetière"/>
    <s v="Majeure partie"/>
    <s v="Pente"/>
    <n v="4"/>
    <s v="W"/>
    <n v="13.2"/>
    <s v="FADQ"/>
    <m/>
    <m/>
    <m/>
    <m/>
    <n v="38.931759400000004"/>
    <m/>
    <m/>
    <m/>
    <m/>
    <m/>
    <m/>
    <m/>
    <m/>
    <m/>
    <m/>
    <m/>
    <m/>
    <m/>
    <m/>
    <n v="9591.082398803519"/>
  </r>
  <r>
    <n v="28372284"/>
    <m/>
    <d v="2023-11-03T00:00:00"/>
    <s v="Rosanne VEILLEUX"/>
    <s v="Jean GOSSELIN, Sonja CAMPENS"/>
    <n v="5275405"/>
    <n v="145000"/>
    <m/>
    <x v="1"/>
    <x v="1"/>
    <x v="3"/>
    <s v="Chemin de la Baleine_x000a_L'Isle-aux-Coudres"/>
    <s v="47.411653"/>
    <s v="-70.350892"/>
    <n v="6.22"/>
    <s v="Cultures annuelles"/>
    <s v="oui"/>
    <s v="Plane"/>
    <n v="3"/>
    <s v="FT"/>
    <n v="3.2"/>
    <s v="FADQ"/>
    <m/>
    <m/>
    <m/>
    <m/>
    <n v="2.1"/>
    <m/>
    <m/>
    <m/>
    <m/>
    <m/>
    <m/>
    <m/>
    <m/>
    <m/>
    <m/>
    <m/>
    <m/>
    <m/>
    <m/>
    <n v="23311.897106109325"/>
  </r>
  <r>
    <n v="28426843"/>
    <m/>
    <d v="2023-12-04T00:00:00"/>
    <s v="FERME LUCIEN AUDET &amp; FILS INC."/>
    <s v="9502-5979 QUÉBEC INC (David et Samuel TREMBLAY)"/>
    <s v="5 438 648, 5 438 821, 5 438 960, 5 438 961"/>
    <n v="425000"/>
    <m/>
    <x v="1"/>
    <x v="1"/>
    <x v="1"/>
    <s v="Route du Fleuve_x000a_Les Éboulements"/>
    <s v="47.482507"/>
    <s v="-70.304702"/>
    <n v="152.44999999999999"/>
    <s v="Culture fourragères"/>
    <s v="oui"/>
    <s v="Pente"/>
    <n v="3"/>
    <s v="P"/>
    <n v="38.1"/>
    <s v="FADQ"/>
    <m/>
    <m/>
    <m/>
    <m/>
    <n v="114.35"/>
    <m/>
    <m/>
    <m/>
    <m/>
    <m/>
    <m/>
    <m/>
    <m/>
    <m/>
    <m/>
    <m/>
    <m/>
    <m/>
    <m/>
    <n v="2787.7992784519515"/>
  </r>
  <r>
    <n v="22859457"/>
    <m/>
    <d v="2016-11-22T00:00:00"/>
    <s v="Ovide Savard"/>
    <s v="La Ferme des Quatre-Temps Inc (Marguerite Tremblay)"/>
    <n v="5401041"/>
    <n v="323000"/>
    <m/>
    <x v="1"/>
    <x v="2"/>
    <x v="4"/>
    <s v="Boulevard Malcolm-Fraser_x000a_La Malbaie"/>
    <s v="47.797659"/>
    <s v="-69.934839"/>
    <n v="52.455887500000003"/>
    <s v="Prairie"/>
    <s v="oui"/>
    <s v="Légère pente"/>
    <n v="3"/>
    <s v="P"/>
    <n v="12.700000000000001"/>
    <s v="FADQ"/>
    <m/>
    <m/>
    <m/>
    <m/>
    <n v="39.7558875"/>
    <m/>
    <m/>
    <m/>
    <m/>
    <m/>
    <m/>
    <m/>
    <m/>
    <m/>
    <m/>
    <m/>
    <s v="Léger potentiel acéricole"/>
    <m/>
    <m/>
    <n v="6157.5547644675726"/>
  </r>
  <r>
    <n v="23128070"/>
    <m/>
    <d v="2017-02-25T00:00:00"/>
    <s v="FERME MARTEL 1999 INC (Jean-Jacques MARTEL)"/>
    <s v="LES BELLES RÉCOLTES DE CHARLEVOIX INC (Stéphane DUFOUR)"/>
    <s v="5 400 604, 3 560 775, 5 063 796, 5 400 619"/>
    <n v="430000"/>
    <m/>
    <x v="1"/>
    <x v="2"/>
    <x v="4"/>
    <s v="chemin des Loisirs et chemin de la Vallée_x000a_La Malbaie"/>
    <s v="47.688972"/>
    <s v="-70.171369"/>
    <n v="70.099999999999994"/>
    <s v="Cultures annuelles"/>
    <s v="oui"/>
    <s v="Légère pente"/>
    <n v="3"/>
    <s v="FMT"/>
    <n v="57.4"/>
    <s v="FADQ"/>
    <m/>
    <m/>
    <m/>
    <m/>
    <n v="6.6000000000000005"/>
    <n v="6.08"/>
    <m/>
    <m/>
    <m/>
    <m/>
    <m/>
    <m/>
    <m/>
    <m/>
    <m/>
    <m/>
    <s v="2 sites"/>
    <m/>
    <m/>
    <n v="6134.0941512125537"/>
  </r>
  <r>
    <n v="24059816"/>
    <n v="12936685"/>
    <d v="2018-06-22T00:00:00"/>
    <s v="Camille TREMBLAY"/>
    <s v="Denis LAPOINTE"/>
    <n v="5439978"/>
    <n v="60000"/>
    <m/>
    <x v="1"/>
    <x v="2"/>
    <x v="5"/>
    <s v="chemin des Bains_x000a_Saint-Irénée"/>
    <s v="47.533781"/>
    <s v="-70.225115"/>
    <n v="12.928106912921898"/>
    <s v="Prairie"/>
    <s v="oui"/>
    <s v="Relativement plane"/>
    <n v="5"/>
    <s v="PT"/>
    <n v="9.8281069129218981"/>
    <s v="Mesures Demeter"/>
    <m/>
    <m/>
    <m/>
    <m/>
    <n v="3.1"/>
    <m/>
    <m/>
    <m/>
    <m/>
    <m/>
    <m/>
    <m/>
    <m/>
    <m/>
    <m/>
    <m/>
    <m/>
    <m/>
    <m/>
    <n v="4641.0507280094362"/>
  </r>
  <r>
    <n v="27843608"/>
    <m/>
    <d v="2023-02-03T00:00:00"/>
    <s v="Dominique NÉRON"/>
    <s v="FERME EDDY NÉRON &amp; FILS INC (Bernard NÉRON, Cyrille_x000a_NÉRON)"/>
    <s v="6 053 596, 6 054 437"/>
    <n v="67500"/>
    <m/>
    <x v="1"/>
    <x v="2"/>
    <x v="4"/>
    <s v="Rang Saint-Joseph_x000a_La Malbaie"/>
    <s v="47.655274"/>
    <s v="-70.261607"/>
    <n v="36.33"/>
    <m/>
    <m/>
    <m/>
    <m/>
    <m/>
    <m/>
    <m/>
    <m/>
    <m/>
    <m/>
    <m/>
    <m/>
    <m/>
    <m/>
    <m/>
    <m/>
    <m/>
    <m/>
    <m/>
    <m/>
    <m/>
    <m/>
    <m/>
    <s v="Le vendeur n'est pas dans la société de l'acheteur"/>
    <m/>
    <m/>
    <n v="1857.9686209744013"/>
  </r>
  <r>
    <n v="28350729"/>
    <m/>
    <d v="2023-09-05T00:00:00"/>
    <s v=" Pierre HARVEY"/>
    <s v="Yves LALIBERTÉ"/>
    <n v="5728313"/>
    <n v="50000"/>
    <m/>
    <x v="1"/>
    <x v="2"/>
    <x v="6"/>
    <s v="Route 138_x000a_Saint-Siméon"/>
    <s v="47.808366"/>
    <s v="-69.932504"/>
    <n v="16.13"/>
    <s v="Culture fourragères"/>
    <s v="Partiel"/>
    <s v="Légère pente"/>
    <n v="4"/>
    <s v="FM"/>
    <n v="7.1000000000000005"/>
    <s v="Demeter"/>
    <m/>
    <m/>
    <m/>
    <m/>
    <n v="7.8"/>
    <m/>
    <m/>
    <m/>
    <m/>
    <m/>
    <m/>
    <m/>
    <m/>
    <m/>
    <m/>
    <m/>
    <m/>
    <m/>
    <m/>
    <n v="3099.8140111593307"/>
  </r>
  <r>
    <n v="27123066"/>
    <m/>
    <d v="2020-10-12T00:00:00"/>
    <s v="Laval RICHARD, Margaret POULIN"/>
    <s v="FERME PIAL INC (Mathieu CHÉNARD)"/>
    <s v="6 422 974, 5 170 539"/>
    <n v="200000"/>
    <m/>
    <x v="2"/>
    <x v="3"/>
    <x v="7"/>
    <s v="4e Rang Est_x000a_St-Joseph-de-Kamouraska"/>
    <s v="47.627697"/>
    <s v="-69.640950"/>
    <n v="29.646650000000001"/>
    <s v="Cultures annuelles"/>
    <s v="oui"/>
    <s v="Relativement plane"/>
    <n v="4"/>
    <s v="FM"/>
    <n v="16.599999999999998"/>
    <s v="FADQ"/>
    <m/>
    <m/>
    <m/>
    <m/>
    <n v="13.046650000000003"/>
    <m/>
    <m/>
    <m/>
    <m/>
    <m/>
    <m/>
    <m/>
    <m/>
    <m/>
    <m/>
    <m/>
    <m/>
    <m/>
    <m/>
    <n v="6746.1247729507377"/>
  </r>
  <r>
    <n v="27009141"/>
    <m/>
    <d v="2021-09-23T00:00:00"/>
    <s v="Jean-François PELLETIER"/>
    <s v="FERME POCATOISE LTÉE (Charles-Étienne PELLETIER)"/>
    <n v="6487110"/>
    <n v="250000"/>
    <m/>
    <x v="2"/>
    <x v="3"/>
    <x v="8"/>
    <s v="chemin de la Montagne-Thiboutot_x000a_Sainte- Anne-de-la-Pocatière"/>
    <s v="47.362847"/>
    <s v="-69.967281"/>
    <n v="30.41"/>
    <s v="Cultures annuelles"/>
    <s v="oui"/>
    <s v="Plane"/>
    <n v="3"/>
    <s v="WD"/>
    <n v="28.51"/>
    <s v="Mesures Demeter"/>
    <m/>
    <m/>
    <m/>
    <m/>
    <n v="1.9"/>
    <m/>
    <m/>
    <m/>
    <m/>
    <m/>
    <m/>
    <m/>
    <m/>
    <m/>
    <m/>
    <m/>
    <s v="Le vendeur n'est pas dans la société de l'acheteur"/>
    <m/>
    <m/>
    <n v="8220.9799408089439"/>
  </r>
  <r>
    <n v="26968639"/>
    <m/>
    <d v="2022-01-20T00:00:00"/>
    <s v="Hélène LANDRY, Christian LANDRY"/>
    <s v="FERME HIRONDELLE SAINTE-HÉLÈNE INC (Vital_x000a_MORIN)"/>
    <n v="5171450"/>
    <n v="30000"/>
    <m/>
    <x v="2"/>
    <x v="3"/>
    <x v="9"/>
    <s v="Sainte-Hélène-de-Kamouraska"/>
    <s v="47.591417"/>
    <s v="-69.737855"/>
    <n v="4.78"/>
    <s v="Cultures annuelles"/>
    <s v="oui"/>
    <s v="Plane"/>
    <n v="4"/>
    <s v="W"/>
    <n v="4.5"/>
    <s v="FADQ"/>
    <m/>
    <m/>
    <m/>
    <m/>
    <m/>
    <n v="0.28000000000000003"/>
    <m/>
    <m/>
    <m/>
    <m/>
    <m/>
    <s v="Hangar (120 m2)"/>
    <m/>
    <m/>
    <m/>
    <m/>
    <s v="Forme optimale"/>
    <m/>
    <m/>
    <n v="6276.1506276150621"/>
  </r>
  <r>
    <n v="27047807"/>
    <m/>
    <d v="2022-02-25T00:00:00"/>
    <s v="FERME ROCAL INC (Robin_x000a_LAPOINTE)"/>
    <s v="FERME SOFIA INC. (Tasie FORTIN)"/>
    <s v="5 170 580,4 948 416, 4 948 443, 4 948 558"/>
    <n v="300000"/>
    <m/>
    <x v="2"/>
    <x v="3"/>
    <x v="10"/>
    <s v="Rang Saint-Gérard_x000a_St-Alexandre-de-Kamouraska"/>
    <s v="47.648249"/>
    <s v="-69.601142"/>
    <n v="67.781069799999997"/>
    <s v="Cultures annuelles"/>
    <s v="oui"/>
    <s v="Plane"/>
    <n v="4"/>
    <s v="W"/>
    <n v="44.5"/>
    <s v="FADQ"/>
    <m/>
    <m/>
    <m/>
    <m/>
    <n v="23.28"/>
    <m/>
    <m/>
    <m/>
    <m/>
    <m/>
    <m/>
    <m/>
    <m/>
    <m/>
    <m/>
    <m/>
    <s v="2 lots"/>
    <m/>
    <m/>
    <n v="4426.0145330429705"/>
  </r>
  <r>
    <n v="27077625"/>
    <m/>
    <d v="2022-03-10T00:00:00"/>
    <s v="PAUL LAVOIE ET FILS INC"/>
    <s v="FERME SAMERAY INC (Samuel_x000a_BOUCHARD)"/>
    <s v="5 727 136, 5 727 572, 5 727 573, 3 655 563, 3 655 564"/>
    <n v="102500"/>
    <m/>
    <x v="2"/>
    <x v="3"/>
    <x v="11"/>
    <s v="4e Rang Ouest_x000a_Saint-Pascal"/>
    <s v="47.487273"/>
    <s v="-69.786212"/>
    <n v="28.8"/>
    <s v="Cultures annuelles"/>
    <s v="oui"/>
    <s v="Plane"/>
    <n v="4"/>
    <s v="FM"/>
    <n v="20.6"/>
    <s v="FADQ"/>
    <m/>
    <m/>
    <m/>
    <m/>
    <n v="4.32"/>
    <n v="3.88"/>
    <m/>
    <m/>
    <m/>
    <m/>
    <m/>
    <m/>
    <m/>
    <m/>
    <m/>
    <m/>
    <s v="Pour partie en classe 7"/>
    <m/>
    <m/>
    <n v="3559.0277777777778"/>
  </r>
  <r>
    <n v="27891524"/>
    <m/>
    <d v="2023-03-08T00:00:00"/>
    <s v="FERME THÉRIAN ENR (Paul THÉRIAULT)"/>
    <s v="FERME JACQUES OUELLET INC"/>
    <n v="5169914"/>
    <n v="27500"/>
    <m/>
    <x v="2"/>
    <x v="3"/>
    <x v="9"/>
    <s v="6e Rang _x000a_St-Hélène-de-Kamouraska"/>
    <s v="47.562334"/>
    <s v="-69.666089"/>
    <n v="6.99"/>
    <s v="Cultures annuelles"/>
    <s v="oui"/>
    <s v="Plane"/>
    <n v="7"/>
    <s v="PFMW"/>
    <n v="4.7"/>
    <s v="FADQ"/>
    <m/>
    <m/>
    <m/>
    <m/>
    <n v="2.29"/>
    <m/>
    <m/>
    <m/>
    <m/>
    <m/>
    <m/>
    <m/>
    <m/>
    <m/>
    <m/>
    <m/>
    <s v="Environ 33% en classe 4. Forme optimale"/>
    <m/>
    <m/>
    <n v="3934.1917024320455"/>
  </r>
  <r>
    <n v="26252826"/>
    <m/>
    <d v="2021-03-10T00:00:00"/>
    <s v="Francine GOULET"/>
    <s v="FERME PROLIFIC INC (Donald CY, et Marie-Pier PERREAULT)"/>
    <n v="3581441"/>
    <n v="271920"/>
    <m/>
    <x v="0"/>
    <x v="4"/>
    <x v="12"/>
    <s v="rang du Bas-Sainte-Anne_x000a_Saint-Elzéar"/>
    <s v="46.414588"/>
    <s v="-71.147432"/>
    <n v="20.420000000000002"/>
    <s v="Cultures annuelles"/>
    <s v="oui"/>
    <s v="Plane"/>
    <n v="3"/>
    <s v="PT"/>
    <n v="20"/>
    <s v="FADQ"/>
    <m/>
    <m/>
    <s v="Maïs"/>
    <m/>
    <m/>
    <m/>
    <m/>
    <m/>
    <m/>
    <m/>
    <m/>
    <m/>
    <m/>
    <m/>
    <m/>
    <m/>
    <m/>
    <m/>
    <m/>
    <n v="13316.35651322233"/>
  </r>
  <r>
    <n v="26550934"/>
    <m/>
    <d v="2021-03-17T00:00:00"/>
    <s v="FERME DUVERGER S.E.N.C. (Marie-Ève_x000a_GODBOUT et Alain GAGNÉ)"/>
    <s v="SOCIÉTÉ DA-MY S.E.N.C. (Myriane GARON et David CYR)"/>
    <n v="3581512"/>
    <n v="225000"/>
    <m/>
    <x v="0"/>
    <x v="4"/>
    <x v="12"/>
    <s v="Saint-Elzéar"/>
    <s v="46.407981"/>
    <s v="-71.111959"/>
    <n v="13.21"/>
    <s v="Cultures annuelles"/>
    <s v="oui"/>
    <s v="Plane"/>
    <n v="4"/>
    <s v="PT"/>
    <n v="11.6"/>
    <s v="FADQ"/>
    <n v="11.6"/>
    <s v="infosols"/>
    <m/>
    <m/>
    <n v="0.5"/>
    <m/>
    <m/>
    <m/>
    <m/>
    <m/>
    <m/>
    <m/>
    <m/>
    <m/>
    <m/>
    <m/>
    <m/>
    <m/>
    <m/>
    <n v="17032.551097653293"/>
  </r>
  <r>
    <n v="27174405"/>
    <m/>
    <d v="2022-04-21T00:00:00"/>
    <s v="FERME PORCITÉ INC (Gaétan CYR)"/>
    <s v="LE VERGER À TI-PAUL INC (Daniel TURMEL et Josiane SIMARD)"/>
    <s v="3 581 572, 3 975 286, 6 443 054"/>
    <n v="450000"/>
    <m/>
    <x v="0"/>
    <x v="4"/>
    <x v="12"/>
    <s v="rang du Bas-Saint-Olivier_x000a_Saint-Elzéar"/>
    <s v="46.401108"/>
    <s v="-71.096703"/>
    <n v="49.04"/>
    <s v="Cultures annuelles"/>
    <s v="oui"/>
    <s v="Plane"/>
    <n v="4"/>
    <s v="PT"/>
    <n v="24.3"/>
    <s v="FADQ"/>
    <m/>
    <m/>
    <s v="Soya"/>
    <m/>
    <n v="24.74"/>
    <m/>
    <m/>
    <m/>
    <m/>
    <m/>
    <m/>
    <m/>
    <m/>
    <m/>
    <m/>
    <m/>
    <m/>
    <n v="106748"/>
    <m/>
    <n v="9176.1827079934756"/>
  </r>
  <r>
    <n v="27997908"/>
    <m/>
    <d v="2023-05-04T00:00:00"/>
    <s v="FERME DUVERGER S.E.N.C., Alain GAGNÉ, Marie-Ève GODBOUT"/>
    <s v="LES PRODUITS ADS INC (Steven Cyr)"/>
    <s v="3 581 488, 2 719 527"/>
    <n v="424000"/>
    <m/>
    <x v="0"/>
    <x v="4"/>
    <x v="13"/>
    <s v="rang du Bas-Saint-Olivier_x000a_Saint-Bernard"/>
    <s v="46.440205"/>
    <s v="-71.124979"/>
    <n v="64.16"/>
    <s v="Cultures annuelles"/>
    <s v="oui"/>
    <s v="Plane"/>
    <n v="4"/>
    <s v="PW"/>
    <n v="19.700000000000006"/>
    <s v="FADQ"/>
    <m/>
    <m/>
    <m/>
    <m/>
    <n v="6.4"/>
    <m/>
    <m/>
    <m/>
    <m/>
    <m/>
    <m/>
    <m/>
    <m/>
    <m/>
    <m/>
    <m/>
    <s v="Servitude de passage, auytorisation CPTAQ pour sablière-gravière"/>
    <s v="439601, 246967, 326313, 246967"/>
    <m/>
    <n v="6608.4788029925194"/>
  </r>
  <r>
    <n v="28162416"/>
    <m/>
    <d v="2022-10-22T00:00:00"/>
    <s v="Paul PHANEUF"/>
    <s v="FERME LAMONTAGNE INC"/>
    <s v="6 517 815 et 4 833 148"/>
    <n v="1321875"/>
    <m/>
    <x v="3"/>
    <x v="5"/>
    <x v="14"/>
    <s v="rang de l'Acadie_x000a_aint-Antoine-sur-Richelieu"/>
    <s v="45.766149"/>
    <s v="-73.231333"/>
    <n v="39.35"/>
    <s v="Cultures annuelles"/>
    <s v="oui"/>
    <s v="Plane"/>
    <s v="2 et 4"/>
    <s v="W"/>
    <n v="31.900000000000002"/>
    <s v="FADQ"/>
    <n v="31.900000000000002"/>
    <s v="infosols"/>
    <m/>
    <m/>
    <n v="5"/>
    <m/>
    <m/>
    <m/>
    <m/>
    <m/>
    <m/>
    <s v="2 hangars"/>
    <n v="5000"/>
    <s v="Acte"/>
    <m/>
    <m/>
    <s v="Potentiel acéricole partiel"/>
    <m/>
    <m/>
    <n v="33592.757306226173"/>
  </r>
  <r>
    <n v="27893118"/>
    <m/>
    <d v="2023-03-08T00:00:00"/>
    <s v="Fernand, Brigitte, Fabienne, André, Patrick, Ginette et Céline Mathieu"/>
    <s v="FERME D.M.S. INC (Stéphane MARC-AURÈLE)"/>
    <n v="5442874"/>
    <n v="900000"/>
    <m/>
    <x v="3"/>
    <x v="5"/>
    <x v="15"/>
    <s v="5e rang_x000a_Saint-Denis-de-Richelieu"/>
    <s v="45.726196"/>
    <s v="-73.084067"/>
    <n v="20.96"/>
    <s v="Cultures annuelles"/>
    <s v="oui"/>
    <s v="Plane"/>
    <n v="4"/>
    <s v="W"/>
    <n v="20.96"/>
    <m/>
    <m/>
    <m/>
    <m/>
    <m/>
    <m/>
    <m/>
    <m/>
    <m/>
    <m/>
    <m/>
    <m/>
    <m/>
    <m/>
    <m/>
    <m/>
    <m/>
    <s v="Lot entouré de terres boisées"/>
    <m/>
    <m/>
    <n v="42938.931297709925"/>
  </r>
  <r>
    <n v="28071856"/>
    <m/>
    <d v="2023-03-16T00:00:00"/>
    <s v="Robert MALO"/>
    <s v="FERME VIAGRICO INC (Bruno VIENS)"/>
    <n v="4833158"/>
    <n v="1475000"/>
    <m/>
    <x v="3"/>
    <x v="5"/>
    <x v="14"/>
    <s v="chemin du Rivage_x000a_aint-Antoine-sur-Richelieu"/>
    <s v="45.740795"/>
    <s v="-73.207618"/>
    <n v="52.39"/>
    <s v="Cultures annuelles"/>
    <s v="oui"/>
    <s v="Plane"/>
    <n v="2"/>
    <s v="W"/>
    <n v="24.799999999999997"/>
    <s v="FADQ"/>
    <n v="24.799999999999997"/>
    <s v="infosols"/>
    <m/>
    <m/>
    <n v="23.9"/>
    <m/>
    <m/>
    <m/>
    <m/>
    <m/>
    <m/>
    <s v="Vieille grange et cabane à sucre"/>
    <n v="23200"/>
    <s v="Rôle municipal"/>
    <m/>
    <m/>
    <s v="Potentiel acéricole partiel, petite érablière"/>
    <m/>
    <m/>
    <n v="28154.227906088949"/>
  </r>
  <r>
    <n v="25326259"/>
    <m/>
    <d v="2019-09-16T00:00:00"/>
    <s v="FERME PROMAS INC (Martine Massé)"/>
    <s v="FERME MICHDALE (Michael Leduc)"/>
    <s v="5 691 498, 5 691 427, 5 691 439"/>
    <n v="621500"/>
    <m/>
    <x v="0"/>
    <x v="6"/>
    <x v="16"/>
    <s v="2e Rang Ouest_x000a_Saint-Julien"/>
    <s v="46.046685"/>
    <s v="-71.567924"/>
    <n v="78.77"/>
    <s v="Prairie, bois"/>
    <s v="oui"/>
    <s v="Plane"/>
    <n v="7"/>
    <s v="PT"/>
    <n v="45.069999999999993"/>
    <s v="Mesures Demeter"/>
    <n v="0"/>
    <m/>
    <s v="Prairie"/>
    <m/>
    <n v="33.700000000000003"/>
    <n v="1.2"/>
    <m/>
    <m/>
    <m/>
    <m/>
    <m/>
    <s v="3 hangars, fosse"/>
    <n v="138700"/>
    <s v="Acte"/>
    <s v="Équipements, matériel"/>
    <n v="82800"/>
    <s v="Droit de passage personnel"/>
    <s v="1889300, 189303"/>
    <m/>
    <n v="7890.0596673860609"/>
  </r>
  <r>
    <n v="27564495"/>
    <m/>
    <d v="2021-06-26T00:00:00"/>
    <s v="Jean-Luc GOSSELIN"/>
    <s v="FERME FX ORLÉANS INC (Philippe_x000a_BEAULIEU)"/>
    <s v="6 282 076, 6 282 233"/>
    <n v="725000"/>
    <m/>
    <x v="1"/>
    <x v="7"/>
    <x v="17"/>
    <s v="chemin Royal_x000a_Saint-François-de-l'île-d'Orléans"/>
    <s v="46.978109"/>
    <s v="-70.848473"/>
    <n v="49.62"/>
    <s v="Cultures annuelles"/>
    <s v="oui"/>
    <s v="Légère pente"/>
    <n v="3"/>
    <s v="F"/>
    <n v="19.5"/>
    <s v="FADQ"/>
    <m/>
    <m/>
    <m/>
    <m/>
    <n v="25.6"/>
    <m/>
    <m/>
    <m/>
    <m/>
    <m/>
    <m/>
    <m/>
    <m/>
    <m/>
    <m/>
    <m/>
    <s v="Boisé en majeure partie avec potentiel acéricole"/>
    <m/>
    <m/>
    <n v="14611.043933897623"/>
  </r>
  <r>
    <n v="27604910"/>
    <m/>
    <d v="2021-11-04T00:00:00"/>
    <s v="Vincent BLOUIN"/>
    <s v="GESTION BEAU LIEU INC (Philippe BEAULIEU)"/>
    <s v="6 282 003, 6 282 024"/>
    <n v="675000"/>
    <m/>
    <x v="1"/>
    <x v="7"/>
    <x v="18"/>
    <s v="4392, chemin Royal_x000a_Saint-Jean-de-l'Ile-d'Orléans"/>
    <s v="46.952156"/>
    <s v="-70.906884"/>
    <n v="32.49"/>
    <s v="Cultures annuelles"/>
    <s v="oui"/>
    <s v="Plane"/>
    <n v="3"/>
    <s v="F"/>
    <n v="22.5"/>
    <s v="FADQ"/>
    <n v="22.5"/>
    <s v="infosols"/>
    <m/>
    <m/>
    <n v="9.8999999999999986"/>
    <m/>
    <m/>
    <m/>
    <m/>
    <m/>
    <m/>
    <m/>
    <m/>
    <m/>
    <m/>
    <m/>
    <s v="Boisé au potentiel acéricole"/>
    <m/>
    <m/>
    <n v="20775.623268698058"/>
  </r>
  <r>
    <n v="27024365"/>
    <m/>
    <d v="2022-02-16T00:00:00"/>
    <s v="Laurent PAQUET"/>
    <s v="FERME ANDRÉ BLOUIN S.E.N.C."/>
    <n v="6468296"/>
    <n v="90000"/>
    <m/>
    <x v="1"/>
    <x v="7"/>
    <x v="19"/>
    <s v="Sainte-Famille"/>
    <s v="46.965000"/>
    <s v="-70.961408"/>
    <n v="2.56"/>
    <s v="Verger"/>
    <s v="oui"/>
    <s v="Plane"/>
    <n v="3"/>
    <s v="FT"/>
    <n v="2.56"/>
    <m/>
    <m/>
    <m/>
    <m/>
    <m/>
    <m/>
    <m/>
    <m/>
    <m/>
    <m/>
    <m/>
    <m/>
    <s v="2 bâtiments"/>
    <m/>
    <m/>
    <m/>
    <m/>
    <m/>
    <s v="Autorisation #427894 (aliénation, lotissement)"/>
    <m/>
    <n v="35156.25"/>
  </r>
  <r>
    <n v="27028020"/>
    <m/>
    <d v="2022-02-17T00:00:00"/>
    <s v="Claude GOSSELIN"/>
    <s v="FERME ROBERGE ET GOSSELIN INC (David Gosselin)"/>
    <s v="6282059, 6282040, 6282036, 6282202"/>
    <n v="570000"/>
    <m/>
    <x v="1"/>
    <x v="7"/>
    <x v="18"/>
    <s v="chemin Royal_x000a_Saint-Jean-de-l'Ile-d'Orléans"/>
    <s v="46.964552"/>
    <s v="-70.882959"/>
    <n v="53.08"/>
    <s v="Cultures annuelles"/>
    <s v="oui"/>
    <s v="Plane"/>
    <n v="2"/>
    <s v="F"/>
    <n v="28.599999999999998"/>
    <s v="FADQ"/>
    <n v="13.600000000000001"/>
    <s v="infosols"/>
    <m/>
    <m/>
    <n v="20.200000000000003"/>
    <m/>
    <m/>
    <m/>
    <m/>
    <m/>
    <m/>
    <m/>
    <m/>
    <m/>
    <m/>
    <m/>
    <s v="10% du boisé au potentiel acéricole"/>
    <m/>
    <m/>
    <n v="10738.507912584779"/>
  </r>
  <r>
    <n v="27772801"/>
    <m/>
    <d v="2022-09-22T00:00:00"/>
    <s v="Guy LEMELIN"/>
    <s v="FERME FX ORLÉANS INC (Philippe_x000a_BEAULIEU)"/>
    <n v="6282258"/>
    <n v="350000"/>
    <m/>
    <x v="1"/>
    <x v="7"/>
    <x v="17"/>
    <s v="chemin Royal_x000a_Saint-François-de-l'île-d'Orléans"/>
    <s v="47.005562"/>
    <s v="-70.819488"/>
    <n v="9.7100000000000009"/>
    <s v="Cultures annuelles"/>
    <s v="oui"/>
    <s v="Plane"/>
    <n v="3"/>
    <s v="F"/>
    <n v="7.8"/>
    <s v="FADQ"/>
    <m/>
    <m/>
    <m/>
    <m/>
    <n v="1.2"/>
    <m/>
    <m/>
    <m/>
    <m/>
    <m/>
    <m/>
    <m/>
    <m/>
    <m/>
    <m/>
    <m/>
    <s v="Cultures maraîchères, Boisé au potentiel acéricole"/>
    <m/>
    <m/>
    <n v="36045.314109165804"/>
  </r>
  <r>
    <n v="28187428"/>
    <m/>
    <d v="2023-05-23T00:00:00"/>
    <s v="BERGERIE SAUTE-MOUTON S.E.N.C. (Karine BÉLANGER, Éric LACHANCE)"/>
    <s v="GESTION WISA INC (Louis-Philippe CÔTÉ)"/>
    <s v="6 186 798, 6 186 827"/>
    <n v="705000"/>
    <m/>
    <x v="1"/>
    <x v="7"/>
    <x v="20"/>
    <s v="chemin royal_x000a_Sainte-Famille-de-l'Île-d'Orléans"/>
    <s v="46.958582"/>
    <s v="-70.967528"/>
    <n v="55.11"/>
    <s v="Cultures annuelles"/>
    <s v="oui"/>
    <s v="Légère pente"/>
    <n v="3"/>
    <s v="F"/>
    <n v="28.099999999999998"/>
    <s v="FADQ"/>
    <m/>
    <m/>
    <m/>
    <m/>
    <n v="24.4"/>
    <m/>
    <m/>
    <m/>
    <m/>
    <m/>
    <m/>
    <m/>
    <m/>
    <m/>
    <m/>
    <m/>
    <s v="Boisé au potentiel acéricole"/>
    <m/>
    <m/>
    <n v="12792.596624931954"/>
  </r>
  <r>
    <n v="28353374"/>
    <m/>
    <d v="2023-10-25T00:00:00"/>
    <s v="Denis et Gaetan LEPAGE"/>
    <s v="9207-1356 QUÉBEC INC (Philippe BEAULIEU)"/>
    <n v="6572162"/>
    <n v="230000"/>
    <m/>
    <x v="1"/>
    <x v="7"/>
    <x v="18"/>
    <s v="chemin Royal_x000a_Saint-Jean-de-l'Ile-d'Orléans"/>
    <s v="46.976191"/>
    <s v="-70.860518"/>
    <n v="10.130000000000001"/>
    <s v="Cultures annuelles"/>
    <s v="oui"/>
    <s v="Plane"/>
    <n v="3"/>
    <s v="F"/>
    <n v="6.1"/>
    <s v="Mesures Demeter"/>
    <m/>
    <m/>
    <m/>
    <m/>
    <n v="3.8"/>
    <m/>
    <m/>
    <m/>
    <m/>
    <m/>
    <m/>
    <m/>
    <m/>
    <m/>
    <m/>
    <m/>
    <s v="Boisé au potentiel acéricole"/>
    <m/>
    <m/>
    <n v="22704.837117472853"/>
  </r>
  <r>
    <n v="27096308"/>
    <m/>
    <d v="2021-12-10T00:00:00"/>
    <s v="François BÉLANGER"/>
    <s v="9085-9513 QUÉBEC INC (Étienne ROY)"/>
    <n v="3590851"/>
    <n v="1000000"/>
    <m/>
    <x v="0"/>
    <x v="8"/>
    <x v="21"/>
    <s v="rang du Petit-Village_x000a_Baie-du-Febvre"/>
    <s v="46.617319"/>
    <s v="-71.760982"/>
    <n v="40.93"/>
    <s v="Cultures annuelles"/>
    <s v="oui"/>
    <s v="Plane"/>
    <n v="2"/>
    <s v="F"/>
    <n v="40.1"/>
    <s v="FADQ"/>
    <m/>
    <m/>
    <m/>
    <m/>
    <m/>
    <m/>
    <m/>
    <m/>
    <m/>
    <m/>
    <m/>
    <m/>
    <m/>
    <m/>
    <m/>
    <m/>
    <m/>
    <m/>
    <m/>
    <n v="24431.956999755679"/>
  </r>
  <r>
    <n v="27260531"/>
    <m/>
    <d v="2022-02-11T00:00:00"/>
    <s v="FERME M. et M. DESROCHERS INC."/>
    <s v="FERME MABANCY INC."/>
    <n v="3590810"/>
    <n v="100000"/>
    <m/>
    <x v="0"/>
    <x v="8"/>
    <x v="21"/>
    <s v="2ème Rang Ouest_x000a_Sainte-Croix"/>
    <s v="46.608752"/>
    <s v="-71.730823, "/>
    <n v="7.55"/>
    <s v="Cultures annuelles"/>
    <s v="oui"/>
    <s v="Plane"/>
    <n v="3"/>
    <s v="DW"/>
    <n v="7.3"/>
    <s v="FADQ"/>
    <n v="0"/>
    <s v="infosols"/>
    <s v="Soya"/>
    <m/>
    <m/>
    <m/>
    <m/>
    <m/>
    <m/>
    <m/>
    <m/>
    <m/>
    <m/>
    <m/>
    <m/>
    <m/>
    <m/>
    <m/>
    <m/>
    <n v="13245.033112582782"/>
  </r>
  <r>
    <n v="27692703"/>
    <m/>
    <d v="2022-11-15T00:00:00"/>
    <s v="Suzanne ABBOTT"/>
    <s v="Ferme du Mûrier inc"/>
    <s v="6525739, 6525740"/>
    <n v="500000"/>
    <m/>
    <x v="0"/>
    <x v="8"/>
    <x v="22"/>
    <s v="Route Principale_x000a_Saint-Edouard-de-Lotbinière"/>
    <s v="46.557243"/>
    <s v="-71.839545"/>
    <n v="29.099999999999998"/>
    <s v="Cultures annuelles"/>
    <s v="oui"/>
    <s v="Plane"/>
    <n v="2"/>
    <s v="W"/>
    <n v="20.100000000000001"/>
    <s v="FADQ"/>
    <m/>
    <m/>
    <m/>
    <m/>
    <n v="7.72"/>
    <m/>
    <m/>
    <m/>
    <m/>
    <m/>
    <m/>
    <s v="1 hangar (dôme)"/>
    <m/>
    <m/>
    <m/>
    <m/>
    <s v="Potentiel acéricole (4 ha)"/>
    <m/>
    <m/>
    <n v="17182.13058419244"/>
  </r>
  <r>
    <n v="27889803"/>
    <m/>
    <d v="2022-12-22T00:00:00"/>
    <s v="FORFAITS MARCO INC."/>
    <s v="Thomas MERKL"/>
    <s v="5 878 230, 5 878 227, 5 992 408, 3 949 781, 6 187 169, "/>
    <n v="10475000"/>
    <m/>
    <x v="0"/>
    <x v="8"/>
    <x v="23"/>
    <m/>
    <s v="46.546365"/>
    <s v="-71.656917"/>
    <n v="336.66"/>
    <s v="Cultures annuelles"/>
    <s v="oui"/>
    <s v="Plane"/>
    <n v="4"/>
    <s v="FW"/>
    <n v="283.91000000000003"/>
    <s v="FADQ"/>
    <n v="283.91000000000003"/>
    <s v="infosols"/>
    <s v="Maïs / Soya / Foin"/>
    <m/>
    <n v="41.81"/>
    <m/>
    <m/>
    <m/>
    <m/>
    <m/>
    <m/>
    <s v="2 bâtiments agricoles + fosse lisier"/>
    <m/>
    <m/>
    <m/>
    <m/>
    <s v="12 ha potentiel acéricole ; servitudes de passage grevant lots 5 878 230, 5 878 227 et 6 187 169, lot 5 878 230 vendu 1 800 000 $ , autres lots vendus 8 675 000 $."/>
    <m/>
    <m/>
    <n v="31114.477514406222"/>
  </r>
  <r>
    <n v="27835890"/>
    <m/>
    <d v="2023-01-30T00:00:00"/>
    <s v="Berchmans DANCAUSE"/>
    <s v="FERME DU VACHER S.E.N.C"/>
    <s v="3 590 880, 3 590 881"/>
    <n v="300000"/>
    <m/>
    <x v="0"/>
    <x v="8"/>
    <x v="21"/>
    <s v="Chemin du Petit Village_x000a_Sainte-Croix"/>
    <s v="46.611471"/>
    <s v="-71.795822, "/>
    <n v="30.87"/>
    <s v="Prairie"/>
    <s v="oui"/>
    <s v="Plane"/>
    <n v="2"/>
    <s v="F"/>
    <n v="28.9"/>
    <s v="FADQ"/>
    <n v="0"/>
    <s v="infosols"/>
    <s v="Foin"/>
    <m/>
    <m/>
    <m/>
    <m/>
    <m/>
    <m/>
    <m/>
    <m/>
    <m/>
    <m/>
    <m/>
    <m/>
    <m/>
    <s v="Servitude de passage"/>
    <m/>
    <m/>
    <n v="9718.1729834791058"/>
  </r>
  <r>
    <n v="27846461"/>
    <m/>
    <d v="2023-02-08T00:00:00"/>
    <s v="FERME ANDI S.E.N.C."/>
    <s v="FERME AUDIBEL S.E.N.C"/>
    <s v="6 357 680, 3 590 509"/>
    <n v="700000"/>
    <m/>
    <x v="0"/>
    <x v="8"/>
    <x v="24"/>
    <s v="Rang du Bois-Franc Ouest_x000a_Notre-Dame-du-Sacré-Cœur-d'Issoudun"/>
    <n v="46.570796999999999"/>
    <n v="-71.642912999999993"/>
    <n v="39.409999999999997"/>
    <s v="Cultures annuelles"/>
    <s v="oui"/>
    <s v="Plane"/>
    <n v="4"/>
    <s v="F"/>
    <n v="31"/>
    <s v="FADQ"/>
    <n v="18.73"/>
    <s v="infosols"/>
    <s v="Foin / Soya"/>
    <m/>
    <n v="8.41"/>
    <m/>
    <m/>
    <m/>
    <m/>
    <m/>
    <m/>
    <s v="Grande / Cabane à sucre / Remise"/>
    <n v="20000"/>
    <s v="Acte"/>
    <m/>
    <m/>
    <s v="Boisé au potentiel acéricole sur 50 % surface"/>
    <m/>
    <m/>
    <n v="17761.989342806395"/>
  </r>
  <r>
    <n v="27915114"/>
    <m/>
    <d v="2023-03-21T00:00:00"/>
    <s v="FERME DEMERS &amp; ASS. INC (Mathieu DEMERS)"/>
    <s v="FERME DENICHEL S.E.N.C. (Michel GUIMOND, Denise LEMAY, Maxime GUIMOND et Victor GUIMOND)"/>
    <s v="5878141, 5 878 146"/>
    <n v="667041"/>
    <m/>
    <x v="0"/>
    <x v="8"/>
    <x v="25"/>
    <s v="route Marie-Victorin_x000a_Lotbinière"/>
    <s v="46.576745"/>
    <s v="-71.986302"/>
    <n v="22.080000000000002"/>
    <s v="Cultures annuelles"/>
    <s v="oui"/>
    <s v="Légère pente"/>
    <n v="2"/>
    <s v="W"/>
    <n v="17.600000000000001"/>
    <s v="FADQ"/>
    <m/>
    <m/>
    <m/>
    <m/>
    <n v="2"/>
    <m/>
    <m/>
    <m/>
    <m/>
    <m/>
    <m/>
    <m/>
    <m/>
    <m/>
    <m/>
    <m/>
    <s v="Ligne Hydro-Qébec"/>
    <m/>
    <m/>
    <n v="30210.1902173913"/>
  </r>
  <r>
    <n v="27993176"/>
    <m/>
    <d v="2023-05-03T00:00:00"/>
    <s v="Jean-Pierre LALIBERTÉ"/>
    <s v="FERME MARIERRE INC (Manuel LEMAY)"/>
    <n v="6547418"/>
    <n v="964600"/>
    <m/>
    <x v="0"/>
    <x v="8"/>
    <x v="25"/>
    <s v="route Marie-Victorin_x000a_Lotbinière"/>
    <s v="46.606532"/>
    <s v="-71.940542"/>
    <n v="29.61"/>
    <s v="Cultures annuelles"/>
    <s v="oui"/>
    <s v="Plane"/>
    <n v="2"/>
    <s v="F"/>
    <n v="29.4"/>
    <s v="FADQ"/>
    <m/>
    <m/>
    <m/>
    <m/>
    <m/>
    <m/>
    <m/>
    <m/>
    <m/>
    <m/>
    <m/>
    <m/>
    <m/>
    <m/>
    <m/>
    <m/>
    <m/>
    <m/>
    <m/>
    <n v="32576.832151300237"/>
  </r>
  <r>
    <n v="26949834"/>
    <m/>
    <d v="2022-01-14T00:00:00"/>
    <s v="Mariette PROVOST"/>
    <s v="LES FERMES P.M. ARCHAMBAULT INC"/>
    <s v="5 881 463, 6 343 614, 6 224 561"/>
    <n v="2336000"/>
    <m/>
    <x v="3"/>
    <x v="9"/>
    <x v="26"/>
    <s v="Sainte-Julie et Varennes"/>
    <s v="45.618615"/>
    <s v="-73.367562"/>
    <n v="58.1"/>
    <s v="Cultures annuelles"/>
    <s v="oui"/>
    <s v="Plane"/>
    <n v="2"/>
    <s v="W"/>
    <n v="50.3"/>
    <s v="FADQ"/>
    <n v="38.69"/>
    <s v="infosols"/>
    <m/>
    <m/>
    <n v="3.6"/>
    <m/>
    <m/>
    <m/>
    <m/>
    <m/>
    <m/>
    <s v="2 hangars"/>
    <n v="31900"/>
    <s v="Rôle municipal"/>
    <m/>
    <m/>
    <s v="3 lots"/>
    <n v="69136"/>
    <m/>
    <n v="40206.540447504303"/>
  </r>
  <r>
    <n v="27727336"/>
    <m/>
    <d v="2022-11-30T00:00:00"/>
    <s v="FERME LAROSELAIT S.E.N.C."/>
    <s v="Benoit Larose"/>
    <s v="5 216 615, 5 216 695"/>
    <n v="600000"/>
    <m/>
    <x v="3"/>
    <x v="9"/>
    <x v="27"/>
    <s v="Rang des Terres-Noires_x000a_Verchères"/>
    <s v="45.774030"/>
    <s v="-73.313563"/>
    <n v="16.25"/>
    <s v="Cultures annuelles"/>
    <s v="oui"/>
    <s v="Plane"/>
    <n v="2"/>
    <s v="W"/>
    <n v="12.799999999999999"/>
    <s v="FADQ"/>
    <m/>
    <m/>
    <m/>
    <m/>
    <n v="2.2999999999999998"/>
    <m/>
    <m/>
    <m/>
    <m/>
    <m/>
    <m/>
    <m/>
    <m/>
    <m/>
    <m/>
    <m/>
    <s v="Traversé par ligne Hydro-Québec"/>
    <n v="12951"/>
    <m/>
    <n v="36923.076923076922"/>
  </r>
  <r>
    <n v="27728161"/>
    <m/>
    <d v="2022-12-01T00:00:00"/>
    <s v="Albert CHAGNON"/>
    <s v="FERME FRANÇOIS CHAGNON INC"/>
    <s v="5310197, 6 459 817, 4 832 900"/>
    <n v="700000"/>
    <m/>
    <x v="3"/>
    <x v="9"/>
    <x v="28"/>
    <s v="Verchères et Calixa-Lavallée"/>
    <s v="45.747722"/>
    <s v="-73.295156"/>
    <n v="20.130000000000003"/>
    <s v="Cultures annuelles"/>
    <s v="oui"/>
    <s v="Plane"/>
    <n v="2"/>
    <s v="W"/>
    <n v="20.130000000000003"/>
    <m/>
    <n v="20.130000000000003"/>
    <s v="infosols"/>
    <m/>
    <m/>
    <n v="0.6"/>
    <m/>
    <m/>
    <m/>
    <m/>
    <m/>
    <m/>
    <m/>
    <m/>
    <m/>
    <m/>
    <m/>
    <m/>
    <s v="429734 (autorisation morcellement)"/>
    <m/>
    <n v="34773.969200198706"/>
  </r>
  <r>
    <n v="27773139"/>
    <m/>
    <d v="2022-12-20T00:00:00"/>
    <s v="Normand BEAUCHEMIN"/>
    <s v="LA FERME SABOT DE TERRE INC (Francis CÔTÉ)"/>
    <n v="6223911"/>
    <n v="700000"/>
    <m/>
    <x v="3"/>
    <x v="9"/>
    <x v="29"/>
    <s v="Chemin des sucreries_x000a_Varennes"/>
    <s v="45.638272"/>
    <s v="-73.363067"/>
    <n v="22.59"/>
    <s v="Cultures annuelles"/>
    <s v="oui"/>
    <s v="Plane"/>
    <n v="2"/>
    <s v="W"/>
    <n v="22.59"/>
    <m/>
    <m/>
    <m/>
    <m/>
    <m/>
    <m/>
    <m/>
    <m/>
    <m/>
    <m/>
    <m/>
    <m/>
    <s v="Grange"/>
    <n v="13000"/>
    <s v="Rôle municipal"/>
    <m/>
    <m/>
    <s v="Nombreux fossés de drainage"/>
    <n v="4355"/>
    <m/>
    <n v="30987.162461266049"/>
  </r>
  <r>
    <n v="22309676"/>
    <m/>
    <d v="2016-05-17T00:00:00"/>
    <s v="Réjean Lemire, Claude Lemire"/>
    <s v="Michel Proulx"/>
    <n v="5433069"/>
    <n v="36000"/>
    <m/>
    <x v="4"/>
    <x v="10"/>
    <x v="30"/>
    <s v="Route Marie-Victorin_x000a_Baie-du-Febvre"/>
    <s v="46.154336"/>
    <s v="-72.706115"/>
    <n v="6.25"/>
    <s v="Cultures annuelles"/>
    <s v="oui"/>
    <s v="Plane"/>
    <n v="4"/>
    <s v="FW"/>
    <n v="5.5"/>
    <s v="FADQ"/>
    <m/>
    <m/>
    <m/>
    <m/>
    <m/>
    <m/>
    <m/>
    <m/>
    <m/>
    <m/>
    <m/>
    <m/>
    <m/>
    <m/>
    <m/>
    <m/>
    <s v="Inondable"/>
    <m/>
    <m/>
    <n v="5760"/>
  </r>
  <r>
    <n v="24495986"/>
    <m/>
    <d v="2019-03-28T00:00:00"/>
    <s v="ANDRÉ LEMAIRE INC"/>
    <s v="CULTURES ROUSSEAU INC (Paul ROUSSEAU)"/>
    <s v="5743147, 5745024, 5 743 148, 5433045, 5434246, 5434247, 5434264, 5 433 041"/>
    <n v="1992000"/>
    <m/>
    <x v="4"/>
    <x v="10"/>
    <x v="30"/>
    <s v="Rg du Petit-Bois_x000a_Baie-du-Febvre"/>
    <s v="46.112650"/>
    <s v="-72.773585"/>
    <n v="72.291160000000005"/>
    <s v="Cultures annuelles"/>
    <s v="oui"/>
    <s v="Plane"/>
    <n v="3"/>
    <s v="FW"/>
    <n v="70.400000000000006"/>
    <s v="FADQ"/>
    <n v="48.86"/>
    <m/>
    <m/>
    <m/>
    <m/>
    <m/>
    <m/>
    <m/>
    <m/>
    <m/>
    <m/>
    <m/>
    <m/>
    <m/>
    <m/>
    <m/>
    <s v="Partie inondable"/>
    <m/>
    <m/>
    <n v="27555.23635254988"/>
  </r>
  <r>
    <n v="26058624"/>
    <m/>
    <d v="2020-12-01T00:00:00"/>
    <s v="Bibianne Daneau"/>
    <s v="Denis Courchesne"/>
    <s v="5 743 071, 5 743 223"/>
    <n v="1043700"/>
    <m/>
    <x v="4"/>
    <x v="10"/>
    <x v="31"/>
    <s v="Rg Courchesne, Rg du Petit-Bois_x000a_Pierreville"/>
    <s v="46.107132"/>
    <s v="-72.813624"/>
    <n v="47.29"/>
    <s v="Cultures annuelles"/>
    <s v="oui"/>
    <s v="Plane"/>
    <s v="3 et 4"/>
    <s v="FW"/>
    <n v="37.300000000000004"/>
    <s v="Demeter"/>
    <n v="25.8"/>
    <s v="infosols"/>
    <m/>
    <m/>
    <n v="0.4"/>
    <m/>
    <m/>
    <m/>
    <m/>
    <m/>
    <m/>
    <m/>
    <m/>
    <m/>
    <m/>
    <m/>
    <s v="Partie inondable"/>
    <m/>
    <m/>
    <n v="22070.205117360965"/>
  </r>
  <r>
    <n v="27026715"/>
    <m/>
    <d v="2021-10-21T00:00:00"/>
    <s v="FERME G C K MARTEL S.E.N.C (M. Georges Martel)"/>
    <s v="SIDCLOVI INC (SIDCLOVI INC)"/>
    <n v="5743134"/>
    <n v="1500000"/>
    <m/>
    <x v="4"/>
    <x v="10"/>
    <x v="31"/>
    <s v="rang du Petit-Bois_x000a_Pierreville"/>
    <s v="46.104932"/>
    <s v="-72.787986"/>
    <n v="55.53"/>
    <s v="Cultures annuelles"/>
    <s v="oui"/>
    <s v="Plane"/>
    <n v="4"/>
    <s v="FW"/>
    <n v="43.1"/>
    <s v="FADQ"/>
    <n v="43.1"/>
    <s v="infosols"/>
    <m/>
    <m/>
    <n v="10.7"/>
    <m/>
    <m/>
    <m/>
    <m/>
    <m/>
    <m/>
    <m/>
    <m/>
    <m/>
    <m/>
    <m/>
    <s v="Boisé au potentiel acéricole"/>
    <m/>
    <m/>
    <n v="27012.425715829282"/>
  </r>
  <r>
    <n v="27048319"/>
    <m/>
    <d v="2022-02-24T00:00:00"/>
    <s v="FERME MARGIS S.E.N.C (Jonathan et Éric Bergeron)"/>
    <s v="GESTION DANIEL FORCIER INC"/>
    <s v="6458438, 5 434 429, 5 434 178, 5 434 424"/>
    <n v="3546900"/>
    <m/>
    <x v="4"/>
    <x v="10"/>
    <x v="30"/>
    <s v="chemin du Pays-Brûlé_x000a_Baie-du-Febvre"/>
    <s v="46.151874"/>
    <s v="-72.657043"/>
    <n v="81.44"/>
    <s v="Cultures annuelles"/>
    <s v="oui"/>
    <s v="Plane"/>
    <n v="2"/>
    <s v="W"/>
    <n v="77.2"/>
    <s v="FADQ"/>
    <n v="71.7"/>
    <s v="infosols"/>
    <m/>
    <m/>
    <m/>
    <m/>
    <m/>
    <m/>
    <m/>
    <m/>
    <m/>
    <s v="Hangar, bâtiment d'élevage, 6 silos, hangar léger"/>
    <n v="420000"/>
    <m/>
    <m/>
    <m/>
    <m/>
    <m/>
    <m/>
    <n v="43552.308447937132"/>
  </r>
  <r>
    <n v="27069014"/>
    <m/>
    <d v="2022-03-09T00:00:00"/>
    <s v="FERME ANDRE LEMAIRE INC"/>
    <s v="GESTION STEVEN RAYMOND INC"/>
    <n v="5884138"/>
    <n v="340000"/>
    <m/>
    <x v="4"/>
    <x v="10"/>
    <x v="32"/>
    <s v="Rang Saint-Pierre_x000a_Saint-Zéphirin-de-Courval"/>
    <s v="46.052764"/>
    <s v="-72.612366"/>
    <n v="6.79"/>
    <s v="Cultures annuelles"/>
    <s v="oui"/>
    <s v="Plane"/>
    <n v="2"/>
    <s v="W"/>
    <n v="6.4"/>
    <s v="FADQ"/>
    <m/>
    <m/>
    <m/>
    <m/>
    <m/>
    <m/>
    <m/>
    <m/>
    <m/>
    <m/>
    <m/>
    <m/>
    <m/>
    <m/>
    <m/>
    <m/>
    <s v="1,1 ha en zone blanche (CPTAQ)"/>
    <m/>
    <m/>
    <n v="50073.637702503678"/>
  </r>
  <r>
    <n v="27408086"/>
    <m/>
    <d v="2022-07-11T00:00:00"/>
    <s v="Richard BOURGOUIN"/>
    <s v="AGRI-SIDMA INC (Manon CÔTÉ)"/>
    <s v="5744554, 5744575, 5744576, 5744578"/>
    <n v="113006.25"/>
    <m/>
    <x v="4"/>
    <x v="10"/>
    <x v="31"/>
    <s v="Chemin du Marais-Blazon_x000a_Pierreville"/>
    <s v="46.103788"/>
    <s v="-72.900149"/>
    <n v="6.9799999999999986"/>
    <s v="Cultures annuelles"/>
    <s v="oui"/>
    <s v="Plane"/>
    <n v="3"/>
    <s v="FW"/>
    <n v="4.54"/>
    <s v="Demeter"/>
    <m/>
    <m/>
    <m/>
    <m/>
    <n v="2"/>
    <m/>
    <m/>
    <m/>
    <m/>
    <m/>
    <m/>
    <m/>
    <m/>
    <m/>
    <m/>
    <m/>
    <s v="Inondable"/>
    <m/>
    <m/>
    <n v="16190.007163323786"/>
  </r>
  <r>
    <n v="27798458"/>
    <m/>
    <d v="2023-01-12T00:00:00"/>
    <s v="Gaston BOURASSA"/>
    <s v="FERME NIC ET PIC INC (Michel LEMIRE, Line LECLERC et Nicolas LEMIRE,)"/>
    <s v="5884078, 5 885 346"/>
    <n v="297000"/>
    <m/>
    <x v="4"/>
    <x v="10"/>
    <x v="32"/>
    <s v="Rang Saint-Pierre_x000a_Saint-Zéphirin-de-Courval"/>
    <s v="46.068754"/>
    <s v="-72.644474"/>
    <n v="10.98"/>
    <s v="Cultures annuelles"/>
    <s v="oui"/>
    <s v="Plane"/>
    <n v="4"/>
    <s v="FW"/>
    <n v="10.4"/>
    <s v="FADQ"/>
    <n v="9.1"/>
    <s v="infosols"/>
    <m/>
    <m/>
    <n v="0.9"/>
    <m/>
    <m/>
    <m/>
    <m/>
    <m/>
    <m/>
    <m/>
    <m/>
    <m/>
    <m/>
    <m/>
    <m/>
    <m/>
    <m/>
    <n v="27049.180327868853"/>
  </r>
  <r>
    <n v="27077516"/>
    <m/>
    <d v="2023-03-10T00:00:00"/>
    <s v="Réjean MAILLETTE, Raymonde DIONNE"/>
    <s v="Marie-Ève BERTHIAUME, Guillaume MAILLETTE"/>
    <n v="5884330"/>
    <n v="100000"/>
    <m/>
    <x v="4"/>
    <x v="10"/>
    <x v="33"/>
    <s v="rang Châtillon_x000a_La Visitation-de-Yamaska"/>
    <s v="46.093227"/>
    <s v="-72.555857"/>
    <n v="18.48"/>
    <s v="Cultures annuelles"/>
    <s v="oui"/>
    <s v="Plane"/>
    <n v="2"/>
    <s v="W"/>
    <n v="13.4"/>
    <s v="FADQ"/>
    <m/>
    <m/>
    <m/>
    <m/>
    <n v="4.2"/>
    <m/>
    <m/>
    <m/>
    <m/>
    <m/>
    <m/>
    <m/>
    <m/>
    <m/>
    <m/>
    <m/>
    <s v="Boisé au potentiel acéricole"/>
    <m/>
    <m/>
    <n v="5411.2554112554108"/>
  </r>
  <r>
    <n v="28099792"/>
    <m/>
    <d v="2023-04-10T00:00:00"/>
    <s v="Jessica NIQUET, Josiane NIQUET"/>
    <s v="9492-9551 QUÉBEC INC. (François GAMELIN)"/>
    <n v="5743244"/>
    <n v="350000"/>
    <m/>
    <x v="4"/>
    <x v="10"/>
    <x v="31"/>
    <s v="Rang Saint-Louis_x000a_Pierreville"/>
    <s v="46.108117"/>
    <s v="-72.833740"/>
    <n v="13.93"/>
    <s v="Maraichage"/>
    <s v="oui"/>
    <s v="Plane"/>
    <n v="4"/>
    <s v="FW"/>
    <n v="5.7"/>
    <s v="FADQ"/>
    <m/>
    <m/>
    <m/>
    <m/>
    <n v="6.4"/>
    <m/>
    <m/>
    <m/>
    <m/>
    <m/>
    <m/>
    <m/>
    <m/>
    <m/>
    <m/>
    <m/>
    <s v="Boisé au potentiel acéricole (partie)"/>
    <m/>
    <m/>
    <n v="25125.628140703517"/>
  </r>
  <r>
    <n v="28047675"/>
    <m/>
    <d v="2023-05-01T00:00:00"/>
    <s v="FERME BERNOVAIN INC (Sylvain BERGERON)"/>
    <s v="CONSERVATION DE LA NATURE - QUÉBEC (Catherine LEFEBVRE)"/>
    <n v="5433078"/>
    <n v="125000"/>
    <m/>
    <x v="4"/>
    <x v="10"/>
    <x v="30"/>
    <s v="Route Marie-Victorin_x000a_Baie-du-Febvre"/>
    <s v="46.161745"/>
    <s v="-72.698451"/>
    <n v="4.82"/>
    <s v="Cultures annuelles"/>
    <s v="oui"/>
    <s v="Plane"/>
    <s v="3 et 4"/>
    <s v="W"/>
    <n v="3.6"/>
    <s v="FADQ"/>
    <m/>
    <m/>
    <m/>
    <m/>
    <n v="0"/>
    <m/>
    <m/>
    <m/>
    <m/>
    <m/>
    <m/>
    <m/>
    <m/>
    <m/>
    <m/>
    <m/>
    <s v="Inondable"/>
    <m/>
    <m/>
    <n v="25933.609958506222"/>
  </r>
  <r>
    <n v="27999999"/>
    <m/>
    <d v="2023-05-05T00:00:00"/>
    <s v="Johanne BERTRAND"/>
    <s v="FERME MAQUILLE INC (Nicolas DUJARDIN, Marc DUJARDIN,  et Martine MUYSSEN)"/>
    <n v="5883868"/>
    <n v="650000"/>
    <m/>
    <x v="4"/>
    <x v="10"/>
    <x v="34"/>
    <s v="rang St-Michel_x000a_Saint-Elphège"/>
    <s v="46.056303"/>
    <s v="-72.678431"/>
    <n v="13.08"/>
    <s v="Cultures annuelles"/>
    <s v="oui"/>
    <s v="Plane"/>
    <n v="4"/>
    <s v="FW"/>
    <n v="11.5"/>
    <s v="FADQ"/>
    <n v="11.5"/>
    <s v="infosols"/>
    <m/>
    <m/>
    <m/>
    <m/>
    <m/>
    <m/>
    <m/>
    <m/>
    <m/>
    <m/>
    <m/>
    <m/>
    <m/>
    <m/>
    <m/>
    <m/>
    <m/>
    <n v="49694.18960244648"/>
  </r>
  <r>
    <n v="28138139"/>
    <m/>
    <d v="2023-07-06T00:00:00"/>
    <s v="LES ENTREPRISES MONVAL INC (Monique PLANTE)"/>
    <s v="Marion DUPUIS"/>
    <n v="5743241"/>
    <n v="400000"/>
    <m/>
    <x v="4"/>
    <x v="10"/>
    <x v="31"/>
    <s v="Rang Saint-Louis_x000a_Pierreville"/>
    <s v="46.106576"/>
    <s v="-72.835660"/>
    <n v="18.04"/>
    <s v="Cultures annuelles"/>
    <s v="oui"/>
    <s v="Plane"/>
    <n v="4"/>
    <s v="FW"/>
    <n v="10.3"/>
    <s v="FADQ"/>
    <m/>
    <m/>
    <m/>
    <m/>
    <n v="6.4"/>
    <m/>
    <m/>
    <m/>
    <m/>
    <m/>
    <m/>
    <m/>
    <m/>
    <m/>
    <m/>
    <m/>
    <s v="Pas de potentiel acéricole"/>
    <m/>
    <m/>
    <n v="22172.949002217298"/>
  </r>
  <r>
    <n v="28458653"/>
    <m/>
    <d v="2023-12-19T00:00:00"/>
    <s v="Marion DUPUIS"/>
    <s v="9492-9551 QUÉBEC INC (Christian LAVOIE)"/>
    <n v="5743241"/>
    <n v="400000"/>
    <m/>
    <x v="4"/>
    <x v="10"/>
    <x v="31"/>
    <s v="Rang Saint-Louis_x000a_Pierreville"/>
    <s v="46.106576"/>
    <s v="-72.835660"/>
    <n v="18.04"/>
    <s v="Cultures annuelles"/>
    <s v="oui"/>
    <s v="Plane"/>
    <n v="4"/>
    <s v="FW"/>
    <n v="10.3"/>
    <s v="FADQ"/>
    <m/>
    <m/>
    <m/>
    <m/>
    <n v="6.4"/>
    <m/>
    <m/>
    <m/>
    <m/>
    <m/>
    <m/>
    <m/>
    <m/>
    <m/>
    <m/>
    <m/>
    <s v="Pas de potentiel acéricole"/>
    <m/>
    <m/>
    <n v="22172.949002217298"/>
  </r>
  <r>
    <n v="25713777"/>
    <m/>
    <d v="2020-08-14T00:00:00"/>
    <s v="Steeve POULIN"/>
    <s v="FERME FAMILLE ST-HILAIRE S.E.N.C."/>
    <n v="4340477"/>
    <n v="40000"/>
    <m/>
    <x v="0"/>
    <x v="11"/>
    <x v="35"/>
    <s v="8e Rang Ouest_x000a_Saint-Odilon-de-Cranbourne"/>
    <s v="46.305958"/>
    <s v="-70.687122"/>
    <n v="5.61"/>
    <s v="Cultures annuelles"/>
    <s v="oui"/>
    <s v="Plane"/>
    <n v="5"/>
    <s v="PW"/>
    <n v="3.8"/>
    <s v="Mesures Demeter"/>
    <m/>
    <m/>
    <s v="Maïs fourrager"/>
    <m/>
    <n v="1.8"/>
    <m/>
    <m/>
    <m/>
    <m/>
    <m/>
    <m/>
    <m/>
    <m/>
    <m/>
    <m/>
    <m/>
    <m/>
    <m/>
    <m/>
    <n v="7130.1247771836006"/>
  </r>
  <r>
    <n v="27755520"/>
    <m/>
    <d v="2022-12-12T00:00:00"/>
    <s v="FERME LANIGAN S.E.N.C. (Charles DROUIN)"/>
    <s v="FERME FAMILLE ST-HILAIRE S.E.N.C. (Audrée St-Hilaire, Lisette Boucher et Alain St-Hilaire)"/>
    <s v="6 530 884, 6 338 251"/>
    <n v="675000"/>
    <m/>
    <x v="0"/>
    <x v="11"/>
    <x v="35"/>
    <s v="8e Rang Ouest_x000a_Saint-Odilon-de-Cranbourne"/>
    <s v="46.360507"/>
    <s v="-70.608659"/>
    <n v="93.74"/>
    <s v="Cultures annuelles"/>
    <s v="oui"/>
    <s v="Plane"/>
    <n v="5"/>
    <s v="PT"/>
    <n v="76.16"/>
    <s v="Mesures Demeter"/>
    <m/>
    <m/>
    <s v="Foin"/>
    <m/>
    <n v="16.399999999999999"/>
    <m/>
    <m/>
    <m/>
    <m/>
    <m/>
    <m/>
    <m/>
    <m/>
    <m/>
    <m/>
    <m/>
    <s v="Servitudes de passage, demande autorisation (refus)"/>
    <n v="409543"/>
    <m/>
    <n v="7200.7680819287398"/>
  </r>
  <r>
    <n v="24718742"/>
    <m/>
    <d v="2019-06-27T00:00:00"/>
    <s v="Mario GAMELIN"/>
    <s v="Marie-Philippe FRENETTE DANEAU"/>
    <n v="5744548"/>
    <n v="50000"/>
    <m/>
    <x v="4"/>
    <x v="10"/>
    <x v="31"/>
    <s v="chemin du Marais-Blazon_x000a_Pierreville"/>
    <s v="46.109543"/>
    <s v="-72.900294"/>
    <n v="6.06"/>
    <s v="Cultures annuelles"/>
    <s v="oui"/>
    <s v="Plane"/>
    <n v="3"/>
    <s v="FW"/>
    <n v="5.5"/>
    <s v="FADQ"/>
    <m/>
    <m/>
    <m/>
    <m/>
    <m/>
    <m/>
    <m/>
    <m/>
    <m/>
    <m/>
    <m/>
    <m/>
    <m/>
    <m/>
    <m/>
    <m/>
    <m/>
    <m/>
    <m/>
    <n v="8250.8250825082505"/>
  </r>
  <r>
    <n v="26366489"/>
    <m/>
    <d v="2021-02-11T00:00:00"/>
    <s v="Cyrille LEFEBVRE"/>
    <s v="FERME GERVILLE INC (Simon Lefebvre)"/>
    <s v="5 433 072, 5 434_x000a_197"/>
    <n v="1200000"/>
    <m/>
    <x v="4"/>
    <x v="10"/>
    <x v="30"/>
    <s v="Route Marie-Victorin_x000a_Baie-du-Febvre"/>
    <m/>
    <m/>
    <n v="60.83"/>
    <s v="Cultures annuelles"/>
    <s v="oui"/>
    <s v="Plane"/>
    <n v="2"/>
    <s v="W"/>
    <n v="45.6"/>
    <s v="FADQ"/>
    <n v="34.799999999999997"/>
    <s v="infosols"/>
    <m/>
    <m/>
    <n v="11.5"/>
    <m/>
    <m/>
    <m/>
    <m/>
    <m/>
    <m/>
    <m/>
    <m/>
    <m/>
    <m/>
    <m/>
    <s v="Partie inondable"/>
    <m/>
    <m/>
    <n v="50000"/>
  </r>
  <r>
    <s v="28 455 660"/>
    <m/>
    <d v="2023-12-18T00:00:00"/>
    <s v="Carol Irene ENGLISH"/>
    <s v="FERME ROBIL 2007 INC."/>
    <s v="4 706 643, 4 706 644, 6 589 354"/>
    <n v="300000"/>
    <m/>
    <x v="0"/>
    <x v="0"/>
    <x v="36"/>
    <s v="Chemin de la Rivière-Etchemin"/>
    <n v="46.518481999999999"/>
    <n v="-70.788373000000007"/>
    <n v="38.299999999999997"/>
    <s v="Boisés, Prairies"/>
    <s v="oui"/>
    <s v="Plane "/>
    <n v="4"/>
    <s v="PT"/>
    <n v="13.1"/>
    <s v="FADQ"/>
    <n v="0"/>
    <s v="infosols"/>
    <s v="Foin, boisés"/>
    <m/>
    <n v="26"/>
    <m/>
    <m/>
    <m/>
    <m/>
    <m/>
    <m/>
    <m/>
    <m/>
    <m/>
    <m/>
    <m/>
    <m/>
    <m/>
    <m/>
    <n v="7832.8981723237603"/>
  </r>
  <r>
    <s v="26 028 123"/>
    <m/>
    <d v="2021-01-15T00:00:00"/>
    <s v="FERME DATONY ENR"/>
    <s v="FERME L. POULIOT &amp; FILS INC.,"/>
    <s v="3 586 505, 3 586 507"/>
    <n v="615000"/>
    <m/>
    <x v="0"/>
    <x v="0"/>
    <x v="37"/>
    <s v="Rang Buckland "/>
    <n v="46.619615000000003"/>
    <n v="-70.823859999999996"/>
    <n v="41.6"/>
    <s v="Cultures annuelles et prairies"/>
    <s v="oui"/>
    <s v="Legere pente "/>
    <n v="7"/>
    <s v="P"/>
    <n v="40.200000000000003"/>
    <s v="FADQ"/>
    <n v="0"/>
    <s v="infosols"/>
    <s v="Foin, céréales"/>
    <m/>
    <m/>
    <m/>
    <m/>
    <m/>
    <m/>
    <m/>
    <m/>
    <m/>
    <m/>
    <m/>
    <m/>
    <m/>
    <m/>
    <m/>
    <m/>
    <n v="14783.653846153846"/>
  </r>
  <r>
    <s v="28 251 447"/>
    <m/>
    <d v="2023-05-02T00:00:00"/>
    <s v="Jean-Claude TARDIF, Nicole PICARD"/>
    <s v="ERME J.C. LACHANCE ET FILS INC."/>
    <s v="2820270, 2820271, 5130060"/>
    <s v="220 000"/>
    <m/>
    <x v="0"/>
    <x v="0"/>
    <x v="38"/>
    <s v="route du Fleuve à Beaumont"/>
    <n v="46.823073000000001"/>
    <n v="-71.011381"/>
    <s v="17,27"/>
    <s v="Cultures annuelles, prairies, boisés"/>
    <s v="oui"/>
    <s v="Plane"/>
    <n v="3"/>
    <s v="F"/>
    <n v="11.3"/>
    <s v="FADQ et mesures Démeter"/>
    <n v="0"/>
    <m/>
    <m/>
    <m/>
    <n v="5.9"/>
    <m/>
    <m/>
    <m/>
    <m/>
    <m/>
    <m/>
    <m/>
    <m/>
    <m/>
    <m/>
    <m/>
    <m/>
    <m/>
    <m/>
    <n v="12738.853503184713"/>
  </r>
  <r>
    <s v="28 096 246"/>
    <m/>
    <d v="2023-06-12T00:00:00"/>
    <s v="BERNARD FRADET"/>
    <s v="FERME DOMIO INC."/>
    <s v="3198115, 3198116"/>
    <s v="40 000 "/>
    <m/>
    <x v="0"/>
    <x v="0"/>
    <x v="39"/>
    <s v="route des Prairies du Bras"/>
    <n v="46.767270000000003"/>
    <n v="-70.854011999999997"/>
    <s v="3,2"/>
    <s v="Cultures annuelles "/>
    <s v="oui"/>
    <s v="Plane"/>
    <n v="3"/>
    <s v="F"/>
    <n v="3.2"/>
    <s v="FADQ"/>
    <n v="0"/>
    <s v="infosols"/>
    <s v="Seigle"/>
    <m/>
    <n v="0"/>
    <m/>
    <m/>
    <m/>
    <m/>
    <m/>
    <m/>
    <m/>
    <m/>
    <m/>
    <m/>
    <m/>
    <m/>
    <m/>
    <m/>
    <n v="12500"/>
  </r>
  <r>
    <n v="26261637"/>
    <m/>
    <d v="2021-04-30T00:00:00"/>
    <s v="FERME BEAU SITE 2015 INC."/>
    <s v="FERME S. PARÉ ET FILS S.E.N.C."/>
    <n v="3587452"/>
    <n v="400000"/>
    <m/>
    <x v="0"/>
    <x v="0"/>
    <x v="37"/>
    <m/>
    <n v="46.653734999999998"/>
    <n v="-70.867996000000005"/>
    <s v="16,39"/>
    <s v="Cultures annuelles, prairies"/>
    <s v="oui"/>
    <s v="Legere pente "/>
    <n v="3"/>
    <s v="FT"/>
    <n v="16.100000000000001"/>
    <s v="FADQ"/>
    <s v="non "/>
    <s v="infosols"/>
    <s v="Foin, soya"/>
    <m/>
    <m/>
    <m/>
    <m/>
    <m/>
    <m/>
    <m/>
    <m/>
    <m/>
    <m/>
    <m/>
    <m/>
    <m/>
    <s v="Lot enclavé, servitude de passage"/>
    <m/>
    <m/>
    <n v="24405.125076266017"/>
  </r>
  <r>
    <s v="27 931 679"/>
    <m/>
    <d v="2023-03-27T00:00:00"/>
    <s v="Famille Roy"/>
    <s v="FERME MORINNAL (2005) INC."/>
    <s v="6 557 388, 3 375 324, 3 581 120 et 3 375 330"/>
    <s v="550 000"/>
    <m/>
    <x v="0"/>
    <x v="0"/>
    <x v="40"/>
    <s v="Rang Saint-Olivier"/>
    <n v="46.608600000000003"/>
    <n v="-70.954246999999995"/>
    <n v="17.8"/>
    <s v="Cultures annuelles,  boisés"/>
    <s v="oui"/>
    <s v="Plane"/>
    <n v="4"/>
    <s v="FM"/>
    <n v="14.9"/>
    <s v="Déméter et FADQ"/>
    <n v="0"/>
    <s v="infosols"/>
    <s v="Foin, soya"/>
    <m/>
    <s v="2,9"/>
    <m/>
    <m/>
    <m/>
    <m/>
    <m/>
    <m/>
    <m/>
    <m/>
    <m/>
    <m/>
    <m/>
    <m/>
    <m/>
    <m/>
    <n v="30898.876404494382"/>
  </r>
  <r>
    <s v="26 442 237"/>
    <m/>
    <d v="2020-10-19T00:00:00"/>
    <s v="Alain BERNIER"/>
    <s v="FERME ELAMARC INC."/>
    <s v="2 819 306, 6 434 818, 6 434 819"/>
    <n v="525000"/>
    <m/>
    <x v="0"/>
    <x v="0"/>
    <x v="41"/>
    <s v="rang Sud-Ouest"/>
    <n v="46.728979000000002"/>
    <n v="-70.951183999999998"/>
    <n v="29.93"/>
    <s v="Cultures annuelles, prairies"/>
    <s v="oui"/>
    <s v="Plane"/>
    <n v="3"/>
    <s v="W"/>
    <n v="21.2"/>
    <s v="Déméter et FADQ"/>
    <s v="Oui"/>
    <s v="Infosols "/>
    <s v="Orge, foin "/>
    <m/>
    <m/>
    <m/>
    <m/>
    <m/>
    <m/>
    <m/>
    <m/>
    <m/>
    <m/>
    <m/>
    <m/>
    <m/>
    <m/>
    <m/>
    <m/>
    <n v="17540.928833945873"/>
  </r>
  <r>
    <s v="26 508 558"/>
    <m/>
    <d v="2021-07-14T00:00:00"/>
    <s v="Ferme C.M. Gagnon Inc."/>
    <s v="Ferme Lugano Inc."/>
    <s v="3259720, 3259693"/>
    <s v="650 000"/>
    <m/>
    <x v="0"/>
    <x v="0"/>
    <x v="42"/>
    <s v="2ième Rang_x000a_Ouest"/>
    <n v="46.839722000000002"/>
    <n v="-70.898266000000007"/>
    <n v="40.4"/>
    <s v="Cultures annuelles, prairies"/>
    <s v="Oui "/>
    <s v="Legere pente "/>
    <n v="3"/>
    <s v="F"/>
    <n v="34.799999999999997"/>
    <s v="FADQ"/>
    <s v="non "/>
    <s v="Infosols "/>
    <s v="Soya, foin"/>
    <m/>
    <n v="4.7"/>
    <m/>
    <m/>
    <m/>
    <m/>
    <m/>
    <m/>
    <m/>
    <m/>
    <m/>
    <m/>
    <m/>
    <s v="Potentiel acéricole 2,1 ha"/>
    <m/>
    <m/>
    <n v="16089.108910891089"/>
  </r>
  <r>
    <s v="26 584 619"/>
    <m/>
    <d v="2021-08-16T00:00:00"/>
    <s v="FERME VERGON INC."/>
    <s v="FERME J.E.S. POULIOT INC."/>
    <s v="6 449 114, 6 449 113 "/>
    <s v="500 000"/>
    <m/>
    <x v="0"/>
    <x v="0"/>
    <x v="42"/>
    <s v="2e Rang Est"/>
    <n v="46.721950999999997"/>
    <n v="-70.808117999999993"/>
    <n v="23.32"/>
    <s v="Cultures annuelles, prairies"/>
    <s v="oui"/>
    <s v="Legere pente "/>
    <n v="5"/>
    <s v="TP"/>
    <n v="15.3"/>
    <s v="FADQ et mesures Démeter"/>
    <s v="non "/>
    <s v="Infosols "/>
    <s v="Soya, foin"/>
    <m/>
    <n v="8.02"/>
    <m/>
    <m/>
    <m/>
    <m/>
    <m/>
    <m/>
    <m/>
    <m/>
    <m/>
    <m/>
    <m/>
    <m/>
    <m/>
    <m/>
    <n v="21440.823327615781"/>
  </r>
  <r>
    <s v="28 218 538"/>
    <m/>
    <d v="2023-06-13T00:00:00"/>
    <s v="Christian DINEL, Claude DUMAIS"/>
    <s v="Éric VERREAULT,"/>
    <s v="6 532 539"/>
    <m/>
    <m/>
    <x v="5"/>
    <x v="12"/>
    <x v="43"/>
    <m/>
    <m/>
    <m/>
    <m/>
    <m/>
    <m/>
    <m/>
    <m/>
    <m/>
    <m/>
    <m/>
    <m/>
    <m/>
    <m/>
    <m/>
    <m/>
    <m/>
    <m/>
    <m/>
    <m/>
    <m/>
    <m/>
    <m/>
    <m/>
    <m/>
    <m/>
    <m/>
    <m/>
    <m/>
    <m/>
    <e v="#DIV/0!"/>
  </r>
  <r>
    <s v="27 637 937"/>
    <m/>
    <d v="2022-08-15T00:00:00"/>
    <s v="FERME NADEAU &amp; FRÈRES INC."/>
    <s v="FERME FORVINO INC."/>
    <s v="4 084 316, 4 300 444"/>
    <n v="228000"/>
    <m/>
    <x v="0"/>
    <x v="13"/>
    <x v="44"/>
    <s v="route Sainte-Thérèse"/>
    <n v="46.539827000000002"/>
    <n v="-71.044137000000006"/>
    <n v="11.92"/>
    <s v="cultures annuelles et priairies"/>
    <s v="oui"/>
    <s v="Plane"/>
    <n v="3"/>
    <s v="F"/>
    <n v="8.5"/>
    <s v="FADQ"/>
    <s v="Oui"/>
    <s v="infosols"/>
    <s v="mais fourrager, foin"/>
    <m/>
    <n v="3.42"/>
    <m/>
    <m/>
    <m/>
    <m/>
    <m/>
    <m/>
    <m/>
    <m/>
    <m/>
    <m/>
    <m/>
    <m/>
    <m/>
    <m/>
    <n v="19127.516778523492"/>
  </r>
  <r>
    <s v="27 650 994"/>
    <m/>
    <d v="2022-09-01T00:00:00"/>
    <s v="R.M.O.P. L'HEUREUX INC."/>
    <s v="FERME LAVERDIÈRE &amp; FILS INC."/>
    <s v="5 853 703"/>
    <n v="160000"/>
    <m/>
    <x v="0"/>
    <x v="13"/>
    <x v="44"/>
    <s v="route Sainte-Thérèse"/>
    <n v="46.563676999999998"/>
    <n v="-70.992703000000006"/>
    <n v="6.55"/>
    <s v="Cultures annuelles"/>
    <s v="oui"/>
    <s v="Plane  "/>
    <n v="4"/>
    <s v="F"/>
    <n v="6.5"/>
    <s v="Mesures Démeter"/>
    <s v="non "/>
    <s v="infosols"/>
    <s v="Aucune précision"/>
    <m/>
    <n v="0"/>
    <m/>
    <m/>
    <m/>
    <m/>
    <m/>
    <m/>
    <m/>
    <m/>
    <m/>
    <m/>
    <m/>
    <m/>
    <m/>
    <m/>
    <n v="24427.480916030534"/>
  </r>
  <r>
    <s v="27 657 463"/>
    <m/>
    <d v="2022-10-28T00:00:00"/>
    <s v="Clément LABRECQUE"/>
    <s v="FERME YVON GIGUÈRE INC."/>
    <s v="2 960 395, 3 138 981, 2 960 341, 2 721 361"/>
    <n v="725000"/>
    <m/>
    <x v="0"/>
    <x v="13"/>
    <x v="45"/>
    <s v="Rang Saint-Etienne Nord"/>
    <n v="46.470266000000002"/>
    <n v="-71.077466000000001"/>
    <n v="45.43"/>
    <s v="Cultures annuelles"/>
    <s v="oui"/>
    <s v="Legere pente"/>
    <n v="5"/>
    <s v="PT"/>
    <n v="34.03"/>
    <s v="FADQ"/>
    <n v="6.3"/>
    <s v="infosols"/>
    <s v="Soya"/>
    <m/>
    <n v="9.1999999999999993"/>
    <n v="2.2000000000000002"/>
    <m/>
    <m/>
    <m/>
    <m/>
    <m/>
    <m/>
    <m/>
    <m/>
    <m/>
    <m/>
    <m/>
    <m/>
    <m/>
    <n v="15958.617653532909"/>
  </r>
  <r>
    <n v="27672257"/>
    <m/>
    <d v="2022-09-20T00:00:00"/>
    <s v="FERME NADEAU &amp; FRÈRES INC."/>
    <s v="FERME MARICAN INC."/>
    <s v="4 084 330"/>
    <n v="280000"/>
    <m/>
    <x v="0"/>
    <x v="13"/>
    <x v="44"/>
    <s v="route Sainte-Thérèse"/>
    <n v="46.544794000000003"/>
    <n v="-71.034712999999996"/>
    <s v="10,76"/>
    <s v="cultures annuelles et priairies"/>
    <s v="Oui "/>
    <s v="Plane  "/>
    <n v="3"/>
    <s v="F"/>
    <n v="10"/>
    <s v="FADQ"/>
    <s v="Oui"/>
    <s v="infosols"/>
    <s v="mais fourrager, foin "/>
    <m/>
    <n v="0"/>
    <n v="0.76"/>
    <m/>
    <m/>
    <m/>
    <m/>
    <m/>
    <m/>
    <m/>
    <m/>
    <m/>
    <m/>
    <m/>
    <m/>
    <m/>
    <n v="26022.304832713755"/>
  </r>
  <r>
    <s v="27 783 164"/>
    <m/>
    <d v="2022-10-24T00:00:00"/>
    <s v="FERME NADEAU &amp; FRÈRES INC.,"/>
    <s v="FERME BAUVREUIL INC."/>
    <s v="2719900, 2719901, 4497588, 4778694"/>
    <n v="1400000"/>
    <m/>
    <x v="0"/>
    <x v="13"/>
    <x v="45"/>
    <s v="située route Desjardins, à_x000a_Scott"/>
    <n v="46.528486999999998"/>
    <n v="-71.064947000000004"/>
    <n v="75.77"/>
    <s v="Cultures annuelles"/>
    <s v="oui"/>
    <s v="Legere pente"/>
    <n v="3"/>
    <s v="W"/>
    <n v="60"/>
    <s v="FADQ et mesures Démeter"/>
    <n v="24.05"/>
    <s v="infosols"/>
    <s v="mais fourrager, foin "/>
    <m/>
    <n v="14.6"/>
    <m/>
    <m/>
    <m/>
    <m/>
    <m/>
    <m/>
    <m/>
    <m/>
    <m/>
    <m/>
    <m/>
    <m/>
    <s v="Décision 323118 (morcellement)"/>
    <m/>
    <n v="18476.969776956579"/>
  </r>
  <r>
    <s v="28 170 027"/>
    <m/>
    <d v="2023-04-27T00:00:00"/>
    <s v="GERARD BERTHIAUME &amp; FILS INC."/>
    <s v="FERME PORCITÉ INC."/>
    <s v="6314030, 3582694"/>
    <n v="1400000"/>
    <m/>
    <x v="0"/>
    <x v="13"/>
    <x v="12"/>
    <s v="Rue des Érables"/>
    <n v="46.417043"/>
    <n v="-71.051336000000006"/>
    <n v="24.21"/>
    <s v="Prairies "/>
    <s v="Oui "/>
    <s v="Legere pente"/>
    <n v="3"/>
    <s v="FT"/>
    <n v="23"/>
    <s v="FADQ"/>
    <n v="20.5"/>
    <s v="infosols"/>
    <s v="Foin "/>
    <m/>
    <n v="0"/>
    <m/>
    <m/>
    <m/>
    <m/>
    <m/>
    <m/>
    <m/>
    <m/>
    <m/>
    <m/>
    <m/>
    <m/>
    <m/>
    <m/>
    <n v="57827.344072697233"/>
  </r>
  <r>
    <s v="28 299 523"/>
    <m/>
    <d v="2023-02-14T00:00:00"/>
    <s v="FERME D.R. INC."/>
    <s v="FERME STEEV LAROSE INC."/>
    <n v="3028425"/>
    <n v="1100000"/>
    <m/>
    <x v="0"/>
    <x v="13"/>
    <x v="46"/>
    <s v="152, rang de la Grande-Ligne"/>
    <n v="46.601874000000002"/>
    <n v="-71.115652999999995"/>
    <n v="35.130000000000003"/>
    <s v="Cultures annuelles"/>
    <s v="Oui "/>
    <s v="Plane"/>
    <s v="4-5"/>
    <s v="FW"/>
    <n v="30"/>
    <s v="FADQ"/>
    <s v="oui "/>
    <s v="infosols"/>
    <s v="Soya"/>
    <m/>
    <n v="2"/>
    <m/>
    <m/>
    <m/>
    <m/>
    <m/>
    <m/>
    <m/>
    <m/>
    <m/>
    <m/>
    <m/>
    <m/>
    <m/>
    <m/>
    <n v="31312.268716196981"/>
  </r>
  <r>
    <s v="28 170 027"/>
    <m/>
    <d v="2023-04-27T00:00:00"/>
    <s v="GERARD BERTHIAUME &amp; FILS INC."/>
    <s v="FERME PORCITÉ INC."/>
    <s v="6314030, 3582694"/>
    <n v="1400000"/>
    <m/>
    <x v="0"/>
    <x v="13"/>
    <x v="12"/>
    <s v="Rue des Érables"/>
    <n v="46.417043"/>
    <n v="-71.051336000000006"/>
    <n v="24.21"/>
    <s v="Prairies "/>
    <s v="Oui "/>
    <s v="Legere pente"/>
    <n v="3"/>
    <s v="FT"/>
    <n v="23"/>
    <s v="FADQ"/>
    <n v="20.5"/>
    <s v="infosols"/>
    <s v="Foin "/>
    <m/>
    <n v="0"/>
    <m/>
    <m/>
    <m/>
    <m/>
    <m/>
    <m/>
    <m/>
    <m/>
    <m/>
    <m/>
    <m/>
    <m/>
    <m/>
    <m/>
    <n v="57827.344072697233"/>
  </r>
  <r>
    <s v="28 299 523"/>
    <m/>
    <d v="2023-02-14T00:00:00"/>
    <s v="FERME D.R. INC."/>
    <s v="FERME STEEV LAROSE INC."/>
    <n v="3028425"/>
    <n v="1100000"/>
    <m/>
    <x v="0"/>
    <x v="13"/>
    <x v="46"/>
    <s v="152, rang de la Grande-Ligne"/>
    <n v="46.601874000000002"/>
    <n v="-71.115652999999995"/>
    <n v="35.130000000000003"/>
    <s v="Cultures annuelles"/>
    <s v="Oui "/>
    <s v="Plane"/>
    <s v="4-5"/>
    <s v="FW"/>
    <n v="30"/>
    <s v="FADQ"/>
    <s v="oui "/>
    <s v="infosols"/>
    <s v="Soya"/>
    <m/>
    <n v="2"/>
    <m/>
    <m/>
    <m/>
    <m/>
    <m/>
    <m/>
    <m/>
    <m/>
    <m/>
    <m/>
    <m/>
    <m/>
    <m/>
    <m/>
    <n v="31312.268716196981"/>
  </r>
  <r>
    <n v="27903562"/>
    <m/>
    <d v="2023-03-14T00:00:00"/>
    <s v="Ferme JETIZACK INC."/>
    <s v="9483-3209 QUEBEC INC."/>
    <s v="4175389, 4175392, 4175395, 4175398, 4175403, 4175577, 5990157, 5990158, 5990159"/>
    <n v="1424814.76"/>
    <m/>
    <x v="6"/>
    <x v="14"/>
    <x v="47"/>
    <s v="Rue Gamelin"/>
    <s v="46.559637"/>
    <s v="-72.201863"/>
    <n v="77.180000000000007"/>
    <s v="Cultures annuelles"/>
    <s v="oui"/>
    <s v="Plane"/>
    <n v="2"/>
    <s v="F"/>
    <n v="73.95"/>
    <s v="FADQ"/>
    <n v="0"/>
    <s v="infosols"/>
    <s v="Blé, maïs, soya"/>
    <m/>
    <n v="3.23"/>
    <m/>
    <m/>
    <m/>
    <m/>
    <m/>
    <m/>
    <m/>
    <m/>
    <m/>
    <m/>
    <m/>
    <m/>
    <m/>
    <m/>
    <n v="18460.932365897901"/>
  </r>
  <r>
    <n v="27903669"/>
    <m/>
    <d v="2023-03-14T00:00:00"/>
    <s v="CULTURES EXCEL INC."/>
    <s v="9483-3258 QUEBEC INC."/>
    <s v="4175390, 4175393, 4175399, 4306133, 5 990 156"/>
    <n v="175185.24"/>
    <m/>
    <x v="6"/>
    <x v="14"/>
    <x v="47"/>
    <s v="Rue Gamelin"/>
    <s v="46.56164"/>
    <s v="-72.198484"/>
    <n v="12.91"/>
    <s v="Cultures annuelles"/>
    <s v="oui"/>
    <s v="Plane"/>
    <n v="3"/>
    <s v="F"/>
    <n v="12.64"/>
    <s v="FADQ"/>
    <n v="0"/>
    <s v="infosols"/>
    <s v="Blé, maïs, soya"/>
    <m/>
    <n v="0.26"/>
    <m/>
    <m/>
    <m/>
    <m/>
    <m/>
    <m/>
    <m/>
    <m/>
    <m/>
    <m/>
    <m/>
    <m/>
    <m/>
    <m/>
    <n v="13569.731990704879"/>
  </r>
  <r>
    <n v="27727714"/>
    <m/>
    <d v="2022-12-01T00:00:00"/>
    <s v="Jean-Yves PERREAULT"/>
    <s v="CULTURES H. DOLBEC INC."/>
    <s v="4175712, 4175803"/>
    <n v="30000"/>
    <m/>
    <x v="6"/>
    <x v="14"/>
    <x v="47"/>
    <s v="Rang du Rapide Sud"/>
    <s v="46.597038"/>
    <s v="_x0009_-72.214426"/>
    <n v="24.08"/>
    <s v="Cultures annuelles"/>
    <s v="oui"/>
    <s v="Plane"/>
    <n v="3"/>
    <s v="W"/>
    <n v="15.35"/>
    <s v="FADQ"/>
    <n v="0"/>
    <s v="infosols"/>
    <s v="Maïs"/>
    <m/>
    <n v="8.73"/>
    <m/>
    <m/>
    <m/>
    <m/>
    <m/>
    <m/>
    <m/>
    <m/>
    <m/>
    <m/>
    <m/>
    <s v="Présence aulnaie"/>
    <m/>
    <m/>
    <n v="1245.8471760797343"/>
  </r>
  <r>
    <n v="27777210"/>
    <m/>
    <d v="2022-11-28T00:00:00"/>
    <s v="Paul RODOLPHE LAVOIE"/>
    <s v="FIDUCIE AGRICOLE UPA"/>
    <s v="4 175 791, 4 175 441"/>
    <n v="300000"/>
    <m/>
    <x v="6"/>
    <x v="14"/>
    <x v="47"/>
    <s v="rang du Rapide Nord_x000a_Sainte-Anne-de-la-Pérade"/>
    <s v="46.602124"/>
    <s v="-72.214458"/>
    <n v="24.79"/>
    <s v="Cultures annuelles"/>
    <s v="oui"/>
    <s v="Plane"/>
    <n v="3"/>
    <s v="G"/>
    <n v="6.6"/>
    <s v="FADQ"/>
    <n v="0"/>
    <s v="infosols"/>
    <s v="-"/>
    <m/>
    <n v="18.190000000000001"/>
    <m/>
    <m/>
    <m/>
    <m/>
    <m/>
    <m/>
    <m/>
    <m/>
    <m/>
    <m/>
    <m/>
    <m/>
    <m/>
    <m/>
    <n v="12101.653892698669"/>
  </r>
  <r>
    <n v="26457351"/>
    <m/>
    <d v="2021-06-28T00:00:00"/>
    <s v="Ferme Bernard GARIEPY"/>
    <s v="Mickael THIBAULT"/>
    <n v="3233527"/>
    <n v="10000"/>
    <m/>
    <x v="7"/>
    <x v="15"/>
    <x v="48"/>
    <s v="2e rang _x000a_Deschambault-Grondines"/>
    <s v=" 46.639754"/>
    <s v="_x0009_-72.008068"/>
    <n v="0.43"/>
    <s v="Prairies "/>
    <s v="oui"/>
    <s v="Plane"/>
    <n v="4"/>
    <s v="FW"/>
    <n v="0.43"/>
    <s v="FADQ"/>
    <n v="0"/>
    <s v="infosols"/>
    <s v="-"/>
    <m/>
    <m/>
    <m/>
    <m/>
    <m/>
    <m/>
    <m/>
    <m/>
    <m/>
    <m/>
    <m/>
    <m/>
    <m/>
    <s v="Petit hangar présent. Aucune décision CPTAQ"/>
    <m/>
    <m/>
    <n v="23255.813953488374"/>
  </r>
  <r>
    <n v="27797544"/>
    <m/>
    <d v="2022-08-13T00:00:00"/>
    <s v="Daniel GAGNON"/>
    <s v="Sylvain DUMONT, Nathalie PAILLE"/>
    <n v="5617589"/>
    <n v="125000"/>
    <m/>
    <x v="6"/>
    <x v="14"/>
    <x v="49"/>
    <s v="rang de la Pointe-Trudel_x000a_Sainte-Geneviève-de-Batiscan"/>
    <s v="46.549253"/>
    <s v="_x0009_-72.371077"/>
    <n v="11.61"/>
    <s v="Cultures annuelles"/>
    <s v="oui"/>
    <s v="Plane"/>
    <n v="3"/>
    <s v="F"/>
    <n v="10.1"/>
    <s v="FADQ"/>
    <n v="0"/>
    <s v="infosols"/>
    <s v="Blé, soya"/>
    <m/>
    <n v="0.83"/>
    <m/>
    <m/>
    <m/>
    <m/>
    <m/>
    <m/>
    <m/>
    <m/>
    <m/>
    <m/>
    <m/>
    <s v="2 hangars, Autorisation CPTAQ aliénation (1986)"/>
    <m/>
    <m/>
    <n v="10766.580534022394"/>
  </r>
  <r>
    <n v="28180563"/>
    <m/>
    <d v="2023-05-31T00:00:00"/>
    <s v="Éric JOBIN"/>
    <s v="Vincent COULOMBE"/>
    <s v="5 020 958, 6 067 383"/>
    <n v="450000"/>
    <m/>
    <x v="7"/>
    <x v="15"/>
    <x v="50"/>
    <s v="Rang Saint-Joseph_x000a_Saint-Thuribe"/>
    <s v="46.755462"/>
    <s v="-72.205343"/>
    <n v="28.62"/>
    <s v="Prairies "/>
    <s v="oui"/>
    <s v="Déclivité modérée"/>
    <n v="3"/>
    <s v="T"/>
    <n v="24.9"/>
    <s v="FADQ"/>
    <n v="0"/>
    <s v="infosols"/>
    <s v="Foin "/>
    <m/>
    <m/>
    <m/>
    <m/>
    <m/>
    <m/>
    <m/>
    <m/>
    <m/>
    <m/>
    <m/>
    <m/>
    <m/>
    <s v="Nombreux fossés. Hangar"/>
    <m/>
    <m/>
    <n v="15723.270440251572"/>
  </r>
  <r>
    <n v="27308410"/>
    <m/>
    <d v="2022-03-28T00:00:00"/>
    <s v="9361-9369 QUEBEC INC."/>
    <s v="9185-1352 QUEBEC INC."/>
    <s v="4 175 414, 5 618 722"/>
    <n v="850000"/>
    <m/>
    <x v="6"/>
    <x v="14"/>
    <x v="51"/>
    <s v="chemin du Cordon_x000a_Sainte-Anne-de-la-Pérade"/>
    <s v="46.577849"/>
    <s v="-72.258634"/>
    <n v="38.75"/>
    <s v="Cultures annuelles"/>
    <s v="oui"/>
    <s v="Plane"/>
    <n v="4"/>
    <s v="W"/>
    <n v="24.1"/>
    <s v="FADQ"/>
    <n v="0"/>
    <s v="infosols"/>
    <s v="Maïs, soya"/>
    <m/>
    <n v="14.65"/>
    <m/>
    <m/>
    <m/>
    <m/>
    <m/>
    <m/>
    <m/>
    <m/>
    <m/>
    <m/>
    <m/>
    <s v="2 lots, forme optimale"/>
    <m/>
    <m/>
    <n v="21935.483870967742"/>
  </r>
  <r>
    <n v="27933294"/>
    <m/>
    <d v="2023-03-30T00:00:00"/>
    <s v="Louis MARCHAND"/>
    <s v="9423-2923 QUEBEC INC."/>
    <s v="6549728, 4505378, 4503837, 4503890, 6379841, 4503518"/>
    <n v="670000"/>
    <m/>
    <x v="6"/>
    <x v="14"/>
    <x v="52"/>
    <s v="Rue Principale"/>
    <s v="46.450882"/>
    <s v="-72.278822"/>
    <n v="23.299999999999997"/>
    <s v="Cultures annuelles"/>
    <s v="oui"/>
    <s v="Plane"/>
    <n v="2"/>
    <s v="W"/>
    <n v="23.3"/>
    <s v="FADQ"/>
    <n v="0"/>
    <s v="infosols"/>
    <s v="Maïs"/>
    <m/>
    <n v="0"/>
    <m/>
    <m/>
    <m/>
    <m/>
    <m/>
    <m/>
    <m/>
    <m/>
    <m/>
    <m/>
    <m/>
    <s v="Surface de 2 x 1 240 m² conservée pour autre usage"/>
    <m/>
    <m/>
    <n v="28755.364806866957"/>
  </r>
  <r>
    <n v="26934829"/>
    <m/>
    <d v="2022-01-06T00:00:00"/>
    <s v="ROSE-HÉLÈNE DEBLOIS"/>
    <s v="GESTION FAMILLE POMERLEAU INC"/>
    <s v="6 473 322, 6 318 636"/>
    <n v="170000"/>
    <m/>
    <x v="0"/>
    <x v="8"/>
    <x v="53"/>
    <s v="rang Marigot_x000a_Saint-Apollinaire"/>
    <s v="46.602325"/>
    <s v="-71.553605"/>
    <n v="25.31"/>
    <s v="Cultures annuelles"/>
    <s v="oui"/>
    <s v="Plane"/>
    <n v="4"/>
    <s v="F"/>
    <n v="6.5"/>
    <s v="FADQ"/>
    <n v="0"/>
    <s v="infosols"/>
    <m/>
    <m/>
    <n v="18.809999999999999"/>
    <m/>
    <m/>
    <m/>
    <m/>
    <m/>
    <m/>
    <m/>
    <m/>
    <m/>
    <m/>
    <m/>
    <m/>
    <n v="429814"/>
    <m/>
    <n v="6716.7127617542474"/>
  </r>
  <r>
    <n v="28021445"/>
    <m/>
    <d v="2023-05-17T00:00:00"/>
    <s v="Ferme Berthier-sur-Mer inc"/>
    <s v="Alexandre Bélanger"/>
    <n v="6561163"/>
    <n v="60000"/>
    <m/>
    <x v="0"/>
    <x v="0"/>
    <x v="54"/>
    <s v="rue des Peupliers_x000a_Berthier-sur-Mer"/>
    <s v="46.936584"/>
    <s v="-70.726669"/>
    <n v="7.38"/>
    <s v="Cultures annuelles"/>
    <s v="oui"/>
    <s v="Plane"/>
    <n v="3"/>
    <s v="F"/>
    <n v="7.1"/>
    <s v="FADQ"/>
    <n v="0"/>
    <s v="infosols"/>
    <m/>
    <m/>
    <m/>
    <m/>
    <m/>
    <m/>
    <m/>
    <m/>
    <m/>
    <m/>
    <m/>
    <m/>
    <m/>
    <m/>
    <m/>
    <s v="216717 remisage matériaux excavation (temporaire)"/>
    <m/>
    <n v="8130.0813008130081"/>
  </r>
  <r>
    <n v="26983652"/>
    <m/>
    <d v="2022-01-31T00:00:00"/>
    <s v="Rosario Bossé"/>
    <s v="Ferme Berthier-sur-Mer inc"/>
    <n v="4794194"/>
    <n v="48000"/>
    <m/>
    <x v="0"/>
    <x v="0"/>
    <x v="54"/>
    <s v="rue Principale Est_x000a_Berthier-sur-Mer"/>
    <s v="46.929417"/>
    <s v="-70.731807"/>
    <n v="4.71"/>
    <s v="Cultures annuelles"/>
    <s v="oui"/>
    <s v="Plane"/>
    <n v="2"/>
    <s v="W"/>
    <n v="4.3"/>
    <s v="FADQ"/>
    <n v="0"/>
    <s v="infosols"/>
    <m/>
    <m/>
    <m/>
    <m/>
    <m/>
    <m/>
    <m/>
    <m/>
    <m/>
    <m/>
    <m/>
    <m/>
    <m/>
    <m/>
    <s v="Servitude de non construction, servitude d,accès à la rue Principale"/>
    <m/>
    <m/>
    <n v="10191.082802547771"/>
  </r>
  <r>
    <n v="27998917"/>
    <m/>
    <d v="2023-05-05T00:00:00"/>
    <s v="Michel CORRIVEAU"/>
    <s v="FERME MACO SENC"/>
    <s v="3 260 062, 3 260 066, 6 553 820"/>
    <n v="204500"/>
    <m/>
    <x v="0"/>
    <x v="0"/>
    <x v="55"/>
    <s v="Chemin de l'Anse_x000a_Saint-Vallier"/>
    <s v="46.879158"/>
    <s v="-70.833671"/>
    <n v="32.6"/>
    <s v="Cultures annuelles"/>
    <s v="oui"/>
    <s v="Plane"/>
    <n v="3"/>
    <s v="F"/>
    <n v="25.8"/>
    <s v="FADQ"/>
    <n v="0"/>
    <s v="infosols"/>
    <m/>
    <m/>
    <n v="5.01"/>
    <m/>
    <m/>
    <m/>
    <m/>
    <m/>
    <m/>
    <m/>
    <m/>
    <m/>
    <m/>
    <m/>
    <m/>
    <m/>
    <m/>
    <n v="6273.0061349693251"/>
  </r>
  <r>
    <n v="26792696"/>
    <m/>
    <d v="2021-11-04T00:00:00"/>
    <s v="Marcel FORTIN, Paul FORTIN"/>
    <s v="FERME DESBOISÉS INC"/>
    <n v="3259618"/>
    <n v="100000"/>
    <m/>
    <x v="0"/>
    <x v="0"/>
    <x v="56"/>
    <s v="3e rang Est_x000a_Saint-Michel-de-Bellechasse"/>
    <s v="46.854064"/>
    <s v="-70.872593"/>
    <n v="5.83"/>
    <s v="Cultures annuelles"/>
    <s v="oui"/>
    <s v="Plane"/>
    <n v="3"/>
    <s v="W"/>
    <n v="4.8"/>
    <s v="FADQ"/>
    <n v="0"/>
    <s v="infosols"/>
    <m/>
    <m/>
    <n v="0.6"/>
    <m/>
    <m/>
    <m/>
    <m/>
    <m/>
    <m/>
    <m/>
    <m/>
    <m/>
    <m/>
    <m/>
    <m/>
    <m/>
    <m/>
    <n v="17152.658662092625"/>
  </r>
  <r>
    <n v="26868217"/>
    <m/>
    <d v="2021-12-03T00:00:00"/>
    <s v="Gilles , René BILODEAU"/>
    <s v="FERME BERTHIER-SUR-MER INC"/>
    <n v="3475163"/>
    <n v="150000"/>
    <m/>
    <x v="0"/>
    <x v="0"/>
    <x v="54"/>
    <s v="Boulevard Blais Ouest_x000a_Berthier-sur-Mer"/>
    <s v="46.914629"/>
    <s v="-70.73863"/>
    <n v="12.87"/>
    <s v="Cultures annuelles"/>
    <s v="oui"/>
    <s v="Relativement plane"/>
    <n v="3"/>
    <s v="F"/>
    <n v="9.9000000000000021"/>
    <s v="FADQ"/>
    <n v="0"/>
    <s v="infosols"/>
    <m/>
    <m/>
    <m/>
    <m/>
    <m/>
    <m/>
    <m/>
    <m/>
    <m/>
    <m/>
    <m/>
    <m/>
    <m/>
    <m/>
    <m/>
    <m/>
    <m/>
    <n v="11655.011655011656"/>
  </r>
  <r>
    <n v="26940266"/>
    <m/>
    <d v="2021-12-16T00:00:00"/>
    <s v="Clément PAQUET"/>
    <s v="FERME RAYMOND DORÉ &amp; FILS INC."/>
    <s v="3 826 259"/>
    <n v="200000"/>
    <m/>
    <x v="1"/>
    <x v="15"/>
    <x v="57"/>
    <s v="la route Grand-Capsa, Pont-Rouge"/>
    <n v="46.758035"/>
    <n v="-71.652390999999994"/>
    <n v="9.5500000000000007"/>
    <s v="Cultures annuelles"/>
    <s v="Oui "/>
    <s v="Plane"/>
    <s v="-"/>
    <s v="-"/>
    <n v="8.4"/>
    <s v="FADQ"/>
    <n v="0"/>
    <s v="infosol"/>
    <s v="avoine "/>
    <m/>
    <n v="1"/>
    <n v="0.1"/>
    <m/>
    <m/>
    <m/>
    <m/>
    <m/>
    <m/>
    <m/>
    <m/>
    <m/>
    <m/>
    <m/>
    <m/>
    <m/>
    <n v="20942.408376963351"/>
  </r>
  <r>
    <n v="28150506"/>
    <m/>
    <d v="2023-05-08T00:00:00"/>
    <s v="FERME NJN INC."/>
    <s v="FERME P.H. PAQUET ET FILS INC."/>
    <s v="4 009 494"/>
    <n v="400000"/>
    <m/>
    <x v="1"/>
    <x v="15"/>
    <x v="58"/>
    <s v="rang du Brûlé"/>
    <n v="46.803697999999997"/>
    <n v="-71.733153000000001"/>
    <n v="42.85"/>
    <s v="Cultures annuelles"/>
    <s v="Oui "/>
    <s v="Plane"/>
    <s v="-"/>
    <s v="-"/>
    <n v="16.5"/>
    <s v="FADQ"/>
    <n v="0"/>
    <s v="infosol"/>
    <s v="Soya"/>
    <m/>
    <n v="25.9"/>
    <n v="0.45"/>
    <m/>
    <m/>
    <m/>
    <m/>
    <m/>
    <m/>
    <m/>
    <m/>
    <m/>
    <m/>
    <s v="Aucuen servitude"/>
    <m/>
    <m/>
    <n v="9334.8891481913652"/>
  </r>
  <r>
    <n v="28286027"/>
    <m/>
    <d v="2023-09-20T00:00:00"/>
    <s v="FERME SO-NO-MA"/>
    <s v="FERME ROCHELEAU INC. "/>
    <s v="4897047, 4896899"/>
    <n v="793540"/>
    <m/>
    <x v="1"/>
    <x v="15"/>
    <x v="59"/>
    <s v="circonscription foncière de Portneuf"/>
    <n v="46.749899999999997"/>
    <n v="-71.836926000000005"/>
    <n v="35.64"/>
    <s v="Cultures annuelles"/>
    <s v="Oui "/>
    <s v="Plane  "/>
    <m/>
    <m/>
    <n v="25"/>
    <s v="FADQ"/>
    <n v="0"/>
    <s v="infosol"/>
    <s v="avoine, soya "/>
    <m/>
    <n v="9.9"/>
    <n v="0.74"/>
    <m/>
    <m/>
    <m/>
    <m/>
    <m/>
    <m/>
    <m/>
    <m/>
    <m/>
    <m/>
    <s v="Servitude d'utilité publique"/>
    <m/>
    <m/>
    <n v="22265.432098765432"/>
  </r>
  <r>
    <s v="28 311 489"/>
    <m/>
    <d v="2023-10-03T00:00:00"/>
    <s v="FERME SO-NO-MA"/>
    <s v="FERME LECLERC ET SAVARD INC."/>
    <s v="4897049, 4897756, 4897761"/>
    <n v="253000"/>
    <m/>
    <x v="1"/>
    <x v="16"/>
    <x v="60"/>
    <s v="circonscription foncière de Portneuf."/>
    <n v="46.734631"/>
    <n v="-71.854562999999999"/>
    <n v="9.27"/>
    <s v="Cultures annuelles "/>
    <s v="oui"/>
    <s v="Plane"/>
    <m/>
    <m/>
    <n v="9.1999999999999993"/>
    <s v="FADQ"/>
    <n v="0"/>
    <s v="infosol"/>
    <s v="soya, mais-grain"/>
    <m/>
    <n v="0"/>
    <n v="7.0000000000000007E-2"/>
    <m/>
    <m/>
    <m/>
    <m/>
    <m/>
    <m/>
    <m/>
    <m/>
    <m/>
    <m/>
    <s v="Deux servitudes "/>
    <m/>
    <m/>
    <n v="27292.340884573896"/>
  </r>
  <r>
    <n v="28362115"/>
    <m/>
    <d v="2023-10-20T00:00:00"/>
    <s v="9013-2416 QUÉBEC INC."/>
    <s v="FERME GÉNO INC."/>
    <s v="3420120, 5556 868, 6384659, 6384660, 3233 110, 3420119"/>
    <n v="1000000"/>
    <m/>
    <x v="1"/>
    <x v="15"/>
    <x v="61"/>
    <s v="l’avenue Principale, Saint-Marc-des-Carrières"/>
    <n v="46.683081000000001"/>
    <n v="-72.030957000000001"/>
    <n v="67.33"/>
    <s v="Cultures annuelles"/>
    <s v="oui"/>
    <s v="Plane"/>
    <s v="-"/>
    <s v="-"/>
    <n v="50.2"/>
    <s v="FADQ"/>
    <n v="0"/>
    <s v="infosol"/>
    <s v="Mais-grain"/>
    <m/>
    <n v="13.5"/>
    <n v="3.63"/>
    <m/>
    <m/>
    <m/>
    <m/>
    <m/>
    <m/>
    <m/>
    <m/>
    <m/>
    <m/>
    <s v="Lot enclavé, servitude de passage"/>
    <m/>
    <m/>
    <n v="14852.220406950839"/>
  </r>
  <r>
    <n v="28461500"/>
    <m/>
    <d v="2023-12-19T00:00:00"/>
    <s v="ÉRIC JOBIN"/>
    <s v="FERME RIVE-BLANCHE INC."/>
    <n v="6599152"/>
    <n v="50000"/>
    <m/>
    <x v="1"/>
    <x v="16"/>
    <x v="50"/>
    <s v="le Rang Rivière Blanche_x000a_Est"/>
    <n v="46.721738999999999"/>
    <n v="-72.135484000000005"/>
    <n v="2.11"/>
    <s v="Cultures annuelles"/>
    <s v="Oui "/>
    <s v="Plane"/>
    <s v="-"/>
    <s v="-"/>
    <n v="2"/>
    <s v="FADQ"/>
    <n v="0"/>
    <s v="infosol"/>
    <m/>
    <m/>
    <n v="0"/>
    <n v="0.1"/>
    <m/>
    <m/>
    <m/>
    <m/>
    <m/>
    <m/>
    <m/>
    <m/>
    <m/>
    <m/>
    <m/>
    <m/>
    <m/>
    <n v="23696.682464454978"/>
  </r>
  <r>
    <n v="25184865"/>
    <m/>
    <d v="2020-01-29T00:00:00"/>
    <s v="FERME BOIS-DU-MERLE S.E.N.C. (Marcel et Martin Juneau)"/>
    <s v="FERME RAINIER ET ASSOCIÉS S.E.N.C (Christian et Mario Germain)"/>
    <n v="4175461"/>
    <n v="500000"/>
    <m/>
    <x v="6"/>
    <x v="14"/>
    <x v="47"/>
    <s v="Sainte-Anne de la Pérade"/>
    <s v="46.564578"/>
    <s v="-72.241371"/>
    <n v="27.69"/>
    <s v="Cultures annuelles"/>
    <s v="Oui "/>
    <s v="Plane"/>
    <n v="3"/>
    <s v="W"/>
    <n v="26.200000000000003"/>
    <s v="FADQ"/>
    <m/>
    <m/>
    <m/>
    <m/>
    <m/>
    <m/>
    <m/>
    <m/>
    <m/>
    <m/>
    <m/>
    <m/>
    <m/>
    <m/>
    <m/>
    <m/>
    <m/>
    <m/>
    <m/>
    <n v="18057.060310581437"/>
  </r>
  <r>
    <n v="25184870"/>
    <m/>
    <d v="2020-01-29T00:00:00"/>
    <s v="Sylvain TESSIER"/>
    <s v="Hughes LEBOEUF"/>
    <s v="4 175 797, 4 176 629"/>
    <n v="150000"/>
    <m/>
    <x v="6"/>
    <x v="14"/>
    <x v="47"/>
    <s v="Sainte-Anne de la Pérade"/>
    <s v="46.626915"/>
    <s v="-72.228613"/>
    <n v="16.850000000000001"/>
    <m/>
    <s v="Oui "/>
    <s v="Plane"/>
    <n v="3"/>
    <s v="W"/>
    <n v="10.8"/>
    <s v="FADQ"/>
    <m/>
    <m/>
    <m/>
    <m/>
    <n v="5.7"/>
    <m/>
    <m/>
    <m/>
    <m/>
    <m/>
    <m/>
    <m/>
    <m/>
    <m/>
    <m/>
    <m/>
    <s v="3,5 ha potentiel acéricole"/>
    <m/>
    <m/>
    <n v="8902.0771513353102"/>
  </r>
  <r>
    <n v="25934008"/>
    <m/>
    <d v="2020-10-02T00:00:00"/>
    <s v="LES GRAINS DE LA MAURICIE INC (Roger GAUTHIER, Jacqueline HÉBERT)"/>
    <s v="Vincent COULOMBE"/>
    <s v="4 175 743, 4 175 753, 4 306 126, 5 618 790, 5 618 345, 5 618 903, 5 619 121"/>
    <n v="1070000"/>
    <m/>
    <x v="6"/>
    <x v="14"/>
    <x v="51"/>
    <s v="Rang Sainte-_x000a_Elisabeth_x000a_Saint-Prosper-de-Champlain"/>
    <s v="46.621800"/>
    <s v="-72.249023"/>
    <n v="71.73"/>
    <m/>
    <s v="Oui "/>
    <s v="Plane"/>
    <n v="2"/>
    <s v="W"/>
    <n v="54.94"/>
    <s v="FADQ"/>
    <m/>
    <m/>
    <m/>
    <m/>
    <n v="12.1"/>
    <m/>
    <m/>
    <m/>
    <m/>
    <m/>
    <m/>
    <m/>
    <m/>
    <m/>
    <m/>
    <m/>
    <m/>
    <s v="312771 (morcellement de ferme)"/>
    <m/>
    <n v="14917.050048794088"/>
  </r>
  <r>
    <n v="27103157"/>
    <m/>
    <d v="2021-12-22T00:00:00"/>
    <s v="LOUISETTE PARADIS"/>
    <s v="FERME J.P. CÔTÉ &amp; FILS INC (Janie Côté)"/>
    <s v="5 004 434, 5 004 436, 3 055 746"/>
    <n v="400000"/>
    <m/>
    <x v="1"/>
    <x v="17"/>
    <x v="62"/>
    <s v="ch du Petit Village Nord_x000a_Saint-Augustin-de-Desmaures"/>
    <s v="46.737014"/>
    <s v="-71.529517"/>
    <n v="19.54"/>
    <m/>
    <s v="Oui "/>
    <s v="Plane"/>
    <s v="3 et 4"/>
    <s v="W"/>
    <n v="17.8"/>
    <s v="FADQ"/>
    <n v="0"/>
    <m/>
    <m/>
    <m/>
    <n v="0.3"/>
    <m/>
    <m/>
    <m/>
    <m/>
    <m/>
    <m/>
    <m/>
    <m/>
    <m/>
    <m/>
    <m/>
    <s v="Servitude de passage. Grange utilisée par le vendeur (entente publiée)"/>
    <m/>
    <m/>
    <n v="20470.829068577277"/>
  </r>
  <r>
    <n v="28079281"/>
    <m/>
    <d v="2023-06-09T00:00:00"/>
    <s v="Jocelyn GILBERT"/>
    <s v="FERME GIRCO ENR (Marc GIRARD,_x000a_Anthony GIRARD et Solange CÔTÉ)"/>
    <s v="6 547 224, 6 547 226, 6 547 226, 3 055 751"/>
    <n v="280000"/>
    <m/>
    <x v="1"/>
    <x v="17"/>
    <x v="62"/>
    <s v="Saint-Augustin-de-Desmaures"/>
    <s v="46.738464"/>
    <s v="-71.525287"/>
    <n v="12.184740000000001"/>
    <m/>
    <s v="Oui "/>
    <s v="Plane"/>
    <s v="3 et 4"/>
    <s v="W"/>
    <n v="10.85"/>
    <s v="FADQ"/>
    <n v="0"/>
    <m/>
    <m/>
    <m/>
    <m/>
    <m/>
    <m/>
    <m/>
    <m/>
    <m/>
    <m/>
    <m/>
    <m/>
    <m/>
    <m/>
    <m/>
    <m/>
    <m/>
    <m/>
    <n v="22979.562961540414"/>
  </r>
  <r>
    <n v="27920210"/>
    <m/>
    <d v="2023-03-22T00:00:00"/>
    <s v="OMER GINGRAS &amp; FILS INC (Pierre GINGRAS)"/>
    <s v="4 TERRES INC (Denis_x000a_LAFRENIÈRE et Jérôme DENIS)"/>
    <n v="2814312"/>
    <n v="1900000"/>
    <m/>
    <x v="1"/>
    <x v="17"/>
    <x v="62"/>
    <s v="chemin de la Butte_x000a_Saint-Augustin-de-Desmaures"/>
    <s v="46.745785"/>
    <s v="-71.421006"/>
    <n v="47.12"/>
    <m/>
    <s v="Oui "/>
    <s v="Plane"/>
    <n v="2"/>
    <s v="X"/>
    <n v="25.1"/>
    <s v="Mesures Démeter"/>
    <n v="0"/>
    <m/>
    <m/>
    <m/>
    <n v="22.019999999999996"/>
    <m/>
    <m/>
    <m/>
    <m/>
    <m/>
    <m/>
    <m/>
    <m/>
    <m/>
    <m/>
    <m/>
    <m/>
    <s v="416895 (autorisaiton morcellement)"/>
    <m/>
    <n v="40322.580645161295"/>
  </r>
  <r>
    <n v="26942199"/>
    <m/>
    <d v="2022-01-12T00:00:00"/>
    <s v="Céline CÔTÉ"/>
    <s v="La FERME BENICO (Carl_x000a_CÔTÉ)"/>
    <s v="3 202 773, 3 056 339, 3 202 774"/>
    <n v="155000"/>
    <m/>
    <x v="1"/>
    <x v="17"/>
    <x v="62"/>
    <s v="rang des Mines_x000a_Saint-Augustin-de-Desmaures"/>
    <s v="46.767268"/>
    <s v="-71.478504"/>
    <n v="9.3500000000000014"/>
    <m/>
    <s v="Oui "/>
    <s v="Plane"/>
    <n v="2"/>
    <s v="W"/>
    <n v="8"/>
    <s v="FADQ"/>
    <n v="0"/>
    <m/>
    <m/>
    <m/>
    <m/>
    <m/>
    <m/>
    <m/>
    <m/>
    <m/>
    <m/>
    <m/>
    <m/>
    <m/>
    <m/>
    <m/>
    <m/>
    <m/>
    <m/>
    <n v="16577.54010695187"/>
  </r>
  <r>
    <m/>
    <m/>
    <m/>
    <m/>
    <m/>
    <m/>
    <m/>
    <m/>
    <x v="5"/>
    <x v="12"/>
    <x v="43"/>
    <m/>
    <m/>
    <m/>
    <m/>
    <m/>
    <m/>
    <m/>
    <m/>
    <m/>
    <m/>
    <m/>
    <m/>
    <m/>
    <m/>
    <m/>
    <m/>
    <m/>
    <m/>
    <m/>
    <m/>
    <m/>
    <m/>
    <m/>
    <m/>
    <m/>
    <m/>
    <m/>
    <m/>
    <m/>
    <m/>
    <e v="#DIV/0!"/>
  </r>
  <r>
    <m/>
    <m/>
    <m/>
    <m/>
    <m/>
    <m/>
    <m/>
    <m/>
    <x v="5"/>
    <x v="12"/>
    <x v="43"/>
    <m/>
    <m/>
    <m/>
    <m/>
    <m/>
    <m/>
    <m/>
    <m/>
    <m/>
    <m/>
    <m/>
    <m/>
    <m/>
    <m/>
    <m/>
    <m/>
    <m/>
    <m/>
    <m/>
    <m/>
    <m/>
    <m/>
    <m/>
    <m/>
    <m/>
    <m/>
    <m/>
    <m/>
    <m/>
    <m/>
    <e v="#DIV/0!"/>
  </r>
  <r>
    <m/>
    <m/>
    <m/>
    <m/>
    <m/>
    <m/>
    <m/>
    <m/>
    <x v="5"/>
    <x v="12"/>
    <x v="43"/>
    <m/>
    <m/>
    <m/>
    <m/>
    <m/>
    <m/>
    <m/>
    <m/>
    <m/>
    <m/>
    <m/>
    <m/>
    <m/>
    <m/>
    <m/>
    <m/>
    <m/>
    <m/>
    <m/>
    <m/>
    <m/>
    <m/>
    <m/>
    <m/>
    <m/>
    <m/>
    <m/>
    <m/>
    <m/>
    <m/>
    <e v="#DIV/0!"/>
  </r>
  <r>
    <m/>
    <m/>
    <m/>
    <m/>
    <m/>
    <m/>
    <m/>
    <m/>
    <x v="5"/>
    <x v="12"/>
    <x v="43"/>
    <m/>
    <m/>
    <m/>
    <m/>
    <m/>
    <m/>
    <m/>
    <m/>
    <m/>
    <m/>
    <m/>
    <m/>
    <m/>
    <m/>
    <m/>
    <m/>
    <m/>
    <m/>
    <m/>
    <m/>
    <m/>
    <m/>
    <m/>
    <m/>
    <m/>
    <m/>
    <m/>
    <m/>
    <m/>
    <m/>
    <e v="#DIV/0!"/>
  </r>
  <r>
    <m/>
    <m/>
    <m/>
    <m/>
    <m/>
    <m/>
    <m/>
    <m/>
    <x v="5"/>
    <x v="12"/>
    <x v="43"/>
    <m/>
    <m/>
    <m/>
    <m/>
    <m/>
    <m/>
    <m/>
    <m/>
    <m/>
    <m/>
    <m/>
    <m/>
    <m/>
    <m/>
    <m/>
    <m/>
    <m/>
    <m/>
    <m/>
    <m/>
    <m/>
    <m/>
    <m/>
    <m/>
    <m/>
    <m/>
    <m/>
    <m/>
    <m/>
    <m/>
    <e v="#DIV/0!"/>
  </r>
  <r>
    <m/>
    <m/>
    <m/>
    <m/>
    <m/>
    <m/>
    <m/>
    <m/>
    <x v="5"/>
    <x v="12"/>
    <x v="43"/>
    <m/>
    <m/>
    <m/>
    <m/>
    <m/>
    <m/>
    <m/>
    <m/>
    <m/>
    <m/>
    <m/>
    <m/>
    <m/>
    <m/>
    <m/>
    <m/>
    <m/>
    <m/>
    <m/>
    <m/>
    <m/>
    <m/>
    <m/>
    <m/>
    <m/>
    <m/>
    <m/>
    <m/>
    <m/>
    <m/>
    <e v="#DIV/0!"/>
  </r>
  <r>
    <m/>
    <m/>
    <m/>
    <m/>
    <m/>
    <m/>
    <m/>
    <m/>
    <x v="5"/>
    <x v="12"/>
    <x v="43"/>
    <m/>
    <m/>
    <m/>
    <m/>
    <m/>
    <m/>
    <m/>
    <m/>
    <m/>
    <m/>
    <m/>
    <m/>
    <m/>
    <m/>
    <m/>
    <m/>
    <m/>
    <m/>
    <m/>
    <m/>
    <m/>
    <m/>
    <m/>
    <m/>
    <m/>
    <m/>
    <m/>
    <m/>
    <m/>
    <m/>
    <e v="#DIV/0!"/>
  </r>
  <r>
    <m/>
    <m/>
    <m/>
    <m/>
    <m/>
    <m/>
    <m/>
    <m/>
    <x v="5"/>
    <x v="12"/>
    <x v="43"/>
    <m/>
    <m/>
    <m/>
    <m/>
    <m/>
    <m/>
    <m/>
    <m/>
    <m/>
    <m/>
    <m/>
    <m/>
    <m/>
    <m/>
    <m/>
    <m/>
    <m/>
    <m/>
    <m/>
    <m/>
    <m/>
    <m/>
    <m/>
    <m/>
    <m/>
    <m/>
    <m/>
    <m/>
    <m/>
    <m/>
    <e v="#DIV/0!"/>
  </r>
  <r>
    <m/>
    <m/>
    <m/>
    <m/>
    <m/>
    <m/>
    <m/>
    <m/>
    <x v="5"/>
    <x v="12"/>
    <x v="43"/>
    <m/>
    <m/>
    <m/>
    <m/>
    <m/>
    <m/>
    <m/>
    <m/>
    <m/>
    <m/>
    <m/>
    <m/>
    <m/>
    <m/>
    <m/>
    <m/>
    <m/>
    <m/>
    <m/>
    <m/>
    <m/>
    <m/>
    <m/>
    <m/>
    <m/>
    <m/>
    <m/>
    <m/>
    <m/>
    <m/>
    <e v="#DIV/0!"/>
  </r>
  <r>
    <m/>
    <m/>
    <m/>
    <m/>
    <m/>
    <m/>
    <m/>
    <m/>
    <x v="5"/>
    <x v="12"/>
    <x v="43"/>
    <m/>
    <m/>
    <m/>
    <m/>
    <m/>
    <m/>
    <m/>
    <m/>
    <m/>
    <m/>
    <m/>
    <m/>
    <m/>
    <m/>
    <m/>
    <m/>
    <m/>
    <m/>
    <m/>
    <m/>
    <m/>
    <m/>
    <m/>
    <m/>
    <m/>
    <m/>
    <m/>
    <m/>
    <m/>
    <m/>
    <e v="#DIV/0!"/>
  </r>
  <r>
    <m/>
    <m/>
    <m/>
    <m/>
    <m/>
    <m/>
    <m/>
    <m/>
    <x v="5"/>
    <x v="12"/>
    <x v="43"/>
    <m/>
    <m/>
    <m/>
    <m/>
    <m/>
    <m/>
    <m/>
    <m/>
    <m/>
    <m/>
    <m/>
    <m/>
    <m/>
    <m/>
    <m/>
    <m/>
    <m/>
    <m/>
    <m/>
    <m/>
    <m/>
    <m/>
    <m/>
    <m/>
    <m/>
    <m/>
    <m/>
    <m/>
    <m/>
    <m/>
    <e v="#DIV/0!"/>
  </r>
  <r>
    <m/>
    <m/>
    <m/>
    <m/>
    <m/>
    <m/>
    <m/>
    <m/>
    <x v="5"/>
    <x v="12"/>
    <x v="43"/>
    <m/>
    <m/>
    <m/>
    <m/>
    <m/>
    <m/>
    <m/>
    <m/>
    <m/>
    <m/>
    <m/>
    <m/>
    <m/>
    <m/>
    <m/>
    <m/>
    <m/>
    <m/>
    <m/>
    <m/>
    <m/>
    <m/>
    <m/>
    <m/>
    <m/>
    <m/>
    <m/>
    <m/>
    <m/>
    <m/>
    <e v="#DIV/0!"/>
  </r>
  <r>
    <m/>
    <m/>
    <m/>
    <m/>
    <m/>
    <m/>
    <m/>
    <m/>
    <x v="5"/>
    <x v="12"/>
    <x v="43"/>
    <m/>
    <m/>
    <m/>
    <m/>
    <m/>
    <m/>
    <m/>
    <m/>
    <m/>
    <m/>
    <m/>
    <m/>
    <m/>
    <m/>
    <m/>
    <m/>
    <m/>
    <m/>
    <m/>
    <m/>
    <m/>
    <m/>
    <m/>
    <m/>
    <m/>
    <m/>
    <m/>
    <m/>
    <m/>
    <m/>
    <e v="#DIV/0!"/>
  </r>
  <r>
    <m/>
    <m/>
    <m/>
    <m/>
    <m/>
    <m/>
    <m/>
    <m/>
    <x v="5"/>
    <x v="12"/>
    <x v="43"/>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B55784-6496-4420-9642-25BE19169551}" name="Tableau croisé dynamique1" cacheId="0" applyNumberFormats="0" applyBorderFormats="0" applyFontFormats="0" applyPatternFormats="0" applyAlignmentFormats="0" applyWidthHeightFormats="1" dataCaption="Valeurs" updatedVersion="8" minRefreshableVersion="3" useAutoFormatting="1" itemPrintTitles="1" createdVersion="8" indent="0" compact="0" compactData="0" multipleFieldFilters="0">
  <location ref="A3:B9" firstHeaderRow="1" firstDataRow="1" firstDataCol="2" rowPageCount="1" colPageCount="1"/>
  <pivotFields count="42">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9">
        <item h="1" x="2"/>
        <item h="1" x="7"/>
        <item h="1" x="1"/>
        <item h="1" x="4"/>
        <item h="1" x="0"/>
        <item x="6"/>
        <item h="1" x="3"/>
        <item h="1" x="5"/>
        <item t="default"/>
      </items>
    </pivotField>
    <pivotField axis="axisRow" compact="0" outline="0" showAll="0">
      <items count="19">
        <item x="0"/>
        <item x="1"/>
        <item x="2"/>
        <item x="3"/>
        <item x="4"/>
        <item x="5"/>
        <item x="6"/>
        <item x="14"/>
        <item x="7"/>
        <item x="8"/>
        <item x="9"/>
        <item x="10"/>
        <item x="13"/>
        <item x="15"/>
        <item x="16"/>
        <item x="17"/>
        <item x="11"/>
        <item x="12"/>
        <item t="default"/>
      </items>
    </pivotField>
    <pivotField axis="axisRow" compact="0" outline="0" showAll="0">
      <items count="64">
        <item x="30"/>
        <item x="2"/>
        <item x="52"/>
        <item x="38"/>
        <item x="0"/>
        <item x="54"/>
        <item x="48"/>
        <item x="37"/>
        <item x="4"/>
        <item x="33"/>
        <item x="1"/>
        <item x="3"/>
        <item x="25"/>
        <item x="24"/>
        <item x="31"/>
        <item x="57"/>
        <item x="58"/>
        <item x="60"/>
        <item x="40"/>
        <item x="14"/>
        <item x="53"/>
        <item x="62"/>
        <item x="59"/>
        <item x="13"/>
        <item x="41"/>
        <item x="42"/>
        <item x="15"/>
        <item x="8"/>
        <item x="47"/>
        <item x="21"/>
        <item x="22"/>
        <item x="23"/>
        <item x="19"/>
        <item x="20"/>
        <item x="49"/>
        <item x="9"/>
        <item x="44"/>
        <item x="26"/>
        <item x="34"/>
        <item x="12"/>
        <item x="45"/>
        <item x="17"/>
        <item x="39"/>
        <item x="5"/>
        <item x="46"/>
        <item x="18"/>
        <item x="7"/>
        <item x="16"/>
        <item x="36"/>
        <item x="61"/>
        <item x="56"/>
        <item x="35"/>
        <item x="11"/>
        <item x="51"/>
        <item x="6"/>
        <item x="50"/>
        <item x="55"/>
        <item x="32"/>
        <item x="10"/>
        <item x="29"/>
        <item x="27"/>
        <item x="28"/>
        <item x="4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9"/>
    <field x="10"/>
  </rowFields>
  <rowItems count="6">
    <i>
      <x v="7"/>
      <x v="2"/>
    </i>
    <i r="1">
      <x v="28"/>
    </i>
    <i r="1">
      <x v="34"/>
    </i>
    <i r="1">
      <x v="53"/>
    </i>
    <i t="default">
      <x v="7"/>
    </i>
    <i t="grand">
      <x/>
    </i>
  </rowItems>
  <colItems count="1">
    <i/>
  </colItems>
  <pageFields count="1">
    <pageField fld="8" item="5"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4A59B5F-A03E-2E4B-9BDC-E0628A42B716}" name="Table2" displayName="Table2" ref="A1:AI1084" totalsRowShown="0" headerRowDxfId="177" dataDxfId="176">
  <autoFilter ref="A1:AI1084" xr:uid="{24A59B5F-A03E-2E4B-9BDC-E0628A42B716}"/>
  <sortState xmlns:xlrd2="http://schemas.microsoft.com/office/spreadsheetml/2017/richdata2" ref="A2:AI914">
    <sortCondition ref="C1:C914"/>
  </sortState>
  <tableColumns count="35">
    <tableColumn id="2" xr3:uid="{093AE47F-6575-6941-A320-F7EFA7BC3634}" name="No d'enr." dataDxfId="175"/>
    <tableColumn id="3" xr3:uid="{30E29818-612A-7849-86A6-3C8F9F14DA85}" name="SIA" dataDxfId="174"/>
    <tableColumn id="4" xr3:uid="{7DB3D55D-D4FA-9449-9872-BDB3F3BEE559}" name="Date de l'acte ou de l'avant contrat" dataDxfId="173"/>
    <tableColumn id="5" xr3:uid="{AB1ED34C-37F1-974C-97A9-F512147FAEA5}" name="Vendeur" dataDxfId="172"/>
    <tableColumn id="6" xr3:uid="{B21535AC-B38F-5944-BB0C-925772BF5A6C}" name="Acheteur" dataDxfId="171"/>
    <tableColumn id="7" xr3:uid="{1EE7E4B2-25D7-B44D-96F3-F9BF10754BA7}" name="Lots" dataDxfId="170"/>
    <tableColumn id="8" xr3:uid="{CF486961-A01D-6944-B7DB-66215903169B}" name="Prix de vente ($)" dataDxfId="169"/>
    <tableColumn id="9" xr3:uid="{DBA072C7-7A70-D148-9B1F-01AC88777B4B}" name="Prix de vente redressé au temps ($)" dataDxfId="168"/>
    <tableColumn id="10" xr3:uid="{0F00E592-1596-2E44-8804-C0E1CB2B7162}" name="MRC" dataDxfId="167"/>
    <tableColumn id="11" xr3:uid="{1E08E1B6-5E07-A140-9D78-49A7364C1C8A}" name="Ville/Municipalité" dataDxfId="166"/>
    <tableColumn id="12" xr3:uid="{111EA6D2-B48E-CF4E-BAB9-4FBC66B4691B}" name="Adresse complète" dataDxfId="165"/>
    <tableColumn id="13" xr3:uid="{AF274B67-331C-4141-8456-637E71DA2EAC}" name="Latitude" dataDxfId="164"/>
    <tableColumn id="14" xr3:uid="{5F5A8C76-CD40-8B4E-833A-3CA59DAD713E}" name="Longitude" dataDxfId="163"/>
    <tableColumn id="15" xr3:uid="{A8AFE66D-9448-CC48-ABBE-5864B0EE3836}" name="Superficie totale (ha)" dataDxfId="162"/>
    <tableColumn id="17" xr3:uid="{4D30C95C-B470-234A-838F-CD65A8E57EAB}" name="Zone agricole (CPTAQ)" dataDxfId="161"/>
    <tableColumn id="18" xr3:uid="{6BFB9C71-8958-B74C-BBB5-393FC537ECB1}" name="Topographie" dataDxfId="160"/>
    <tableColumn id="21" xr3:uid="{E374A179-F0D4-2148-BF71-B9551D6EA9C9}" name="Superficie boisée (ha)" dataDxfId="159"/>
    <tableColumn id="22" xr3:uid="{4FB201CF-D072-3F4F-9994-86145AA0B5BE}" name="Superficie cultivée (ha)" dataDxfId="158"/>
    <tableColumn id="24" xr3:uid="{51087702-C5EB-AA41-98B0-9939B5750137}" name="Feuillus/Résineux" dataDxfId="157"/>
    <tableColumn id="25" xr3:uid="{8C9209F3-3A37-6E40-9FD1-4F9628A41C66}" name="Proportion feuillus" dataDxfId="156"/>
    <tableColumn id="26" xr3:uid="{A427042A-D811-6C41-A5D1-B072484ED924}" name="Proporition résineux" dataDxfId="155"/>
    <tableColumn id="27" xr3:uid="{172D4125-125D-E744-9408-4DA7B0E3DDE3}" name="Densité plantation" dataDxfId="154"/>
    <tableColumn id="41" xr3:uid="{4B55C53D-E3F1-4FE6-B7AF-8C783BB442B9}" name="Zones humides (ha)" dataDxfId="153"/>
    <tableColumn id="40" xr3:uid="{B4227B04-830A-4A13-B6A7-A8C675A88CE8}" name="Zones humides types)" dataDxfId="152"/>
    <tableColumn id="29" xr3:uid="{6A340931-A3FB-A345-873E-5422D86B321B}" name="Bâtiments agricoles" dataDxfId="151"/>
    <tableColumn id="30" xr3:uid="{3BAF9669-C757-694F-81D4-82D75050C5BC}" name="Valeur contributive bâtiments agricoles ($)" dataDxfId="150"/>
    <tableColumn id="31" xr3:uid="{B624CADA-9F04-CE4B-AB74-8560A4986B92}" name="Source valeur constributive bâtiments agricoles" dataDxfId="149"/>
    <tableColumn id="39" xr3:uid="{035C8AD3-1A67-41E3-A45F-5EF849490924}" name="Équipements"/>
    <tableColumn id="32" xr3:uid="{7613D406-515A-8D4A-AA6F-59ED49FE5BA6}" name="Superficie acéricole (ha)" dataDxfId="148"/>
    <tableColumn id="33" xr3:uid="{378B909A-81BD-664D-B8DC-CA6723E9F033}" name="Nombre d'entailles" dataDxfId="147"/>
    <tableColumn id="34" xr3:uid="{384EB7DD-0363-024B-84A5-A6EC98ABCD90}" name="Contingent acéricole (Livres)" dataDxfId="146"/>
    <tableColumn id="35" xr3:uid="{5C8843E9-A8C7-0546-B767-A8A96FD8B866}" name="Observations" dataDxfId="145"/>
    <tableColumn id="36" xr3:uid="{BA8DF41D-F5F9-C541-84BF-FC4249266C29}" name="Décisions CPTAQ" dataDxfId="144"/>
    <tableColumn id="37" xr3:uid="{9182B6AF-4045-174C-9958-B90F49352466}" name="Taux unitaire global ($/ha)" dataDxfId="143"/>
    <tableColumn id="38" xr3:uid="{73D4F936-4E6B-9845-BF5A-D94508111929}" name="$/entaille" dataDxfId="142"/>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BCB9D5D-DCB5-134B-ADDE-0CE3159152B6}" name="Table3" displayName="Table3" ref="A1:AM872" totalsRowShown="0" headerRowDxfId="141" dataDxfId="140" tableBorderDxfId="139">
  <autoFilter ref="A1:AM872" xr:uid="{CBCB9D5D-DCB5-134B-ADDE-0CE3159152B6}">
    <filterColumn colId="13">
      <filters blank="1">
        <filter val="10.09"/>
        <filter val="4.18"/>
        <filter val="4.28"/>
        <filter val="6.55"/>
      </filters>
    </filterColumn>
  </autoFilter>
  <sortState xmlns:xlrd2="http://schemas.microsoft.com/office/spreadsheetml/2017/richdata2" ref="A10:AM872">
    <sortCondition ref="C1:C872"/>
  </sortState>
  <tableColumns count="39">
    <tableColumn id="1" xr3:uid="{C2C570F5-79E0-D04A-8C77-ED184786FEA6}" name="No d'enr." dataDxfId="138"/>
    <tableColumn id="2" xr3:uid="{6F50B86B-01E3-794D-8BCD-22400B6CE497}" name="SIA" dataDxfId="137"/>
    <tableColumn id="3" xr3:uid="{90D31A09-BB39-4243-8517-4D0B8769FBD6}" name="Date de l'acte ou de l'avant contrat" dataDxfId="136"/>
    <tableColumn id="4" xr3:uid="{993956D9-AD2D-B440-82D5-8636196EA536}" name="Vendeur" dataDxfId="135"/>
    <tableColumn id="5" xr3:uid="{BACAD755-4818-BC42-BCAC-E6FC64B822BD}" name="Acheteur" dataDxfId="134"/>
    <tableColumn id="6" xr3:uid="{2F5CEB99-04F1-184A-86E9-9F2698B57E3D}" name="Lots" dataDxfId="133"/>
    <tableColumn id="7" xr3:uid="{33233189-2FAA-2A47-8655-A3AF024D81A5}" name="Prixdevente($)" dataDxfId="132"/>
    <tableColumn id="8" xr3:uid="{E65DF60E-FD7C-9E49-A278-581B6A8478CE}" name="Prix de vente redressé au temps ($)" dataDxfId="131"/>
    <tableColumn id="10" xr3:uid="{DA564068-FF4F-7E40-9280-6D307B75D001}" name="MRC" dataDxfId="130"/>
    <tableColumn id="11" xr3:uid="{0A61B70A-3084-6A4F-9310-1A306EBBE609}" name="Ville/Municipalité" dataDxfId="129"/>
    <tableColumn id="12" xr3:uid="{6FA049E7-69FF-5D43-B6E6-4A9B2BF03C98}" name="Adresse complète" dataDxfId="128"/>
    <tableColumn id="13" xr3:uid="{AACD4E67-E30C-7C43-934C-304C77814607}" name="Latitude" dataDxfId="127"/>
    <tableColumn id="14" xr3:uid="{8B04F706-59CA-0C4A-9CDC-26B0DF0A65FB}" name="Longitude" dataDxfId="126"/>
    <tableColumn id="15" xr3:uid="{E85C4064-10F2-894E-9118-ECAA92588C38}" name="Superficie totale (ha)" dataDxfId="125"/>
    <tableColumn id="17" xr3:uid="{0087BB72-5D3D-7D47-8A38-71B90DF4DCA3}" name="Zone agricole (CPTAQ)" dataDxfId="124"/>
    <tableColumn id="18" xr3:uid="{13C8F35A-1044-EE4F-82A4-51D815A9A59F}" name="Topographie" dataDxfId="123"/>
    <tableColumn id="19" xr3:uid="{074347C3-A719-7B44-B379-2F295E48FD34}" name="Classe de sol dominante" dataDxfId="122"/>
    <tableColumn id="20" xr3:uid="{A5017B5D-E59A-3A44-9522-D3F6B7A95DBE}" name="Sous-classe dominante" dataDxfId="121"/>
    <tableColumn id="21" xr3:uid="{E536CF5B-B673-7A40-A00C-9EAC6A21A2FF}" name="Superficie cultivée (ha)" dataDxfId="120"/>
    <tableColumn id="22" xr3:uid="{9A091997-81FF-1E4F-A500-4DD6C913EC38}" name="Source superficie cultivée" dataDxfId="119"/>
    <tableColumn id="23" xr3:uid="{E3D67B36-9DB6-F346-B345-55386B4934D6}" name="Superficie drainée (ha)" dataDxfId="118"/>
    <tableColumn id="24" xr3:uid="{809EB8A4-4E85-0946-AC91-29B8A3B92FA8}" name="Source superficie drainée" dataDxfId="117"/>
    <tableColumn id="47" xr3:uid="{2EB5899C-696E-4AD1-BC3E-3075AB4471C7}" name="Type de sol"/>
    <tableColumn id="25" xr3:uid="{1CD07461-04D4-D146-88C3-B0CA710C3476}" name="Type de culture" dataDxfId="116"/>
    <tableColumn id="27" xr3:uid="{8B5B20E1-BAA5-2542-941D-77B5A1140F52}" name="Superficie boisée (ha)" dataDxfId="115"/>
    <tableColumn id="39" xr3:uid="{78BDF278-0432-4469-A35A-E3B507F54DCE}" name="Superficie plantation" dataDxfId="114"/>
    <tableColumn id="29" xr3:uid="{B1CD8B4D-385F-044B-9E7E-4A979BC4C4E0}" name="Superficie terrain résidentiel (m²)" dataDxfId="113"/>
    <tableColumn id="30" xr3:uid="{1DF9702E-8C5E-5F4C-B4AB-6995EF86CAB9}" name="Droit acquis" dataDxfId="112"/>
    <tableColumn id="31" xr3:uid="{910D30BB-F330-7B41-934D-6B65EA229410}" name="Maison(s)" dataDxfId="111"/>
    <tableColumn id="32" xr3:uid="{DEBD8327-AA1F-EC43-9DB2-63A7362CAFBF}" name="Valeur contributive maison(s) + terrain ($)" dataDxfId="110"/>
    <tableColumn id="33" xr3:uid="{6EF88C1D-7EFF-4746-928A-0C467169D236}" name="Source valeur constributive maison(s) + terrain ($)" dataDxfId="109"/>
    <tableColumn id="34" xr3:uid="{601F6C6C-AB6F-A24D-B9AA-0145E6A2BBD1}" name="Bâtiments agricoles" dataDxfId="108"/>
    <tableColumn id="35" xr3:uid="{826F1F20-3798-534F-9FCD-23822D7576EA}" name="Valeur contributive bâtiments agricoles ($)" dataDxfId="107"/>
    <tableColumn id="36" xr3:uid="{5237B44F-EF81-B147-B8C6-741FD0B6437A}" name="Source valeur constributive bâtiments agricoles" dataDxfId="106"/>
    <tableColumn id="37" xr3:uid="{CAA469E3-750D-0F4F-8475-A2CA6B6DD33F}" name="Autres inclusions" dataDxfId="105"/>
    <tableColumn id="38" xr3:uid="{B25FA143-6E32-424F-94D1-1B8D92AE43BF}" name="Valeur autres inclusions ($)" dataDxfId="104"/>
    <tableColumn id="40" xr3:uid="{0A1B848A-D207-40DC-BBD0-26B53F4F5B7A}" name="Observations" dataDxfId="103"/>
    <tableColumn id="41" xr3:uid="{71B6C952-6B4A-48AA-B316-C61A156E766E}" name="Décisions CPTAQ" dataDxfId="102"/>
    <tableColumn id="43" xr3:uid="{479D5516-E609-475C-937C-82D892005987}" name="Taux unitaire global ($/ha)" dataDxfId="101">
      <calculatedColumnFormula>G2/N2</calculatedColumnFormula>
    </tableColumn>
  </tableColumns>
  <tableStyleInfo name="TableStyleLight1" showFirstColumn="0" showLastColumn="0" showRowStripes="1" showColumnStripes="0"/>
</table>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s://www.registrefoncier.gouv.qc.ca/SIRF/Script/13_01_00/pf_13_01_afich_docmn.asp?NOM_CONTX=D_FICHE_IMOBL&amp;VA_IDENT_AFICH=NULL&amp;NO_SEQNT_LOT=109497312&amp;CD_CATGR_PRODT_SERVC=CON01&amp;NO_SEQNT_GROUP_REQT_CLIEN=NULL&amp;NO_SEQNT_REQT_CLIEN=NULL&amp;IN_ORDRE_AFICH=C&amp;IN_CERTF_NON_CERTF=N&amp;DT_DEBUT=NULL&amp;CD_MODLT_CONSL=NULL&amp;NO_SEQNT_LOT_HISTR_CADST=NULL&amp;NO_BLOC=1"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A0726-F714-42BA-B883-AE7E94DD27F0}">
  <sheetPr>
    <tabColor theme="3"/>
    <outlinePr summaryBelow="0" summaryRight="0"/>
  </sheetPr>
  <dimension ref="A1:AR1087"/>
  <sheetViews>
    <sheetView tabSelected="1" topLeftCell="Z1" zoomScaleNormal="100" workbookViewId="0">
      <pane ySplit="1" topLeftCell="A2" activePane="bottomLeft" state="frozen"/>
      <selection activeCell="L32" sqref="L32"/>
      <selection pane="bottomLeft" activeCell="AE1" sqref="AE1"/>
    </sheetView>
  </sheetViews>
  <sheetFormatPr baseColWidth="10" defaultColWidth="9.140625" defaultRowHeight="15" outlineLevelCol="1"/>
  <cols>
    <col min="1" max="1" width="26.140625" style="196" customWidth="1"/>
    <col min="2" max="2" width="20.42578125" customWidth="1" outlineLevel="1"/>
    <col min="3" max="3" width="30.42578125" style="318" customWidth="1" outlineLevel="1"/>
    <col min="4" max="4" width="24.85546875" customWidth="1" outlineLevel="1"/>
    <col min="5" max="5" width="39.42578125" customWidth="1" outlineLevel="1"/>
    <col min="6" max="6" width="22.28515625" customWidth="1" outlineLevel="1"/>
    <col min="7" max="7" width="17.140625" style="93" customWidth="1" outlineLevel="1"/>
    <col min="8" max="8" width="17.42578125" customWidth="1"/>
    <col min="9" max="9" width="19.42578125" customWidth="1" outlineLevel="1"/>
    <col min="10" max="10" width="25.42578125" customWidth="1" outlineLevel="1"/>
    <col min="11" max="11" width="17.42578125" customWidth="1" outlineLevel="1"/>
    <col min="12" max="13" width="14.140625" style="205" customWidth="1" outlineLevel="1"/>
    <col min="14" max="14" width="19.42578125" style="211" customWidth="1"/>
    <col min="15" max="15" width="8.85546875" customWidth="1" outlineLevel="1"/>
    <col min="16" max="16" width="17.42578125" customWidth="1" outlineLevel="1"/>
    <col min="17" max="17" width="20" style="199" customWidth="1"/>
    <col min="18" max="18" width="21.140625" customWidth="1"/>
    <col min="19" max="19" width="17.42578125" style="94" customWidth="1" outlineLevel="1"/>
    <col min="20" max="20" width="18" style="222" customWidth="1" outlineLevel="1"/>
    <col min="21" max="21" width="19.42578125" style="222" customWidth="1" outlineLevel="1"/>
    <col min="22" max="22" width="17.85546875" style="222" customWidth="1" outlineLevel="1"/>
    <col min="23" max="23" width="17.85546875" style="486" customWidth="1" outlineLevel="1"/>
    <col min="24" max="24" width="17.85546875" style="222" customWidth="1" outlineLevel="1"/>
    <col min="25" max="25" width="18.42578125" customWidth="1" outlineLevel="1"/>
    <col min="26" max="26" width="36.42578125" style="63" customWidth="1"/>
    <col min="27" max="28" width="40" customWidth="1" outlineLevel="1"/>
    <col min="29" max="29" width="22" style="63" customWidth="1"/>
    <col min="30" max="30" width="19" style="95" customWidth="1" outlineLevel="1"/>
    <col min="31" max="31" width="15.140625" style="63" customWidth="1" outlineLevel="1"/>
    <col min="32" max="32" width="39.42578125" customWidth="1"/>
    <col min="33" max="33" width="19.85546875" customWidth="1" outlineLevel="1"/>
    <col min="34" max="34" width="25.140625" customWidth="1" outlineLevel="1"/>
    <col min="35" max="35" width="27.42578125" customWidth="1" outlineLevel="1"/>
    <col min="36" max="36" width="11.42578125" bestFit="1" customWidth="1"/>
  </cols>
  <sheetData>
    <row r="1" spans="1:36" s="34" customFormat="1" ht="53.25" customHeight="1">
      <c r="A1" s="185" t="s">
        <v>76</v>
      </c>
      <c r="B1" s="29" t="s">
        <v>8657</v>
      </c>
      <c r="C1" s="333" t="s">
        <v>77</v>
      </c>
      <c r="D1" s="29" t="s">
        <v>0</v>
      </c>
      <c r="E1" s="29" t="s">
        <v>1</v>
      </c>
      <c r="F1" s="29" t="s">
        <v>2</v>
      </c>
      <c r="G1" s="30" t="s">
        <v>78</v>
      </c>
      <c r="H1" s="31" t="s">
        <v>79</v>
      </c>
      <c r="I1" s="29" t="s">
        <v>3</v>
      </c>
      <c r="J1" s="29" t="s">
        <v>4</v>
      </c>
      <c r="K1" s="29" t="s">
        <v>80</v>
      </c>
      <c r="L1" s="198" t="s">
        <v>5</v>
      </c>
      <c r="M1" s="198" t="s">
        <v>6</v>
      </c>
      <c r="N1" s="209" t="s">
        <v>81</v>
      </c>
      <c r="O1" s="29" t="s">
        <v>8659</v>
      </c>
      <c r="P1" s="29" t="s">
        <v>7</v>
      </c>
      <c r="Q1" s="198" t="s">
        <v>84</v>
      </c>
      <c r="R1" s="29" t="s">
        <v>85</v>
      </c>
      <c r="S1" s="29" t="s">
        <v>8</v>
      </c>
      <c r="T1" s="214" t="s">
        <v>9</v>
      </c>
      <c r="U1" s="214" t="s">
        <v>87</v>
      </c>
      <c r="V1" s="214" t="s">
        <v>88</v>
      </c>
      <c r="W1" s="483" t="s">
        <v>89</v>
      </c>
      <c r="X1" s="214" t="s">
        <v>90</v>
      </c>
      <c r="Y1" s="29" t="s">
        <v>91</v>
      </c>
      <c r="Z1" s="32" t="s">
        <v>92</v>
      </c>
      <c r="AA1" s="29" t="s">
        <v>93</v>
      </c>
      <c r="AB1" s="29" t="s">
        <v>12</v>
      </c>
      <c r="AC1" s="32" t="s">
        <v>10</v>
      </c>
      <c r="AD1" s="33" t="s">
        <v>11</v>
      </c>
      <c r="AE1" s="32" t="s">
        <v>8660</v>
      </c>
      <c r="AF1" s="29" t="s">
        <v>13</v>
      </c>
      <c r="AG1" s="29" t="s">
        <v>94</v>
      </c>
      <c r="AH1" s="29" t="s">
        <v>15</v>
      </c>
      <c r="AI1" s="29" t="s">
        <v>14</v>
      </c>
    </row>
    <row r="2" spans="1:36" s="43" customFormat="1" ht="39" customHeight="1">
      <c r="A2" s="186">
        <v>22262068</v>
      </c>
      <c r="B2" s="35"/>
      <c r="C2" s="358">
        <v>42487</v>
      </c>
      <c r="D2" s="36" t="s">
        <v>95</v>
      </c>
      <c r="E2" s="37" t="s">
        <v>96</v>
      </c>
      <c r="F2" s="38">
        <v>1826955</v>
      </c>
      <c r="G2" s="312">
        <v>52000</v>
      </c>
      <c r="H2" s="35"/>
      <c r="I2" s="35" t="s">
        <v>97</v>
      </c>
      <c r="J2" s="35" t="s">
        <v>98</v>
      </c>
      <c r="K2" s="35" t="s">
        <v>99</v>
      </c>
      <c r="L2" s="360" t="s">
        <v>100</v>
      </c>
      <c r="M2" s="360" t="s">
        <v>101</v>
      </c>
      <c r="N2" s="278">
        <v>14.28</v>
      </c>
      <c r="O2" s="35" t="s">
        <v>25</v>
      </c>
      <c r="P2" s="40" t="s">
        <v>19</v>
      </c>
      <c r="Q2" s="278">
        <v>14.28</v>
      </c>
      <c r="R2" s="35">
        <v>0</v>
      </c>
      <c r="S2" s="27" t="s">
        <v>102</v>
      </c>
      <c r="T2" s="313">
        <v>0.4</v>
      </c>
      <c r="U2" s="313">
        <v>0.6</v>
      </c>
      <c r="V2" s="313"/>
      <c r="W2" s="484"/>
      <c r="X2" s="313"/>
      <c r="Y2" s="35"/>
      <c r="Z2" s="39"/>
      <c r="AA2" s="35"/>
      <c r="AB2" s="35"/>
      <c r="AC2" s="39">
        <v>2</v>
      </c>
      <c r="AD2" s="314"/>
      <c r="AE2" s="41"/>
      <c r="AF2" s="36" t="s">
        <v>103</v>
      </c>
      <c r="AG2" s="40"/>
      <c r="AH2" s="49">
        <f>Table2[[#This Row],[Prix de vente ($)]]/Table2[[#This Row],[Superficie totale (ha)]]</f>
        <v>3641.4565826330536</v>
      </c>
      <c r="AI2" s="42"/>
      <c r="AJ2"/>
    </row>
    <row r="3" spans="1:36" s="47" customFormat="1" ht="39" customHeight="1">
      <c r="A3" s="187">
        <v>22486718</v>
      </c>
      <c r="B3" s="43"/>
      <c r="C3" s="148">
        <v>42569</v>
      </c>
      <c r="D3" s="37" t="s">
        <v>104</v>
      </c>
      <c r="E3" s="37" t="s">
        <v>105</v>
      </c>
      <c r="F3" s="45">
        <v>5748850</v>
      </c>
      <c r="G3" s="15">
        <v>74733.75</v>
      </c>
      <c r="H3" s="43"/>
      <c r="I3" s="43" t="s">
        <v>97</v>
      </c>
      <c r="J3" s="43" t="s">
        <v>106</v>
      </c>
      <c r="K3" s="43" t="s">
        <v>107</v>
      </c>
      <c r="L3" s="151" t="s">
        <v>108</v>
      </c>
      <c r="M3" s="155" t="s">
        <v>109</v>
      </c>
      <c r="N3" s="144">
        <v>4</v>
      </c>
      <c r="O3" s="43" t="s">
        <v>25</v>
      </c>
      <c r="P3" s="47" t="s">
        <v>110</v>
      </c>
      <c r="Q3" s="144">
        <v>4</v>
      </c>
      <c r="R3" s="43">
        <v>0</v>
      </c>
      <c r="S3" s="16" t="s">
        <v>111</v>
      </c>
      <c r="T3" s="215">
        <v>0.6</v>
      </c>
      <c r="U3" s="215">
        <v>0.4</v>
      </c>
      <c r="V3" s="215"/>
      <c r="W3" s="485"/>
      <c r="X3" s="215"/>
      <c r="Y3" s="43"/>
      <c r="Z3" s="46"/>
      <c r="AA3" s="43"/>
      <c r="AB3" s="43"/>
      <c r="AC3" s="46">
        <v>0</v>
      </c>
      <c r="AD3" s="17"/>
      <c r="AE3" s="48"/>
      <c r="AF3" s="37" t="s">
        <v>112</v>
      </c>
      <c r="AH3" s="49">
        <f>Table2[[#This Row],[Prix de vente ($)]]/Table2[[#This Row],[Superficie totale (ha)]]</f>
        <v>18683.4375</v>
      </c>
      <c r="AI3" s="49"/>
      <c r="AJ3"/>
    </row>
    <row r="4" spans="1:36" s="47" customFormat="1" ht="39" customHeight="1">
      <c r="A4" s="196" t="s">
        <v>113</v>
      </c>
      <c r="B4"/>
      <c r="C4" s="318">
        <v>42649</v>
      </c>
      <c r="D4"/>
      <c r="E4"/>
      <c r="F4" t="s">
        <v>114</v>
      </c>
      <c r="G4" s="93">
        <v>133000</v>
      </c>
      <c r="H4"/>
      <c r="I4" t="s">
        <v>74</v>
      </c>
      <c r="J4" t="s">
        <v>115</v>
      </c>
      <c r="K4" t="s">
        <v>116</v>
      </c>
      <c r="L4" s="205"/>
      <c r="M4" s="205"/>
      <c r="N4" s="211"/>
      <c r="O4"/>
      <c r="P4"/>
      <c r="Q4" s="199"/>
      <c r="R4"/>
      <c r="S4" s="94"/>
      <c r="T4" s="222"/>
      <c r="U4" s="222"/>
      <c r="V4" s="222"/>
      <c r="W4" s="486"/>
      <c r="X4" s="222"/>
      <c r="Y4"/>
      <c r="Z4" s="63"/>
      <c r="AA4"/>
      <c r="AB4"/>
      <c r="AC4" s="466"/>
      <c r="AD4" s="95"/>
      <c r="AE4" s="63"/>
      <c r="AF4"/>
      <c r="AG4"/>
      <c r="AH4" s="74" t="e">
        <f>Table2[[#This Row],[Prix de vente ($)]]/Table2[[#This Row],[Superficie totale (ha)]]</f>
        <v>#DIV/0!</v>
      </c>
      <c r="AI4"/>
      <c r="AJ4"/>
    </row>
    <row r="5" spans="1:36" s="47" customFormat="1" ht="39" customHeight="1">
      <c r="A5" s="187">
        <v>22674380</v>
      </c>
      <c r="B5" s="43"/>
      <c r="C5" s="148">
        <v>42657</v>
      </c>
      <c r="D5" s="37" t="s">
        <v>104</v>
      </c>
      <c r="E5" s="37" t="s">
        <v>117</v>
      </c>
      <c r="F5" s="45">
        <v>5748805</v>
      </c>
      <c r="G5" s="15">
        <v>80482</v>
      </c>
      <c r="H5" s="43"/>
      <c r="I5" s="43" t="s">
        <v>97</v>
      </c>
      <c r="J5" s="43" t="s">
        <v>106</v>
      </c>
      <c r="K5" s="43" t="s">
        <v>118</v>
      </c>
      <c r="L5" s="151" t="s">
        <v>119</v>
      </c>
      <c r="M5" s="155" t="s">
        <v>120</v>
      </c>
      <c r="N5" s="144">
        <v>4.6900000000000004</v>
      </c>
      <c r="O5" s="43" t="s">
        <v>25</v>
      </c>
      <c r="P5" s="47" t="s">
        <v>110</v>
      </c>
      <c r="Q5" s="144">
        <v>4.6900000000000004</v>
      </c>
      <c r="R5" s="43">
        <v>0</v>
      </c>
      <c r="S5" s="16" t="s">
        <v>20</v>
      </c>
      <c r="T5" s="215">
        <v>0.6</v>
      </c>
      <c r="U5" s="215">
        <v>0.4</v>
      </c>
      <c r="V5" s="215"/>
      <c r="W5" s="485"/>
      <c r="X5" s="215"/>
      <c r="Y5" s="43"/>
      <c r="Z5" s="46"/>
      <c r="AA5" s="43"/>
      <c r="AB5" s="43"/>
      <c r="AC5" s="46">
        <v>0</v>
      </c>
      <c r="AD5" s="17"/>
      <c r="AE5" s="48"/>
      <c r="AF5" s="37" t="s">
        <v>112</v>
      </c>
      <c r="AH5" s="49">
        <f>Table2[[#This Row],[Prix de vente ($)]]/Table2[[#This Row],[Superficie totale (ha)]]</f>
        <v>17160.341151385925</v>
      </c>
      <c r="AI5" s="49"/>
      <c r="AJ5"/>
    </row>
    <row r="6" spans="1:36" s="47" customFormat="1" ht="39" customHeight="1">
      <c r="A6" s="187">
        <v>22845364</v>
      </c>
      <c r="B6" s="43"/>
      <c r="C6" s="148">
        <v>42748</v>
      </c>
      <c r="D6" s="37" t="s">
        <v>121</v>
      </c>
      <c r="E6" s="37" t="s">
        <v>122</v>
      </c>
      <c r="F6" s="45">
        <v>1496205</v>
      </c>
      <c r="G6" s="15">
        <v>40000</v>
      </c>
      <c r="H6" s="43"/>
      <c r="I6" s="43" t="s">
        <v>97</v>
      </c>
      <c r="J6" s="43" t="s">
        <v>106</v>
      </c>
      <c r="K6" s="43" t="s">
        <v>123</v>
      </c>
      <c r="L6" s="151" t="s">
        <v>124</v>
      </c>
      <c r="M6" s="155" t="s">
        <v>125</v>
      </c>
      <c r="N6" s="144">
        <v>19.579999999999998</v>
      </c>
      <c r="O6" s="43" t="s">
        <v>25</v>
      </c>
      <c r="P6" s="47" t="s">
        <v>19</v>
      </c>
      <c r="Q6" s="144">
        <v>19.579999999999998</v>
      </c>
      <c r="R6" s="43">
        <v>0</v>
      </c>
      <c r="S6" s="16" t="s">
        <v>20</v>
      </c>
      <c r="T6" s="215">
        <v>0.7</v>
      </c>
      <c r="U6" s="215">
        <v>0.3</v>
      </c>
      <c r="V6" s="215"/>
      <c r="W6" s="485"/>
      <c r="X6" s="215"/>
      <c r="Y6" s="43"/>
      <c r="Z6" s="46"/>
      <c r="AA6" s="43"/>
      <c r="AB6" s="43"/>
      <c r="AC6" s="46">
        <v>8</v>
      </c>
      <c r="AD6" s="17"/>
      <c r="AE6" s="48"/>
      <c r="AF6" s="37" t="s">
        <v>126</v>
      </c>
      <c r="AH6" s="49">
        <f>Table2[[#This Row],[Prix de vente ($)]]/Table2[[#This Row],[Superficie totale (ha)]]</f>
        <v>2042.9009193054139</v>
      </c>
      <c r="AI6" s="49"/>
      <c r="AJ6"/>
    </row>
    <row r="7" spans="1:36" s="47" customFormat="1" ht="39" customHeight="1">
      <c r="A7" s="187">
        <v>22999530</v>
      </c>
      <c r="B7" s="43"/>
      <c r="C7" s="148">
        <v>42836</v>
      </c>
      <c r="D7" s="37" t="s">
        <v>127</v>
      </c>
      <c r="E7" s="37" t="s">
        <v>128</v>
      </c>
      <c r="F7" s="45">
        <v>4015270</v>
      </c>
      <c r="G7" s="15">
        <v>25000</v>
      </c>
      <c r="H7" s="43"/>
      <c r="I7" s="43" t="s">
        <v>97</v>
      </c>
      <c r="J7" s="43" t="s">
        <v>106</v>
      </c>
      <c r="K7" s="43" t="s">
        <v>129</v>
      </c>
      <c r="L7" s="151" t="s">
        <v>130</v>
      </c>
      <c r="M7" s="155" t="s">
        <v>131</v>
      </c>
      <c r="N7" s="144">
        <v>4.04</v>
      </c>
      <c r="O7" s="43" t="s">
        <v>132</v>
      </c>
      <c r="P7" s="47" t="s">
        <v>26</v>
      </c>
      <c r="Q7" s="144">
        <v>4.04</v>
      </c>
      <c r="R7" s="43">
        <v>0</v>
      </c>
      <c r="S7" s="16" t="s">
        <v>20</v>
      </c>
      <c r="T7" s="215">
        <v>0.85</v>
      </c>
      <c r="U7" s="215">
        <v>0.15</v>
      </c>
      <c r="V7" s="215"/>
      <c r="W7" s="485"/>
      <c r="X7" s="215"/>
      <c r="Y7" s="43"/>
      <c r="Z7" s="46"/>
      <c r="AA7" s="43"/>
      <c r="AB7" s="43"/>
      <c r="AC7" s="46">
        <v>2.2999999999999998</v>
      </c>
      <c r="AD7" s="17"/>
      <c r="AE7" s="48"/>
      <c r="AF7" s="37" t="s">
        <v>126</v>
      </c>
      <c r="AH7" s="49">
        <f>Table2[[#This Row],[Prix de vente ($)]]/Table2[[#This Row],[Superficie totale (ha)]]</f>
        <v>6188.1188118811879</v>
      </c>
      <c r="AI7" s="49"/>
      <c r="AJ7"/>
    </row>
    <row r="8" spans="1:36" s="47" customFormat="1" ht="39" customHeight="1">
      <c r="A8" s="187">
        <v>23017142</v>
      </c>
      <c r="B8" s="43"/>
      <c r="C8" s="148">
        <v>42846</v>
      </c>
      <c r="D8" s="37" t="s">
        <v>133</v>
      </c>
      <c r="E8" s="37" t="s">
        <v>134</v>
      </c>
      <c r="F8" s="45" t="s">
        <v>135</v>
      </c>
      <c r="G8" s="15">
        <v>75000</v>
      </c>
      <c r="H8" s="43"/>
      <c r="I8" s="43" t="s">
        <v>97</v>
      </c>
      <c r="J8" s="43" t="s">
        <v>98</v>
      </c>
      <c r="K8" s="43" t="s">
        <v>136</v>
      </c>
      <c r="L8" s="151" t="s">
        <v>137</v>
      </c>
      <c r="M8" s="155" t="s">
        <v>138</v>
      </c>
      <c r="N8" s="144">
        <v>14.41</v>
      </c>
      <c r="O8" s="43" t="s">
        <v>25</v>
      </c>
      <c r="P8" s="47" t="s">
        <v>26</v>
      </c>
      <c r="Q8" s="144">
        <v>14.28</v>
      </c>
      <c r="R8" s="43">
        <v>0</v>
      </c>
      <c r="S8" s="16" t="s">
        <v>20</v>
      </c>
      <c r="T8" s="215">
        <v>0.85</v>
      </c>
      <c r="U8" s="215">
        <v>0.15</v>
      </c>
      <c r="V8" s="215"/>
      <c r="W8" s="485"/>
      <c r="X8" s="215"/>
      <c r="Y8" s="43"/>
      <c r="Z8" s="46"/>
      <c r="AA8" s="43"/>
      <c r="AB8" s="43"/>
      <c r="AC8" s="46">
        <v>14</v>
      </c>
      <c r="AD8" s="17"/>
      <c r="AE8" s="48"/>
      <c r="AF8" s="37" t="s">
        <v>112</v>
      </c>
      <c r="AH8" s="49">
        <f>Table2[[#This Row],[Prix de vente ($)]]/Table2[[#This Row],[Superficie totale (ha)]]</f>
        <v>5204.71894517696</v>
      </c>
      <c r="AI8" s="49"/>
      <c r="AJ8"/>
    </row>
    <row r="9" spans="1:36" s="47" customFormat="1" ht="39" customHeight="1">
      <c r="A9" s="187">
        <v>23035629</v>
      </c>
      <c r="B9" s="43"/>
      <c r="C9" s="148">
        <v>42853</v>
      </c>
      <c r="D9" s="37" t="s">
        <v>139</v>
      </c>
      <c r="E9" s="37" t="s">
        <v>140</v>
      </c>
      <c r="F9" s="45">
        <v>5748847</v>
      </c>
      <c r="G9" s="15">
        <v>71859.38</v>
      </c>
      <c r="H9" s="43"/>
      <c r="I9" s="43" t="s">
        <v>97</v>
      </c>
      <c r="J9" s="43" t="s">
        <v>106</v>
      </c>
      <c r="K9" s="43" t="s">
        <v>107</v>
      </c>
      <c r="L9" s="151" t="s">
        <v>141</v>
      </c>
      <c r="M9" s="155" t="s">
        <v>142</v>
      </c>
      <c r="N9" s="144">
        <v>4.1500000000000004</v>
      </c>
      <c r="O9" s="43" t="s">
        <v>25</v>
      </c>
      <c r="P9" s="47" t="s">
        <v>26</v>
      </c>
      <c r="Q9" s="144">
        <v>4.1500000000000004</v>
      </c>
      <c r="R9" s="43">
        <v>0</v>
      </c>
      <c r="S9" s="16" t="s">
        <v>20</v>
      </c>
      <c r="T9" s="215">
        <v>0.9</v>
      </c>
      <c r="U9" s="215">
        <v>0.1</v>
      </c>
      <c r="V9" s="215"/>
      <c r="W9" s="485"/>
      <c r="X9" s="215"/>
      <c r="Y9" s="43"/>
      <c r="Z9" s="46"/>
      <c r="AA9" s="43"/>
      <c r="AB9" s="43"/>
      <c r="AC9" s="46">
        <v>4</v>
      </c>
      <c r="AD9" s="17"/>
      <c r="AE9" s="48"/>
      <c r="AF9" s="37" t="s">
        <v>112</v>
      </c>
      <c r="AH9" s="49">
        <f>Table2[[#This Row],[Prix de vente ($)]]/Table2[[#This Row],[Superficie totale (ha)]]</f>
        <v>17315.513253012046</v>
      </c>
      <c r="AI9" s="49"/>
      <c r="AJ9"/>
    </row>
    <row r="10" spans="1:36" s="47" customFormat="1" ht="39" customHeight="1">
      <c r="A10" s="187">
        <v>23216736</v>
      </c>
      <c r="B10" s="43"/>
      <c r="C10" s="148">
        <v>42921</v>
      </c>
      <c r="D10" s="37" t="s">
        <v>143</v>
      </c>
      <c r="E10" s="37" t="s">
        <v>144</v>
      </c>
      <c r="F10" s="45">
        <v>6111085</v>
      </c>
      <c r="G10" s="15">
        <v>20000</v>
      </c>
      <c r="H10" s="43"/>
      <c r="I10" s="43" t="s">
        <v>97</v>
      </c>
      <c r="J10" s="43" t="s">
        <v>98</v>
      </c>
      <c r="K10" s="43" t="s">
        <v>145</v>
      </c>
      <c r="L10" s="151" t="s">
        <v>146</v>
      </c>
      <c r="M10" s="155" t="s">
        <v>147</v>
      </c>
      <c r="N10" s="144">
        <v>17.420000000000002</v>
      </c>
      <c r="O10" s="43" t="s">
        <v>25</v>
      </c>
      <c r="P10" s="47" t="s">
        <v>26</v>
      </c>
      <c r="Q10" s="144">
        <v>17.420000000000002</v>
      </c>
      <c r="R10" s="43">
        <v>0</v>
      </c>
      <c r="S10" s="16" t="s">
        <v>20</v>
      </c>
      <c r="T10" s="215">
        <v>0.7</v>
      </c>
      <c r="U10" s="215">
        <v>0.3</v>
      </c>
      <c r="V10" s="215"/>
      <c r="W10" s="485"/>
      <c r="X10" s="215"/>
      <c r="Y10" s="43"/>
      <c r="Z10" s="46"/>
      <c r="AA10" s="43"/>
      <c r="AB10" s="43"/>
      <c r="AC10" s="46">
        <v>1.4</v>
      </c>
      <c r="AD10" s="17"/>
      <c r="AE10" s="48"/>
      <c r="AF10" s="37" t="s">
        <v>126</v>
      </c>
      <c r="AH10" s="49">
        <f>Table2[[#This Row],[Prix de vente ($)]]/Table2[[#This Row],[Superficie totale (ha)]]</f>
        <v>1148.105625717566</v>
      </c>
      <c r="AI10" s="49"/>
      <c r="AJ10"/>
    </row>
    <row r="11" spans="1:36" ht="39" customHeight="1">
      <c r="A11" s="187"/>
      <c r="B11" s="43">
        <v>24079958</v>
      </c>
      <c r="C11" s="148">
        <v>43255</v>
      </c>
      <c r="D11" s="37"/>
      <c r="E11" s="37"/>
      <c r="F11" s="43" t="s">
        <v>148</v>
      </c>
      <c r="G11" s="15">
        <v>219000</v>
      </c>
      <c r="H11" s="43"/>
      <c r="I11" s="43" t="s">
        <v>149</v>
      </c>
      <c r="J11" s="43" t="s">
        <v>150</v>
      </c>
      <c r="K11" s="43" t="s">
        <v>151</v>
      </c>
      <c r="L11" s="151" t="s">
        <v>152</v>
      </c>
      <c r="M11" s="155" t="s">
        <v>153</v>
      </c>
      <c r="N11" s="144">
        <v>31.28</v>
      </c>
      <c r="O11" s="43" t="s">
        <v>18</v>
      </c>
      <c r="P11" s="47" t="s">
        <v>154</v>
      </c>
      <c r="Q11" s="139">
        <f>0.9*N11</f>
        <v>28.152000000000001</v>
      </c>
      <c r="R11" s="43">
        <f>0.1*N11</f>
        <v>3.1280000000000001</v>
      </c>
      <c r="S11" s="16" t="s">
        <v>155</v>
      </c>
      <c r="T11" s="215">
        <v>1</v>
      </c>
      <c r="U11" s="215">
        <v>0</v>
      </c>
      <c r="V11" s="215"/>
      <c r="W11" s="485"/>
      <c r="X11" s="215"/>
      <c r="Y11" s="43"/>
      <c r="Z11" s="46"/>
      <c r="AA11" s="43"/>
      <c r="AB11" s="43"/>
      <c r="AC11" s="46">
        <v>6.7</v>
      </c>
      <c r="AD11" s="17"/>
      <c r="AE11" s="48"/>
      <c r="AF11" s="37" t="s">
        <v>156</v>
      </c>
      <c r="AG11" s="47"/>
      <c r="AH11" s="49">
        <f>Table2[[#This Row],[Prix de vente ($)]]/Table2[[#This Row],[Superficie totale (ha)]]</f>
        <v>7001.2787723785168</v>
      </c>
      <c r="AI11" s="43" t="e">
        <f>G11/AD11</f>
        <v>#DIV/0!</v>
      </c>
    </row>
    <row r="12" spans="1:36" ht="39" customHeight="1">
      <c r="A12" s="187">
        <v>28472646</v>
      </c>
      <c r="B12" s="43"/>
      <c r="C12" s="148">
        <v>43604</v>
      </c>
      <c r="D12" s="37" t="s">
        <v>157</v>
      </c>
      <c r="E12" s="37" t="s">
        <v>158</v>
      </c>
      <c r="F12" s="45" t="s">
        <v>159</v>
      </c>
      <c r="G12" s="15">
        <v>2300000</v>
      </c>
      <c r="H12" s="43"/>
      <c r="I12" s="43" t="s">
        <v>160</v>
      </c>
      <c r="J12" s="43" t="s">
        <v>161</v>
      </c>
      <c r="K12" s="43" t="s">
        <v>162</v>
      </c>
      <c r="L12" s="151" t="s">
        <v>163</v>
      </c>
      <c r="M12" s="155" t="s">
        <v>164</v>
      </c>
      <c r="N12" s="144">
        <v>264.29000000000002</v>
      </c>
      <c r="O12" s="43" t="s">
        <v>18</v>
      </c>
      <c r="P12" s="47" t="s">
        <v>165</v>
      </c>
      <c r="Q12" s="144">
        <v>264.29000000000002</v>
      </c>
      <c r="R12" s="43">
        <v>0</v>
      </c>
      <c r="S12" s="16" t="s">
        <v>102</v>
      </c>
      <c r="T12" s="215">
        <v>0.4</v>
      </c>
      <c r="U12" s="215">
        <v>0.6</v>
      </c>
      <c r="V12" s="215"/>
      <c r="W12" s="485"/>
      <c r="X12" s="215"/>
      <c r="Y12" s="43"/>
      <c r="Z12" s="46"/>
      <c r="AA12" s="43"/>
      <c r="AB12" s="43"/>
      <c r="AC12" s="46">
        <v>57.1</v>
      </c>
      <c r="AD12" s="17"/>
      <c r="AE12" s="48"/>
      <c r="AF12" s="37" t="s">
        <v>166</v>
      </c>
      <c r="AG12" s="47"/>
      <c r="AH12" s="49">
        <f>Table2[[#This Row],[Prix de vente ($)]]/Table2[[#This Row],[Superficie totale (ha)]]</f>
        <v>8702.5615800824853</v>
      </c>
      <c r="AI12" s="49"/>
    </row>
    <row r="13" spans="1:36" ht="39" customHeight="1">
      <c r="A13" s="187">
        <v>24977808</v>
      </c>
      <c r="B13" s="43"/>
      <c r="C13" s="148">
        <v>43730</v>
      </c>
      <c r="D13" s="37" t="s">
        <v>167</v>
      </c>
      <c r="E13" s="37" t="s">
        <v>168</v>
      </c>
      <c r="F13" s="45" t="s">
        <v>169</v>
      </c>
      <c r="G13" s="15">
        <v>20000</v>
      </c>
      <c r="H13" s="43"/>
      <c r="I13" s="43" t="s">
        <v>170</v>
      </c>
      <c r="J13" s="43" t="s">
        <v>171</v>
      </c>
      <c r="K13" s="43" t="s">
        <v>172</v>
      </c>
      <c r="L13" s="151">
        <v>49.094129000000002</v>
      </c>
      <c r="M13" s="155">
        <v>-68.510631000000004</v>
      </c>
      <c r="N13" s="144">
        <v>42.48</v>
      </c>
      <c r="O13" s="43" t="s">
        <v>25</v>
      </c>
      <c r="P13" s="47" t="s">
        <v>173</v>
      </c>
      <c r="Q13" s="144" t="s">
        <v>174</v>
      </c>
      <c r="R13" s="43">
        <v>0</v>
      </c>
      <c r="S13" s="16" t="s">
        <v>175</v>
      </c>
      <c r="T13" s="215">
        <v>0.5</v>
      </c>
      <c r="U13" s="215">
        <v>0.5</v>
      </c>
      <c r="V13" s="215"/>
      <c r="W13" s="485"/>
      <c r="X13" s="215"/>
      <c r="Y13" s="43"/>
      <c r="Z13" s="46"/>
      <c r="AA13" s="43"/>
      <c r="AB13" s="43"/>
      <c r="AC13" s="46">
        <v>0</v>
      </c>
      <c r="AD13" s="17"/>
      <c r="AE13" s="48"/>
      <c r="AF13" s="37" t="s">
        <v>176</v>
      </c>
      <c r="AG13" s="47"/>
      <c r="AH13" s="49">
        <f>Table2[[#This Row],[Prix de vente ($)]]/Table2[[#This Row],[Superficie totale (ha)]]</f>
        <v>470.80979284369118</v>
      </c>
      <c r="AI13" s="49"/>
    </row>
    <row r="14" spans="1:36" ht="39" customHeight="1">
      <c r="A14" s="187">
        <v>21646365</v>
      </c>
      <c r="B14" s="43"/>
      <c r="C14" s="148">
        <v>43795</v>
      </c>
      <c r="D14" s="37"/>
      <c r="E14" s="37"/>
      <c r="F14" s="43" t="s">
        <v>177</v>
      </c>
      <c r="G14" s="15">
        <v>265000</v>
      </c>
      <c r="H14" s="43"/>
      <c r="I14" s="43" t="s">
        <v>149</v>
      </c>
      <c r="J14" s="43" t="s">
        <v>150</v>
      </c>
      <c r="K14" s="43" t="s">
        <v>151</v>
      </c>
      <c r="L14" s="151" t="s">
        <v>178</v>
      </c>
      <c r="M14" s="151" t="s">
        <v>179</v>
      </c>
      <c r="N14" s="144">
        <v>29.91</v>
      </c>
      <c r="O14" s="43"/>
      <c r="P14" s="47"/>
      <c r="Q14" s="139"/>
      <c r="R14" s="43"/>
      <c r="S14" s="16"/>
      <c r="T14" s="215"/>
      <c r="U14" s="215"/>
      <c r="V14" s="215"/>
      <c r="W14" s="485"/>
      <c r="X14" s="215"/>
      <c r="Y14" s="43" t="s">
        <v>41</v>
      </c>
      <c r="Z14" s="46"/>
      <c r="AA14" s="43"/>
      <c r="AB14" s="43"/>
      <c r="AC14" s="46"/>
      <c r="AD14" s="17">
        <v>500</v>
      </c>
      <c r="AE14" s="48"/>
      <c r="AF14" s="37" t="s">
        <v>180</v>
      </c>
      <c r="AG14" s="47"/>
      <c r="AH14" s="49">
        <f>Table2[[#This Row],[Prix de vente ($)]]/Table2[[#This Row],[Superficie totale (ha)]]</f>
        <v>8859.9130725509858</v>
      </c>
      <c r="AI14" s="49">
        <f>G14/AD14</f>
        <v>530</v>
      </c>
    </row>
    <row r="15" spans="1:36" ht="39" customHeight="1">
      <c r="A15" s="187">
        <v>28155797</v>
      </c>
      <c r="B15" s="43"/>
      <c r="C15" s="148">
        <v>43820</v>
      </c>
      <c r="D15" s="37" t="s">
        <v>181</v>
      </c>
      <c r="E15" s="37" t="s">
        <v>182</v>
      </c>
      <c r="F15" s="43" t="s">
        <v>183</v>
      </c>
      <c r="G15" s="15">
        <v>45000</v>
      </c>
      <c r="H15" s="43"/>
      <c r="I15" s="43" t="s">
        <v>74</v>
      </c>
      <c r="J15" s="43" t="s">
        <v>184</v>
      </c>
      <c r="K15" s="43" t="s">
        <v>185</v>
      </c>
      <c r="L15" s="151" t="s">
        <v>186</v>
      </c>
      <c r="M15" s="155" t="s">
        <v>187</v>
      </c>
      <c r="N15" s="144">
        <f>8.52+1.16</f>
        <v>9.68</v>
      </c>
      <c r="O15" s="43" t="s">
        <v>18</v>
      </c>
      <c r="P15" s="47" t="s">
        <v>19</v>
      </c>
      <c r="Q15" s="144">
        <v>9.68</v>
      </c>
      <c r="R15" s="43">
        <v>0</v>
      </c>
      <c r="S15" s="16" t="s">
        <v>20</v>
      </c>
      <c r="T15" s="215">
        <v>0.7</v>
      </c>
      <c r="U15" s="215">
        <v>0.3</v>
      </c>
      <c r="V15" s="215"/>
      <c r="W15" s="485"/>
      <c r="X15" s="215"/>
      <c r="Y15" s="43"/>
      <c r="Z15" s="46"/>
      <c r="AA15" s="43"/>
      <c r="AB15" s="43"/>
      <c r="AC15" s="46">
        <f>0.9+5.1</f>
        <v>6</v>
      </c>
      <c r="AD15" s="17"/>
      <c r="AE15" s="48"/>
      <c r="AF15" s="37" t="s">
        <v>188</v>
      </c>
      <c r="AG15" s="47"/>
      <c r="AH15" s="49">
        <f>Table2[[#This Row],[Prix de vente ($)]]/Table2[[#This Row],[Superficie totale (ha)]]</f>
        <v>4648.7603305785124</v>
      </c>
      <c r="AI15" s="43"/>
    </row>
    <row r="16" spans="1:36" ht="39" customHeight="1">
      <c r="A16" s="187">
        <v>27663835</v>
      </c>
      <c r="B16" s="43"/>
      <c r="C16" s="148">
        <v>43870</v>
      </c>
      <c r="D16" s="37" t="s">
        <v>189</v>
      </c>
      <c r="E16" s="37" t="s">
        <v>190</v>
      </c>
      <c r="F16" s="45" t="s">
        <v>191</v>
      </c>
      <c r="G16" s="15">
        <v>180000</v>
      </c>
      <c r="H16" s="43"/>
      <c r="I16" s="43" t="s">
        <v>192</v>
      </c>
      <c r="J16" s="43" t="s">
        <v>193</v>
      </c>
      <c r="K16" s="43" t="s">
        <v>194</v>
      </c>
      <c r="L16" s="151" t="s">
        <v>195</v>
      </c>
      <c r="M16" s="155" t="s">
        <v>196</v>
      </c>
      <c r="N16" s="144">
        <f>5+4.19</f>
        <v>9.1900000000000013</v>
      </c>
      <c r="O16" s="43" t="s">
        <v>18</v>
      </c>
      <c r="P16" s="47" t="s">
        <v>35</v>
      </c>
      <c r="Q16" s="144">
        <v>9.19</v>
      </c>
      <c r="R16" s="43">
        <v>0</v>
      </c>
      <c r="S16" s="16" t="s">
        <v>20</v>
      </c>
      <c r="T16" s="215">
        <v>0.65</v>
      </c>
      <c r="U16" s="215">
        <v>0.35</v>
      </c>
      <c r="V16" s="215"/>
      <c r="W16" s="485"/>
      <c r="X16" s="215"/>
      <c r="Y16" s="43"/>
      <c r="Z16" s="46"/>
      <c r="AA16" s="43"/>
      <c r="AB16" s="43"/>
      <c r="AC16" s="46">
        <f>0.4+3.4</f>
        <v>3.8</v>
      </c>
      <c r="AD16" s="17"/>
      <c r="AE16" s="48"/>
      <c r="AF16" s="37" t="s">
        <v>197</v>
      </c>
      <c r="AG16" s="47"/>
      <c r="AH16" s="49">
        <f>Table2[[#This Row],[Prix de vente ($)]]/Table2[[#This Row],[Superficie totale (ha)]]</f>
        <v>19586.50707290533</v>
      </c>
      <c r="AI16" s="49"/>
      <c r="AJ16" s="47"/>
    </row>
    <row r="17" spans="1:36" ht="39" customHeight="1">
      <c r="A17" s="187">
        <v>25257302</v>
      </c>
      <c r="B17" s="43"/>
      <c r="C17" s="148">
        <v>43900</v>
      </c>
      <c r="D17" s="37" t="s">
        <v>198</v>
      </c>
      <c r="E17" s="37" t="s">
        <v>199</v>
      </c>
      <c r="F17" s="43" t="s">
        <v>200</v>
      </c>
      <c r="G17" s="15">
        <v>180000</v>
      </c>
      <c r="H17" s="43"/>
      <c r="I17" s="43" t="s">
        <v>201</v>
      </c>
      <c r="J17" s="43" t="s">
        <v>202</v>
      </c>
      <c r="K17" s="43" t="s">
        <v>203</v>
      </c>
      <c r="L17" s="151" t="s">
        <v>204</v>
      </c>
      <c r="M17" s="151" t="s">
        <v>205</v>
      </c>
      <c r="N17" s="144">
        <f>21.55+14.69</f>
        <v>36.24</v>
      </c>
      <c r="O17" s="43" t="s">
        <v>18</v>
      </c>
      <c r="P17" s="47" t="s">
        <v>206</v>
      </c>
      <c r="Q17" s="144">
        <f>Bois!$N2</f>
        <v>14.28</v>
      </c>
      <c r="R17" s="43"/>
      <c r="S17" s="16" t="s">
        <v>22</v>
      </c>
      <c r="T17" s="215">
        <v>0.5</v>
      </c>
      <c r="U17" s="215">
        <v>0.5</v>
      </c>
      <c r="V17" s="215"/>
      <c r="W17" s="485"/>
      <c r="X17" s="215"/>
      <c r="Y17" s="43"/>
      <c r="Z17" s="46"/>
      <c r="AA17" s="43"/>
      <c r="AB17" s="43"/>
      <c r="AC17" s="46"/>
      <c r="AD17" s="17"/>
      <c r="AE17" s="48"/>
      <c r="AF17" s="37" t="s">
        <v>207</v>
      </c>
      <c r="AG17" s="47"/>
      <c r="AH17" s="49">
        <f>Table2[[#This Row],[Prix de vente ($)]]/Table2[[#This Row],[Superficie totale (ha)]]</f>
        <v>4966.8874172185424</v>
      </c>
      <c r="AI17" s="49" t="e">
        <f>Bois!#REF!/Bois!$AD2</f>
        <v>#REF!</v>
      </c>
    </row>
    <row r="18" spans="1:36" ht="39" customHeight="1">
      <c r="A18" s="187">
        <v>25698764</v>
      </c>
      <c r="B18" s="43"/>
      <c r="C18" s="148">
        <v>44092</v>
      </c>
      <c r="D18" s="37" t="s">
        <v>208</v>
      </c>
      <c r="E18" s="37" t="s">
        <v>209</v>
      </c>
      <c r="F18" s="43">
        <v>3056045</v>
      </c>
      <c r="G18" s="52">
        <v>46500</v>
      </c>
      <c r="H18" s="43"/>
      <c r="I18" s="43" t="s">
        <v>201</v>
      </c>
      <c r="J18" s="43" t="s">
        <v>202</v>
      </c>
      <c r="K18" s="43" t="s">
        <v>203</v>
      </c>
      <c r="L18" s="142" t="s">
        <v>210</v>
      </c>
      <c r="M18" s="142" t="s">
        <v>211</v>
      </c>
      <c r="N18" s="144">
        <v>9.94</v>
      </c>
      <c r="O18" s="43" t="s">
        <v>18</v>
      </c>
      <c r="P18" s="47" t="s">
        <v>206</v>
      </c>
      <c r="Q18" s="144">
        <f>Bois!$N3</f>
        <v>4</v>
      </c>
      <c r="R18" s="43"/>
      <c r="S18" s="1" t="s">
        <v>212</v>
      </c>
      <c r="T18" s="217">
        <v>0.76</v>
      </c>
      <c r="U18" s="217">
        <v>0.24</v>
      </c>
      <c r="V18" s="217"/>
      <c r="W18" s="487"/>
      <c r="X18" s="217"/>
      <c r="Y18" s="43"/>
      <c r="Z18" s="46"/>
      <c r="AA18" s="43"/>
      <c r="AB18" s="43"/>
      <c r="AC18" s="46"/>
      <c r="AD18" s="53"/>
      <c r="AE18" s="48"/>
      <c r="AF18" s="37" t="s">
        <v>213</v>
      </c>
      <c r="AG18" s="47" t="s">
        <v>214</v>
      </c>
      <c r="AH18" s="49">
        <f>Table2[[#This Row],[Prix de vente ($)]]/Table2[[#This Row],[Superficie totale (ha)]]</f>
        <v>4678.0684104627771</v>
      </c>
      <c r="AI18" s="49" t="e">
        <f>Bois!$G3/Bois!$AD3</f>
        <v>#DIV/0!</v>
      </c>
    </row>
    <row r="19" spans="1:36" ht="39" customHeight="1">
      <c r="A19" s="196">
        <v>25771426</v>
      </c>
      <c r="C19" s="318">
        <v>44123</v>
      </c>
      <c r="D19" t="s">
        <v>215</v>
      </c>
      <c r="E19" t="s">
        <v>216</v>
      </c>
      <c r="F19" s="269">
        <v>2343104</v>
      </c>
      <c r="G19" s="93">
        <v>400000</v>
      </c>
      <c r="I19" t="s">
        <v>37</v>
      </c>
      <c r="J19" t="s">
        <v>217</v>
      </c>
      <c r="L19" s="205" t="s">
        <v>218</v>
      </c>
      <c r="M19" s="270" t="s">
        <v>219</v>
      </c>
      <c r="N19" s="211">
        <v>17.79</v>
      </c>
      <c r="O19" t="s">
        <v>18</v>
      </c>
      <c r="P19" t="s">
        <v>206</v>
      </c>
      <c r="S19" s="94" t="s">
        <v>20</v>
      </c>
      <c r="T19" s="222">
        <v>1</v>
      </c>
      <c r="U19" s="222">
        <v>0</v>
      </c>
      <c r="V19" s="222" t="s">
        <v>220</v>
      </c>
      <c r="AC19" s="63">
        <v>10.8</v>
      </c>
      <c r="AF19" t="s">
        <v>221</v>
      </c>
      <c r="AG19" t="s">
        <v>222</v>
      </c>
      <c r="AH19" s="49">
        <f>Table2[[#This Row],[Prix de vente ($)]]/Table2[[#This Row],[Superficie totale (ha)]]</f>
        <v>22484.541877459247</v>
      </c>
    </row>
    <row r="20" spans="1:36" ht="39" customHeight="1">
      <c r="A20" s="187"/>
      <c r="B20" s="43">
        <v>26189122</v>
      </c>
      <c r="C20" s="148">
        <v>44145</v>
      </c>
      <c r="D20" s="37"/>
      <c r="E20" s="37"/>
      <c r="F20" s="43">
        <v>5347394</v>
      </c>
      <c r="G20" s="15">
        <v>100000</v>
      </c>
      <c r="H20" s="43"/>
      <c r="I20" s="43" t="s">
        <v>223</v>
      </c>
      <c r="J20" s="43" t="s">
        <v>32</v>
      </c>
      <c r="K20" s="43" t="s">
        <v>224</v>
      </c>
      <c r="L20" s="151" t="s">
        <v>225</v>
      </c>
      <c r="M20" s="155" t="s">
        <v>226</v>
      </c>
      <c r="N20" s="144">
        <v>41.51</v>
      </c>
      <c r="O20" s="43" t="s">
        <v>18</v>
      </c>
      <c r="P20" s="47" t="s">
        <v>63</v>
      </c>
      <c r="Q20" s="144">
        <f>N20</f>
        <v>41.51</v>
      </c>
      <c r="R20" s="43"/>
      <c r="S20" s="16"/>
      <c r="T20" s="215"/>
      <c r="U20" s="215"/>
      <c r="V20" s="215"/>
      <c r="W20" s="485"/>
      <c r="X20" s="215"/>
      <c r="Y20" s="43"/>
      <c r="Z20" s="46"/>
      <c r="AA20" s="43"/>
      <c r="AB20" s="43"/>
      <c r="AC20" s="46">
        <v>18</v>
      </c>
      <c r="AD20" s="17">
        <v>800</v>
      </c>
      <c r="AE20" s="48"/>
      <c r="AF20" s="37" t="s">
        <v>227</v>
      </c>
      <c r="AG20" s="47"/>
      <c r="AH20" s="49">
        <f>Table2[[#This Row],[Prix de vente ($)]]/Table2[[#This Row],[Superficie totale (ha)]]</f>
        <v>2409.0580582992052</v>
      </c>
      <c r="AI20" s="49">
        <f>G20/AD20</f>
        <v>125</v>
      </c>
    </row>
    <row r="21" spans="1:36" s="58" customFormat="1" ht="39" customHeight="1">
      <c r="A21" s="187">
        <v>25960460</v>
      </c>
      <c r="B21" s="43"/>
      <c r="C21" s="148">
        <v>44146</v>
      </c>
      <c r="D21" s="37" t="s">
        <v>228</v>
      </c>
      <c r="E21" s="37" t="s">
        <v>229</v>
      </c>
      <c r="F21" s="45">
        <v>3815365</v>
      </c>
      <c r="G21" s="15">
        <v>25000</v>
      </c>
      <c r="H21" s="43"/>
      <c r="I21" s="43" t="s">
        <v>230</v>
      </c>
      <c r="J21" s="43" t="s">
        <v>231</v>
      </c>
      <c r="K21" s="43" t="s">
        <v>232</v>
      </c>
      <c r="L21" s="151" t="s">
        <v>233</v>
      </c>
      <c r="M21" s="155" t="s">
        <v>234</v>
      </c>
      <c r="N21" s="144">
        <v>14.49</v>
      </c>
      <c r="O21" s="43" t="s">
        <v>25</v>
      </c>
      <c r="P21" s="47" t="s">
        <v>165</v>
      </c>
      <c r="Q21" s="144">
        <v>14.49</v>
      </c>
      <c r="R21" s="43">
        <v>0</v>
      </c>
      <c r="S21" s="16" t="s">
        <v>20</v>
      </c>
      <c r="T21" s="215">
        <v>0.8</v>
      </c>
      <c r="U21" s="215">
        <v>0.2</v>
      </c>
      <c r="V21" s="215"/>
      <c r="W21" s="485"/>
      <c r="X21" s="215"/>
      <c r="Y21" s="43"/>
      <c r="Z21" s="46"/>
      <c r="AA21" s="43"/>
      <c r="AB21" s="43"/>
      <c r="AC21" s="46">
        <v>0</v>
      </c>
      <c r="AD21" s="17"/>
      <c r="AE21" s="48"/>
      <c r="AF21" s="37" t="s">
        <v>235</v>
      </c>
      <c r="AG21" s="47"/>
      <c r="AH21" s="49">
        <f>Table2[[#This Row],[Prix de vente ($)]]/Table2[[#This Row],[Superficie totale (ha)]]</f>
        <v>1725.327812284334</v>
      </c>
      <c r="AI21" s="49"/>
      <c r="AJ21"/>
    </row>
    <row r="22" spans="1:36" ht="39" customHeight="1">
      <c r="A22" s="196">
        <v>25902207</v>
      </c>
      <c r="C22" s="318">
        <v>44168</v>
      </c>
      <c r="D22" t="s">
        <v>236</v>
      </c>
      <c r="E22" t="s">
        <v>237</v>
      </c>
      <c r="F22" t="s">
        <v>238</v>
      </c>
      <c r="G22" s="93">
        <v>160000</v>
      </c>
      <c r="I22" t="s">
        <v>37</v>
      </c>
      <c r="J22" t="s">
        <v>239</v>
      </c>
      <c r="K22" t="s">
        <v>240</v>
      </c>
      <c r="L22" s="205" t="s">
        <v>241</v>
      </c>
      <c r="M22" s="270" t="s">
        <v>242</v>
      </c>
      <c r="N22" s="211">
        <v>7.72</v>
      </c>
      <c r="O22" t="s">
        <v>18</v>
      </c>
      <c r="P22" t="s">
        <v>206</v>
      </c>
      <c r="S22" s="94" t="s">
        <v>20</v>
      </c>
      <c r="T22" s="222">
        <v>0.9</v>
      </c>
      <c r="U22" s="222">
        <v>0.1</v>
      </c>
      <c r="V22" s="222" t="s">
        <v>243</v>
      </c>
      <c r="AC22" s="63">
        <v>2.1</v>
      </c>
      <c r="AH22" s="49">
        <f>Table2[[#This Row],[Prix de vente ($)]]/Table2[[#This Row],[Superficie totale (ha)]]</f>
        <v>20725.388601036269</v>
      </c>
    </row>
    <row r="23" spans="1:36" ht="39" customHeight="1">
      <c r="A23" s="187">
        <v>26106753</v>
      </c>
      <c r="B23" s="43"/>
      <c r="C23" s="148">
        <v>44168</v>
      </c>
      <c r="D23" s="37" t="s">
        <v>244</v>
      </c>
      <c r="E23" s="37" t="s">
        <v>245</v>
      </c>
      <c r="F23" s="45">
        <v>3815209</v>
      </c>
      <c r="G23" s="15">
        <v>25000</v>
      </c>
      <c r="H23" s="43"/>
      <c r="I23" s="43" t="s">
        <v>230</v>
      </c>
      <c r="J23" s="43" t="s">
        <v>231</v>
      </c>
      <c r="K23" s="43" t="s">
        <v>246</v>
      </c>
      <c r="L23" s="151" t="s">
        <v>247</v>
      </c>
      <c r="M23" s="155" t="s">
        <v>248</v>
      </c>
      <c r="N23" s="144">
        <v>8.44</v>
      </c>
      <c r="O23" s="43" t="s">
        <v>25</v>
      </c>
      <c r="P23" s="47" t="s">
        <v>165</v>
      </c>
      <c r="Q23" s="144">
        <v>7.24</v>
      </c>
      <c r="R23" s="43">
        <v>0</v>
      </c>
      <c r="S23" s="16" t="s">
        <v>20</v>
      </c>
      <c r="T23" s="215">
        <v>0.9</v>
      </c>
      <c r="U23" s="215">
        <v>0.1</v>
      </c>
      <c r="V23" s="215"/>
      <c r="W23" s="485"/>
      <c r="X23" s="215"/>
      <c r="Y23" s="43"/>
      <c r="Z23" s="46"/>
      <c r="AA23" s="43"/>
      <c r="AB23" s="43"/>
      <c r="AC23" s="46">
        <v>2.2999999999999998</v>
      </c>
      <c r="AD23" s="17"/>
      <c r="AE23" s="48"/>
      <c r="AF23" s="37" t="s">
        <v>126</v>
      </c>
      <c r="AG23" s="47"/>
      <c r="AH23" s="49">
        <f>Table2[[#This Row],[Prix de vente ($)]]/Table2[[#This Row],[Superficie totale (ha)]]</f>
        <v>2962.0853080568722</v>
      </c>
      <c r="AI23" s="49"/>
    </row>
    <row r="24" spans="1:36" ht="39" customHeight="1">
      <c r="A24" s="196">
        <v>25951684</v>
      </c>
      <c r="C24" s="318">
        <v>44183</v>
      </c>
      <c r="D24" s="20" t="s">
        <v>249</v>
      </c>
      <c r="E24" t="s">
        <v>250</v>
      </c>
      <c r="F24" t="s">
        <v>251</v>
      </c>
      <c r="G24" s="93">
        <v>340000</v>
      </c>
      <c r="I24" t="s">
        <v>37</v>
      </c>
      <c r="J24" t="s">
        <v>239</v>
      </c>
      <c r="K24" t="s">
        <v>240</v>
      </c>
      <c r="L24" s="205" t="s">
        <v>252</v>
      </c>
      <c r="M24" s="270" t="s">
        <v>253</v>
      </c>
      <c r="N24" s="211">
        <v>25.96</v>
      </c>
      <c r="O24" t="s">
        <v>18</v>
      </c>
      <c r="P24" t="s">
        <v>206</v>
      </c>
      <c r="R24">
        <v>3.9</v>
      </c>
      <c r="S24" s="94" t="s">
        <v>20</v>
      </c>
      <c r="T24" s="222">
        <v>1</v>
      </c>
      <c r="U24" s="222">
        <v>0</v>
      </c>
      <c r="V24" s="222" t="s">
        <v>254</v>
      </c>
      <c r="AC24" s="63">
        <v>12</v>
      </c>
      <c r="AH24" s="49">
        <f>Table2[[#This Row],[Prix de vente ($)]]/Table2[[#This Row],[Superficie totale (ha)]]</f>
        <v>13097.072419106316</v>
      </c>
    </row>
    <row r="25" spans="1:36" ht="39" customHeight="1">
      <c r="A25" s="191">
        <v>26114479</v>
      </c>
      <c r="B25" s="43"/>
      <c r="C25" s="148">
        <v>44184</v>
      </c>
      <c r="D25" s="37" t="s">
        <v>255</v>
      </c>
      <c r="E25" s="37" t="s">
        <v>256</v>
      </c>
      <c r="F25" s="34" t="s">
        <v>257</v>
      </c>
      <c r="G25" s="92">
        <v>72500</v>
      </c>
      <c r="H25" s="43"/>
      <c r="I25" s="43" t="s">
        <v>258</v>
      </c>
      <c r="J25" s="43" t="s">
        <v>259</v>
      </c>
      <c r="K25" s="43" t="s">
        <v>260</v>
      </c>
      <c r="L25" s="142" t="s">
        <v>261</v>
      </c>
      <c r="M25" s="142" t="s">
        <v>262</v>
      </c>
      <c r="N25" s="144">
        <f>(515709.594+713.4)/10000</f>
        <v>51.642299399999999</v>
      </c>
      <c r="O25" s="43" t="s">
        <v>18</v>
      </c>
      <c r="P25" s="47" t="s">
        <v>19</v>
      </c>
      <c r="Q25" s="144" t="e">
        <f>Bois!$N4-Bois!#REF!</f>
        <v>#REF!</v>
      </c>
      <c r="R25" s="46"/>
      <c r="S25" s="1" t="s">
        <v>33</v>
      </c>
      <c r="T25" s="217"/>
      <c r="U25" s="217"/>
      <c r="V25" s="217"/>
      <c r="W25" s="487"/>
      <c r="X25" s="217"/>
      <c r="Y25" s="43"/>
      <c r="Z25" s="46"/>
      <c r="AA25" s="43"/>
      <c r="AB25" s="43"/>
      <c r="AC25" s="46"/>
      <c r="AD25" s="53"/>
      <c r="AE25" s="48"/>
      <c r="AF25" s="37" t="s">
        <v>263</v>
      </c>
      <c r="AG25" s="47"/>
      <c r="AH25" s="49">
        <f>Table2[[#This Row],[Prix de vente ($)]]/Table2[[#This Row],[Superficie totale (ha)]]</f>
        <v>1403.887914409946</v>
      </c>
      <c r="AI25" s="49" t="e">
        <f>Bois!$G4/Bois!$AD4</f>
        <v>#DIV/0!</v>
      </c>
    </row>
    <row r="26" spans="1:36" ht="39" customHeight="1">
      <c r="A26" s="187">
        <v>25960915</v>
      </c>
      <c r="B26" s="43"/>
      <c r="C26" s="148">
        <v>44187</v>
      </c>
      <c r="D26" s="37" t="s">
        <v>264</v>
      </c>
      <c r="E26" s="37" t="s">
        <v>265</v>
      </c>
      <c r="F26" s="45" t="s">
        <v>266</v>
      </c>
      <c r="G26" s="15">
        <v>275000</v>
      </c>
      <c r="H26" s="43"/>
      <c r="I26" s="43" t="s">
        <v>230</v>
      </c>
      <c r="J26" s="43" t="s">
        <v>267</v>
      </c>
      <c r="K26" s="43" t="s">
        <v>268</v>
      </c>
      <c r="L26" s="151" t="s">
        <v>269</v>
      </c>
      <c r="M26" s="155" t="s">
        <v>270</v>
      </c>
      <c r="N26" s="144">
        <v>79.36</v>
      </c>
      <c r="O26" s="43" t="s">
        <v>18</v>
      </c>
      <c r="P26" s="47" t="s">
        <v>165</v>
      </c>
      <c r="Q26" s="144">
        <f>79.36-2.7</f>
        <v>76.66</v>
      </c>
      <c r="R26" s="43">
        <v>0</v>
      </c>
      <c r="S26" s="16" t="s">
        <v>102</v>
      </c>
      <c r="T26" s="215">
        <v>0.3</v>
      </c>
      <c r="U26" s="215">
        <v>0.7</v>
      </c>
      <c r="V26" s="215"/>
      <c r="W26" s="485"/>
      <c r="X26" s="215"/>
      <c r="Y26" s="43"/>
      <c r="Z26" s="46"/>
      <c r="AA26" s="43"/>
      <c r="AB26" s="43"/>
      <c r="AC26" s="46">
        <v>4.3</v>
      </c>
      <c r="AD26" s="17"/>
      <c r="AE26" s="48"/>
      <c r="AF26" s="37" t="s">
        <v>271</v>
      </c>
      <c r="AG26" s="47"/>
      <c r="AH26" s="49">
        <f>Table2[[#This Row],[Prix de vente ($)]]/Table2[[#This Row],[Superficie totale (ha)]]</f>
        <v>3465.2217741935483</v>
      </c>
      <c r="AI26" s="49"/>
    </row>
    <row r="27" spans="1:36" ht="39" customHeight="1">
      <c r="A27" s="187">
        <v>26145375</v>
      </c>
      <c r="B27" s="43"/>
      <c r="C27" s="148">
        <v>44212</v>
      </c>
      <c r="D27" s="37" t="s">
        <v>272</v>
      </c>
      <c r="E27" s="37" t="s">
        <v>273</v>
      </c>
      <c r="F27" s="43">
        <v>5286409</v>
      </c>
      <c r="G27" s="15">
        <v>200000</v>
      </c>
      <c r="H27" s="43"/>
      <c r="I27" s="43" t="s">
        <v>274</v>
      </c>
      <c r="J27" s="43" t="s">
        <v>275</v>
      </c>
      <c r="K27" s="43" t="s">
        <v>276</v>
      </c>
      <c r="L27" s="151" t="s">
        <v>277</v>
      </c>
      <c r="M27" s="151" t="s">
        <v>278</v>
      </c>
      <c r="N27" s="144">
        <v>41.42</v>
      </c>
      <c r="O27" s="43" t="s">
        <v>18</v>
      </c>
      <c r="P27" s="47" t="s">
        <v>206</v>
      </c>
      <c r="Q27" s="144">
        <f>Bois!$N5-6.5</f>
        <v>-1.8099999999999996</v>
      </c>
      <c r="R27" s="43"/>
      <c r="S27" s="16" t="s">
        <v>22</v>
      </c>
      <c r="T27" s="215">
        <v>0.55000000000000004</v>
      </c>
      <c r="U27" s="215">
        <v>0.45</v>
      </c>
      <c r="V27" s="215">
        <v>0.8</v>
      </c>
      <c r="W27" s="485"/>
      <c r="X27" s="215"/>
      <c r="Y27" s="43"/>
      <c r="Z27" s="46"/>
      <c r="AA27" s="43"/>
      <c r="AB27" s="43"/>
      <c r="AC27" s="46"/>
      <c r="AD27" s="17"/>
      <c r="AE27" s="48"/>
      <c r="AF27" s="37" t="s">
        <v>279</v>
      </c>
      <c r="AG27" s="47"/>
      <c r="AH27" s="49">
        <f>Table2[[#This Row],[Prix de vente ($)]]/Table2[[#This Row],[Superficie totale (ha)]]</f>
        <v>4828.5852245292126</v>
      </c>
      <c r="AI27" s="49" t="e">
        <f>Bois!$G5/Bois!$AD5</f>
        <v>#DIV/0!</v>
      </c>
    </row>
    <row r="28" spans="1:36" ht="39" customHeight="1">
      <c r="A28" s="187">
        <v>25995437</v>
      </c>
      <c r="B28" s="43"/>
      <c r="C28" s="148">
        <v>44214</v>
      </c>
      <c r="D28" s="37" t="s">
        <v>280</v>
      </c>
      <c r="E28" s="37" t="s">
        <v>281</v>
      </c>
      <c r="F28" s="45">
        <v>6212197</v>
      </c>
      <c r="G28" s="15">
        <v>190000</v>
      </c>
      <c r="H28" s="43"/>
      <c r="I28" s="43" t="s">
        <v>230</v>
      </c>
      <c r="J28" s="43" t="s">
        <v>282</v>
      </c>
      <c r="K28" s="43" t="s">
        <v>283</v>
      </c>
      <c r="L28" s="151" t="s">
        <v>284</v>
      </c>
      <c r="M28" s="155" t="s">
        <v>285</v>
      </c>
      <c r="N28" s="144">
        <v>17.690000000000001</v>
      </c>
      <c r="O28" s="43" t="s">
        <v>25</v>
      </c>
      <c r="P28" s="47" t="s">
        <v>165</v>
      </c>
      <c r="Q28" s="144">
        <v>17.690000000000001</v>
      </c>
      <c r="R28" s="43">
        <v>0</v>
      </c>
      <c r="S28" s="16" t="s">
        <v>20</v>
      </c>
      <c r="T28" s="215">
        <v>1</v>
      </c>
      <c r="U28" s="215">
        <v>0</v>
      </c>
      <c r="V28" s="215"/>
      <c r="W28" s="485"/>
      <c r="X28" s="215"/>
      <c r="Y28" s="43"/>
      <c r="Z28" s="46"/>
      <c r="AA28" s="43"/>
      <c r="AB28" s="43"/>
      <c r="AC28" s="46">
        <v>17.690000000000001</v>
      </c>
      <c r="AD28" s="17"/>
      <c r="AE28" s="48"/>
      <c r="AF28" s="37" t="s">
        <v>286</v>
      </c>
      <c r="AG28" s="47"/>
      <c r="AH28" s="49">
        <f>Table2[[#This Row],[Prix de vente ($)]]/Table2[[#This Row],[Superficie totale (ha)]]</f>
        <v>10740.531373657434</v>
      </c>
      <c r="AI28" s="49"/>
    </row>
    <row r="29" spans="1:36" ht="39" customHeight="1">
      <c r="A29" s="187">
        <v>26021098</v>
      </c>
      <c r="B29" s="43"/>
      <c r="C29" s="148">
        <v>44223</v>
      </c>
      <c r="D29" s="37" t="s">
        <v>287</v>
      </c>
      <c r="E29" s="37" t="s">
        <v>288</v>
      </c>
      <c r="F29" s="45" t="s">
        <v>289</v>
      </c>
      <c r="G29" s="15">
        <v>375000</v>
      </c>
      <c r="H29" s="43"/>
      <c r="I29" s="43" t="s">
        <v>230</v>
      </c>
      <c r="J29" s="43" t="s">
        <v>267</v>
      </c>
      <c r="K29" s="43" t="s">
        <v>268</v>
      </c>
      <c r="L29" s="151" t="s">
        <v>290</v>
      </c>
      <c r="M29" s="155" t="s">
        <v>291</v>
      </c>
      <c r="N29" s="144">
        <v>63.35</v>
      </c>
      <c r="O29" s="43" t="s">
        <v>18</v>
      </c>
      <c r="P29" s="47" t="s">
        <v>19</v>
      </c>
      <c r="Q29" s="144">
        <v>63.35</v>
      </c>
      <c r="R29" s="43">
        <v>0</v>
      </c>
      <c r="S29" s="16" t="s">
        <v>20</v>
      </c>
      <c r="T29" s="215">
        <v>0.7</v>
      </c>
      <c r="U29" s="215">
        <v>0.3</v>
      </c>
      <c r="V29" s="215"/>
      <c r="W29" s="485"/>
      <c r="X29" s="215"/>
      <c r="Y29" s="43"/>
      <c r="Z29" s="46"/>
      <c r="AA29" s="43"/>
      <c r="AB29" s="43"/>
      <c r="AC29" s="46">
        <v>29</v>
      </c>
      <c r="AD29" s="17"/>
      <c r="AE29" s="48"/>
      <c r="AF29" s="37" t="s">
        <v>271</v>
      </c>
      <c r="AG29" s="47"/>
      <c r="AH29" s="49">
        <f>Table2[[#This Row],[Prix de vente ($)]]/Table2[[#This Row],[Superficie totale (ha)]]</f>
        <v>5919.4948697711125</v>
      </c>
      <c r="AI29" s="49"/>
    </row>
    <row r="30" spans="1:36" ht="39" customHeight="1">
      <c r="A30" s="187">
        <v>26032402</v>
      </c>
      <c r="B30" s="43"/>
      <c r="C30" s="148">
        <v>44228</v>
      </c>
      <c r="D30" s="37" t="s">
        <v>292</v>
      </c>
      <c r="E30" s="37" t="s">
        <v>293</v>
      </c>
      <c r="F30" s="45" t="s">
        <v>294</v>
      </c>
      <c r="G30" s="15">
        <v>17000</v>
      </c>
      <c r="H30" s="43"/>
      <c r="I30" s="43" t="s">
        <v>16</v>
      </c>
      <c r="J30" s="43" t="s">
        <v>295</v>
      </c>
      <c r="K30" s="43" t="s">
        <v>296</v>
      </c>
      <c r="L30" s="151" t="s">
        <v>297</v>
      </c>
      <c r="M30" s="155" t="s">
        <v>298</v>
      </c>
      <c r="N30" s="144">
        <v>5.48</v>
      </c>
      <c r="O30" s="43" t="s">
        <v>18</v>
      </c>
      <c r="P30" s="47" t="s">
        <v>35</v>
      </c>
      <c r="Q30" s="144">
        <v>5.48</v>
      </c>
      <c r="R30" s="43">
        <v>0</v>
      </c>
      <c r="S30" s="16" t="s">
        <v>20</v>
      </c>
      <c r="T30" s="215">
        <v>0.65</v>
      </c>
      <c r="U30" s="215">
        <v>0.35</v>
      </c>
      <c r="V30" s="215"/>
      <c r="W30" s="485"/>
      <c r="X30" s="215"/>
      <c r="Y30" s="43"/>
      <c r="Z30" s="46"/>
      <c r="AA30" s="43"/>
      <c r="AB30" s="43"/>
      <c r="AC30" s="46">
        <v>2.2999999999999998</v>
      </c>
      <c r="AD30" s="17"/>
      <c r="AE30" s="48"/>
      <c r="AF30" s="37" t="s">
        <v>126</v>
      </c>
      <c r="AG30" s="47"/>
      <c r="AH30" s="49">
        <f>Table2[[#This Row],[Prix de vente ($)]]/Table2[[#This Row],[Superficie totale (ha)]]</f>
        <v>3102.1897810218975</v>
      </c>
      <c r="AI30" s="49"/>
    </row>
    <row r="31" spans="1:36" ht="39" customHeight="1">
      <c r="A31" s="187">
        <v>26073067</v>
      </c>
      <c r="B31" s="43"/>
      <c r="C31" s="148">
        <v>44231</v>
      </c>
      <c r="D31" s="37" t="s">
        <v>299</v>
      </c>
      <c r="E31" s="37" t="s">
        <v>300</v>
      </c>
      <c r="F31" s="43">
        <v>4479817</v>
      </c>
      <c r="G31" s="15">
        <v>12000</v>
      </c>
      <c r="H31" s="43"/>
      <c r="I31" s="43" t="s">
        <v>223</v>
      </c>
      <c r="J31" s="43" t="s">
        <v>301</v>
      </c>
      <c r="K31" s="43" t="s">
        <v>301</v>
      </c>
      <c r="L31" s="151" t="s">
        <v>302</v>
      </c>
      <c r="M31" s="155" t="s">
        <v>303</v>
      </c>
      <c r="N31" s="144">
        <v>5.89</v>
      </c>
      <c r="O31" s="43" t="s">
        <v>18</v>
      </c>
      <c r="P31" s="47" t="s">
        <v>35</v>
      </c>
      <c r="Q31" s="144">
        <f>N31</f>
        <v>5.89</v>
      </c>
      <c r="R31" s="43"/>
      <c r="S31" s="16"/>
      <c r="T31" s="215"/>
      <c r="U31" s="215"/>
      <c r="V31" s="215"/>
      <c r="W31" s="485"/>
      <c r="X31" s="215"/>
      <c r="Y31" s="43"/>
      <c r="Z31" s="46"/>
      <c r="AA31" s="43"/>
      <c r="AB31" s="43"/>
      <c r="AC31" s="46">
        <v>3.2</v>
      </c>
      <c r="AD31" s="17"/>
      <c r="AE31" s="48"/>
      <c r="AF31" s="37"/>
      <c r="AG31" s="47"/>
      <c r="AH31" s="49">
        <f>Table2[[#This Row],[Prix de vente ($)]]/Table2[[#This Row],[Superficie totale (ha)]]</f>
        <v>2037.3514431239389</v>
      </c>
      <c r="AI31" s="43" t="e">
        <f>G31/AD31</f>
        <v>#DIV/0!</v>
      </c>
    </row>
    <row r="32" spans="1:36" ht="39" customHeight="1">
      <c r="A32" s="187">
        <v>26130138</v>
      </c>
      <c r="B32" s="43"/>
      <c r="C32" s="148">
        <v>44237</v>
      </c>
      <c r="D32" s="37" t="s">
        <v>304</v>
      </c>
      <c r="E32" s="37" t="s">
        <v>305</v>
      </c>
      <c r="F32" s="45" t="s">
        <v>306</v>
      </c>
      <c r="G32" s="15">
        <v>37000</v>
      </c>
      <c r="H32" s="43"/>
      <c r="I32" s="43" t="s">
        <v>170</v>
      </c>
      <c r="J32" s="43" t="s">
        <v>307</v>
      </c>
      <c r="K32" s="43" t="s">
        <v>308</v>
      </c>
      <c r="L32" s="151">
        <v>49.100999999999999</v>
      </c>
      <c r="M32" s="155">
        <v>-68.206541000000001</v>
      </c>
      <c r="N32" s="144">
        <v>3.25</v>
      </c>
      <c r="O32" s="43" t="s">
        <v>309</v>
      </c>
      <c r="P32" s="47" t="s">
        <v>110</v>
      </c>
      <c r="Q32" s="144">
        <v>3.25</v>
      </c>
      <c r="R32" s="43">
        <v>0</v>
      </c>
      <c r="S32" s="16" t="s">
        <v>310</v>
      </c>
      <c r="T32" s="215">
        <v>0.1</v>
      </c>
      <c r="U32" s="215">
        <v>0.9</v>
      </c>
      <c r="V32" s="215"/>
      <c r="W32" s="485"/>
      <c r="X32" s="215"/>
      <c r="Y32" s="43"/>
      <c r="Z32" s="46"/>
      <c r="AA32" s="43"/>
      <c r="AB32" s="43"/>
      <c r="AC32" s="46">
        <v>0</v>
      </c>
      <c r="AD32" s="17"/>
      <c r="AE32" s="48"/>
      <c r="AF32" s="37" t="s">
        <v>311</v>
      </c>
      <c r="AG32" s="47"/>
      <c r="AH32" s="49">
        <f>Table2[[#This Row],[Prix de vente ($)]]/Table2[[#This Row],[Superficie totale (ha)]]</f>
        <v>11384.615384615385</v>
      </c>
      <c r="AI32" s="49"/>
    </row>
    <row r="33" spans="1:35" ht="39" customHeight="1">
      <c r="A33" s="187">
        <v>26303798</v>
      </c>
      <c r="B33" s="43"/>
      <c r="C33" s="148">
        <v>44237</v>
      </c>
      <c r="D33" s="37" t="s">
        <v>312</v>
      </c>
      <c r="E33" s="37" t="s">
        <v>313</v>
      </c>
      <c r="F33" s="43">
        <v>4479790</v>
      </c>
      <c r="G33" s="15">
        <v>115000</v>
      </c>
      <c r="H33" s="43"/>
      <c r="I33" s="43" t="s">
        <v>223</v>
      </c>
      <c r="J33" s="43" t="s">
        <v>301</v>
      </c>
      <c r="K33" s="43" t="s">
        <v>314</v>
      </c>
      <c r="L33" s="151" t="s">
        <v>315</v>
      </c>
      <c r="M33" s="155" t="s">
        <v>316</v>
      </c>
      <c r="N33" s="144">
        <v>16.93</v>
      </c>
      <c r="O33" s="43" t="s">
        <v>18</v>
      </c>
      <c r="P33" s="47" t="s">
        <v>317</v>
      </c>
      <c r="Q33" s="139">
        <f>N33</f>
        <v>16.93</v>
      </c>
      <c r="R33" s="43"/>
      <c r="S33" s="16"/>
      <c r="T33" s="215"/>
      <c r="U33" s="215"/>
      <c r="V33" s="215"/>
      <c r="W33" s="485"/>
      <c r="X33" s="215"/>
      <c r="Y33" s="43"/>
      <c r="Z33" s="46"/>
      <c r="AA33" s="43"/>
      <c r="AB33" s="43"/>
      <c r="AC33" s="46">
        <f>2.4+7.3</f>
        <v>9.6999999999999993</v>
      </c>
      <c r="AD33" s="17"/>
      <c r="AE33" s="48"/>
      <c r="AF33" s="37"/>
      <c r="AG33" s="47"/>
      <c r="AH33" s="49">
        <f>Table2[[#This Row],[Prix de vente ($)]]/Table2[[#This Row],[Superficie totale (ha)]]</f>
        <v>6792.6757235676314</v>
      </c>
      <c r="AI33" s="49" t="e">
        <f>G33/AD33</f>
        <v>#DIV/0!</v>
      </c>
    </row>
    <row r="34" spans="1:35" ht="39" customHeight="1">
      <c r="A34" s="187">
        <v>26147486</v>
      </c>
      <c r="B34" s="43"/>
      <c r="C34" s="148">
        <v>44250</v>
      </c>
      <c r="D34" s="37" t="s">
        <v>318</v>
      </c>
      <c r="E34" s="37" t="s">
        <v>319</v>
      </c>
      <c r="F34" s="43" t="s">
        <v>320</v>
      </c>
      <c r="G34" s="52">
        <v>158000</v>
      </c>
      <c r="H34" s="43"/>
      <c r="I34" s="43" t="s">
        <v>321</v>
      </c>
      <c r="J34" s="43" t="s">
        <v>322</v>
      </c>
      <c r="K34" s="43" t="s">
        <v>323</v>
      </c>
      <c r="L34" s="142" t="s">
        <v>324</v>
      </c>
      <c r="M34" s="142" t="s">
        <v>325</v>
      </c>
      <c r="N34" s="144">
        <f>18.86+2.3+0.33+0.74</f>
        <v>22.229999999999997</v>
      </c>
      <c r="O34" s="43" t="s">
        <v>18</v>
      </c>
      <c r="P34" s="47" t="s">
        <v>206</v>
      </c>
      <c r="Q34" s="144">
        <f>Bois!$N6</f>
        <v>19.579999999999998</v>
      </c>
      <c r="R34" s="43"/>
      <c r="S34" s="1" t="s">
        <v>20</v>
      </c>
      <c r="T34" s="217">
        <v>0.6</v>
      </c>
      <c r="U34" s="217">
        <v>0.4</v>
      </c>
      <c r="V34" s="217">
        <v>0.65</v>
      </c>
      <c r="W34" s="487"/>
      <c r="X34" s="217"/>
      <c r="Y34" s="43"/>
      <c r="Z34" s="46"/>
      <c r="AA34" s="43"/>
      <c r="AB34" s="43"/>
      <c r="AC34" s="46"/>
      <c r="AD34" s="53"/>
      <c r="AE34" s="48"/>
      <c r="AF34" s="37"/>
      <c r="AG34" s="47"/>
      <c r="AH34" s="49">
        <f>Table2[[#This Row],[Prix de vente ($)]]/Table2[[#This Row],[Superficie totale (ha)]]</f>
        <v>7107.5123706702661</v>
      </c>
      <c r="AI34" s="49" t="e">
        <f>Bois!$G6/Bois!$AD6</f>
        <v>#DIV/0!</v>
      </c>
    </row>
    <row r="35" spans="1:35" ht="39" customHeight="1">
      <c r="A35" s="187">
        <v>26183363</v>
      </c>
      <c r="B35" s="43"/>
      <c r="C35" s="148">
        <v>44252</v>
      </c>
      <c r="D35" s="79" t="s">
        <v>326</v>
      </c>
      <c r="E35" s="79" t="s">
        <v>327</v>
      </c>
      <c r="F35" s="45">
        <v>5944131</v>
      </c>
      <c r="G35" s="15">
        <v>700000</v>
      </c>
      <c r="H35" s="43"/>
      <c r="I35" s="43" t="s">
        <v>328</v>
      </c>
      <c r="J35" s="43" t="s">
        <v>329</v>
      </c>
      <c r="K35" s="43" t="s">
        <v>330</v>
      </c>
      <c r="L35" s="151" t="s">
        <v>331</v>
      </c>
      <c r="M35" s="155" t="s">
        <v>332</v>
      </c>
      <c r="N35" s="144">
        <v>82.84</v>
      </c>
      <c r="O35" s="43" t="s">
        <v>25</v>
      </c>
      <c r="P35" s="47" t="s">
        <v>19</v>
      </c>
      <c r="Q35" s="144">
        <v>77.84</v>
      </c>
      <c r="R35" s="43">
        <v>0</v>
      </c>
      <c r="S35" s="16" t="s">
        <v>20</v>
      </c>
      <c r="T35" s="215">
        <v>0.6</v>
      </c>
      <c r="U35" s="215">
        <v>0.4</v>
      </c>
      <c r="V35" s="215"/>
      <c r="W35" s="485"/>
      <c r="X35" s="215"/>
      <c r="Y35" s="43"/>
      <c r="Z35" s="46"/>
      <c r="AA35" s="43"/>
      <c r="AB35" s="43"/>
      <c r="AC35" s="46">
        <v>22.5</v>
      </c>
      <c r="AD35" s="17"/>
      <c r="AE35" s="48"/>
      <c r="AF35" s="37" t="s">
        <v>333</v>
      </c>
      <c r="AG35" s="47"/>
      <c r="AH35" s="49">
        <f>Table2[[#This Row],[Prix de vente ($)]]/Table2[[#This Row],[Superficie totale (ha)]]</f>
        <v>8450.0241429261223</v>
      </c>
      <c r="AI35" s="49"/>
    </row>
    <row r="36" spans="1:35" ht="39" customHeight="1">
      <c r="A36" s="187">
        <v>26115144</v>
      </c>
      <c r="B36" s="43"/>
      <c r="C36" s="148">
        <v>44260</v>
      </c>
      <c r="D36" s="37" t="s">
        <v>334</v>
      </c>
      <c r="E36" s="37" t="s">
        <v>335</v>
      </c>
      <c r="F36" s="43" t="s">
        <v>336</v>
      </c>
      <c r="G36" s="52">
        <v>34500</v>
      </c>
      <c r="H36" s="43"/>
      <c r="I36" s="43" t="s">
        <v>337</v>
      </c>
      <c r="J36" s="43" t="s">
        <v>338</v>
      </c>
      <c r="K36" s="43" t="s">
        <v>339</v>
      </c>
      <c r="L36" s="142" t="s">
        <v>340</v>
      </c>
      <c r="M36" s="142" t="s">
        <v>341</v>
      </c>
      <c r="N36" s="144">
        <v>1.64</v>
      </c>
      <c r="O36" s="43" t="s">
        <v>25</v>
      </c>
      <c r="P36" s="47" t="s">
        <v>206</v>
      </c>
      <c r="Q36" s="144">
        <v>1.64</v>
      </c>
      <c r="R36" s="43"/>
      <c r="S36" s="1" t="s">
        <v>20</v>
      </c>
      <c r="T36" s="217">
        <v>0.9</v>
      </c>
      <c r="U36" s="217">
        <v>0.1</v>
      </c>
      <c r="V36" s="217"/>
      <c r="W36" s="487"/>
      <c r="X36" s="217"/>
      <c r="Y36" s="43"/>
      <c r="Z36" s="46"/>
      <c r="AA36" s="43"/>
      <c r="AB36" s="43"/>
      <c r="AC36" s="46"/>
      <c r="AD36" s="53"/>
      <c r="AE36" s="48"/>
      <c r="AF36" s="37" t="s">
        <v>342</v>
      </c>
      <c r="AG36" s="47"/>
      <c r="AH36" s="49">
        <f>Table2[[#This Row],[Prix de vente ($)]]/Table2[[#This Row],[Superficie totale (ha)]]</f>
        <v>21036.585365853658</v>
      </c>
      <c r="AI36" s="49" t="e">
        <f>Bois!$G7/Bois!$AD7</f>
        <v>#DIV/0!</v>
      </c>
    </row>
    <row r="37" spans="1:35" ht="39" customHeight="1">
      <c r="A37" s="187">
        <v>26171908</v>
      </c>
      <c r="B37" s="43"/>
      <c r="C37" s="148">
        <v>44284</v>
      </c>
      <c r="D37" s="37" t="s">
        <v>343</v>
      </c>
      <c r="E37" s="37" t="s">
        <v>344</v>
      </c>
      <c r="F37" s="43" t="s">
        <v>345</v>
      </c>
      <c r="G37" s="15">
        <v>335000</v>
      </c>
      <c r="H37" s="43"/>
      <c r="I37" s="43" t="s">
        <v>230</v>
      </c>
      <c r="J37" s="43" t="s">
        <v>346</v>
      </c>
      <c r="K37" s="43" t="s">
        <v>347</v>
      </c>
      <c r="L37" s="151" t="s">
        <v>348</v>
      </c>
      <c r="M37" s="155" t="s">
        <v>349</v>
      </c>
      <c r="N37" s="144">
        <v>46.21</v>
      </c>
      <c r="O37" s="43" t="s">
        <v>18</v>
      </c>
      <c r="P37" s="47" t="s">
        <v>19</v>
      </c>
      <c r="Q37" s="144">
        <v>40.93</v>
      </c>
      <c r="R37" s="43">
        <v>2.4</v>
      </c>
      <c r="S37" s="16" t="s">
        <v>20</v>
      </c>
      <c r="T37" s="215">
        <v>0.9</v>
      </c>
      <c r="U37" s="215">
        <v>0.1</v>
      </c>
      <c r="V37" s="215"/>
      <c r="W37" s="485"/>
      <c r="X37" s="215"/>
      <c r="Y37" s="43"/>
      <c r="Z37" s="46"/>
      <c r="AA37" s="43"/>
      <c r="AB37" s="43"/>
      <c r="AC37" s="46">
        <v>19.5</v>
      </c>
      <c r="AD37" s="17"/>
      <c r="AE37" s="48"/>
      <c r="AF37" s="37"/>
      <c r="AG37" s="47"/>
      <c r="AH37" s="49">
        <f>Table2[[#This Row],[Prix de vente ($)]]/Table2[[#This Row],[Superficie totale (ha)]]</f>
        <v>7249.5130924042414</v>
      </c>
      <c r="AI37" s="43"/>
    </row>
    <row r="38" spans="1:35" ht="39" customHeight="1">
      <c r="A38" s="187">
        <v>26199842</v>
      </c>
      <c r="B38" s="43"/>
      <c r="C38" s="148">
        <v>44295</v>
      </c>
      <c r="D38" s="37" t="s">
        <v>350</v>
      </c>
      <c r="E38" s="37" t="s">
        <v>351</v>
      </c>
      <c r="F38" s="45" t="s">
        <v>352</v>
      </c>
      <c r="G38" s="15">
        <v>150000</v>
      </c>
      <c r="H38" s="43"/>
      <c r="I38" s="43" t="s">
        <v>230</v>
      </c>
      <c r="J38" s="43" t="s">
        <v>282</v>
      </c>
      <c r="K38" s="43" t="s">
        <v>353</v>
      </c>
      <c r="L38" s="151" t="s">
        <v>354</v>
      </c>
      <c r="M38" s="155" t="s">
        <v>355</v>
      </c>
      <c r="N38" s="144">
        <f>16.71+13.99</f>
        <v>30.700000000000003</v>
      </c>
      <c r="O38" s="43" t="s">
        <v>25</v>
      </c>
      <c r="P38" s="47" t="s">
        <v>165</v>
      </c>
      <c r="Q38" s="144">
        <f>30.7-4.1</f>
        <v>26.6</v>
      </c>
      <c r="R38" s="43">
        <v>0</v>
      </c>
      <c r="S38" s="16" t="s">
        <v>20</v>
      </c>
      <c r="T38" s="215">
        <v>0.7</v>
      </c>
      <c r="U38" s="215">
        <v>0.3</v>
      </c>
      <c r="V38" s="215"/>
      <c r="W38" s="485"/>
      <c r="X38" s="215"/>
      <c r="Y38" s="43"/>
      <c r="Z38" s="46"/>
      <c r="AA38" s="43"/>
      <c r="AB38" s="43"/>
      <c r="AC38" s="46">
        <v>5.7</v>
      </c>
      <c r="AD38" s="17"/>
      <c r="AE38" s="48"/>
      <c r="AF38" s="37" t="s">
        <v>112</v>
      </c>
      <c r="AG38" s="47"/>
      <c r="AH38" s="49">
        <f>Table2[[#This Row],[Prix de vente ($)]]/Table2[[#This Row],[Superficie totale (ha)]]</f>
        <v>4885.9934853420191</v>
      </c>
      <c r="AI38" s="49"/>
    </row>
    <row r="39" spans="1:35" ht="39" customHeight="1">
      <c r="A39" s="187">
        <v>26206431</v>
      </c>
      <c r="B39" s="43"/>
      <c r="C39" s="148">
        <v>44298</v>
      </c>
      <c r="D39" s="37" t="s">
        <v>356</v>
      </c>
      <c r="E39" s="37" t="s">
        <v>357</v>
      </c>
      <c r="F39" s="43">
        <v>4735650</v>
      </c>
      <c r="G39" s="15">
        <v>40000</v>
      </c>
      <c r="H39" s="43"/>
      <c r="I39" s="43" t="s">
        <v>97</v>
      </c>
      <c r="J39" s="43" t="s">
        <v>98</v>
      </c>
      <c r="K39" s="43" t="s">
        <v>358</v>
      </c>
      <c r="L39" s="151" t="s">
        <v>359</v>
      </c>
      <c r="M39" s="155" t="s">
        <v>360</v>
      </c>
      <c r="N39" s="144">
        <v>8.25</v>
      </c>
      <c r="O39" s="43" t="s">
        <v>25</v>
      </c>
      <c r="P39" s="47" t="s">
        <v>361</v>
      </c>
      <c r="Q39" s="139">
        <v>8.25</v>
      </c>
      <c r="R39" s="43"/>
      <c r="S39" s="16" t="s">
        <v>155</v>
      </c>
      <c r="T39" s="215">
        <v>0.8</v>
      </c>
      <c r="U39" s="215">
        <v>0.2</v>
      </c>
      <c r="V39" s="215" t="s">
        <v>362</v>
      </c>
      <c r="W39" s="485"/>
      <c r="X39" s="215"/>
      <c r="Y39" s="43"/>
      <c r="Z39" s="46"/>
      <c r="AA39" s="43"/>
      <c r="AB39" s="43"/>
      <c r="AC39" s="46">
        <v>3.5</v>
      </c>
      <c r="AD39" s="17"/>
      <c r="AE39" s="48"/>
      <c r="AF39" s="37" t="s">
        <v>363</v>
      </c>
      <c r="AG39" s="47"/>
      <c r="AH39" s="49">
        <f>Table2[[#This Row],[Prix de vente ($)]]/Table2[[#This Row],[Superficie totale (ha)]]</f>
        <v>4848.484848484848</v>
      </c>
      <c r="AI39" s="49" t="e">
        <v>#DIV/0!</v>
      </c>
    </row>
    <row r="40" spans="1:35" ht="39" customHeight="1">
      <c r="A40" s="187">
        <v>26221712</v>
      </c>
      <c r="B40" s="43"/>
      <c r="C40" s="148">
        <v>44302</v>
      </c>
      <c r="D40" s="37" t="s">
        <v>364</v>
      </c>
      <c r="E40" s="37" t="s">
        <v>365</v>
      </c>
      <c r="F40" s="43">
        <v>6411246</v>
      </c>
      <c r="G40" s="15">
        <v>40000</v>
      </c>
      <c r="H40" s="43"/>
      <c r="I40" s="43" t="s">
        <v>337</v>
      </c>
      <c r="J40" s="43" t="s">
        <v>338</v>
      </c>
      <c r="K40" s="43" t="s">
        <v>366</v>
      </c>
      <c r="L40" s="151" t="s">
        <v>367</v>
      </c>
      <c r="M40" s="151" t="s">
        <v>368</v>
      </c>
      <c r="N40" s="144">
        <v>3.49</v>
      </c>
      <c r="O40" s="43" t="s">
        <v>25</v>
      </c>
      <c r="P40" s="47" t="s">
        <v>206</v>
      </c>
      <c r="Q40" s="139">
        <v>3.49</v>
      </c>
      <c r="R40" s="43"/>
      <c r="S40" s="16" t="s">
        <v>369</v>
      </c>
      <c r="T40" s="215">
        <v>0.7</v>
      </c>
      <c r="U40" s="215">
        <v>0.3</v>
      </c>
      <c r="V40" s="215"/>
      <c r="W40" s="485"/>
      <c r="X40" s="215"/>
      <c r="Y40" s="43"/>
      <c r="Z40" s="46"/>
      <c r="AA40" s="43"/>
      <c r="AB40" s="43"/>
      <c r="AC40" s="46"/>
      <c r="AD40" s="17"/>
      <c r="AE40" s="48"/>
      <c r="AF40" s="37" t="s">
        <v>370</v>
      </c>
      <c r="AG40" s="47"/>
      <c r="AH40" s="49">
        <f>Table2[[#This Row],[Prix de vente ($)]]/Table2[[#This Row],[Superficie totale (ha)]]</f>
        <v>11461.31805157593</v>
      </c>
      <c r="AI40" s="49" t="e">
        <f>Bois!$G8/Bois!$AD8</f>
        <v>#DIV/0!</v>
      </c>
    </row>
    <row r="41" spans="1:35" ht="39" customHeight="1">
      <c r="A41" s="187">
        <v>26256714</v>
      </c>
      <c r="B41" s="43"/>
      <c r="C41" s="148">
        <v>44315</v>
      </c>
      <c r="D41" s="37" t="s">
        <v>371</v>
      </c>
      <c r="E41" s="37" t="s">
        <v>372</v>
      </c>
      <c r="F41" s="43" t="s">
        <v>373</v>
      </c>
      <c r="G41" s="52">
        <v>220000</v>
      </c>
      <c r="H41" s="43"/>
      <c r="I41" s="43" t="s">
        <v>321</v>
      </c>
      <c r="J41" s="43" t="s">
        <v>322</v>
      </c>
      <c r="K41" s="43" t="s">
        <v>374</v>
      </c>
      <c r="L41" s="142" t="s">
        <v>375</v>
      </c>
      <c r="M41" s="142" t="s">
        <v>376</v>
      </c>
      <c r="N41" s="144">
        <f>10.42+12.11</f>
        <v>22.53</v>
      </c>
      <c r="O41" s="43" t="s">
        <v>18</v>
      </c>
      <c r="P41" s="47" t="s">
        <v>206</v>
      </c>
      <c r="Q41" s="144">
        <f>Bois!$N9</f>
        <v>4.1500000000000004</v>
      </c>
      <c r="R41" s="43"/>
      <c r="S41" s="1" t="s">
        <v>22</v>
      </c>
      <c r="T41" s="217">
        <v>0.5</v>
      </c>
      <c r="U41" s="217">
        <v>0.5</v>
      </c>
      <c r="V41" s="217">
        <v>0.65</v>
      </c>
      <c r="W41" s="487"/>
      <c r="X41" s="217"/>
      <c r="Y41" s="43"/>
      <c r="Z41" s="46"/>
      <c r="AA41" s="43"/>
      <c r="AB41" s="43"/>
      <c r="AC41" s="46"/>
      <c r="AD41" s="53"/>
      <c r="AE41" s="48"/>
      <c r="AF41" s="37"/>
      <c r="AG41" s="47"/>
      <c r="AH41" s="49">
        <f>Table2[[#This Row],[Prix de vente ($)]]/Table2[[#This Row],[Superficie totale (ha)]]</f>
        <v>9764.758100310697</v>
      </c>
      <c r="AI41" s="49" t="e">
        <f>Bois!$G9/Bois!$AD9</f>
        <v>#DIV/0!</v>
      </c>
    </row>
    <row r="42" spans="1:35" ht="39" customHeight="1">
      <c r="A42" s="187">
        <v>26287971</v>
      </c>
      <c r="B42" s="43"/>
      <c r="C42" s="148">
        <v>44326</v>
      </c>
      <c r="D42" s="37" t="s">
        <v>377</v>
      </c>
      <c r="E42" s="37" t="s">
        <v>378</v>
      </c>
      <c r="F42" s="43" t="s">
        <v>379</v>
      </c>
      <c r="G42" s="15">
        <v>90000</v>
      </c>
      <c r="H42" s="43"/>
      <c r="I42" s="43" t="s">
        <v>149</v>
      </c>
      <c r="J42" s="43" t="s">
        <v>380</v>
      </c>
      <c r="K42" s="43" t="s">
        <v>381</v>
      </c>
      <c r="L42" s="151" t="s">
        <v>382</v>
      </c>
      <c r="M42" s="155" t="s">
        <v>383</v>
      </c>
      <c r="N42" s="144">
        <f>7.58+0.08</f>
        <v>7.66</v>
      </c>
      <c r="O42" s="43" t="s">
        <v>18</v>
      </c>
      <c r="P42" s="47" t="s">
        <v>384</v>
      </c>
      <c r="Q42" s="139">
        <v>4.8</v>
      </c>
      <c r="R42" s="43">
        <v>2.1800000000000002</v>
      </c>
      <c r="S42" s="16" t="s">
        <v>155</v>
      </c>
      <c r="T42" s="215">
        <v>0.9</v>
      </c>
      <c r="U42" s="215">
        <v>0.1</v>
      </c>
      <c r="V42" s="215"/>
      <c r="W42" s="485"/>
      <c r="X42" s="215"/>
      <c r="Y42" s="43"/>
      <c r="Z42" s="46"/>
      <c r="AA42" s="43"/>
      <c r="AB42" s="43"/>
      <c r="AC42" s="46">
        <v>0.5</v>
      </c>
      <c r="AD42" s="17"/>
      <c r="AE42" s="48"/>
      <c r="AF42" s="37"/>
      <c r="AG42" s="47"/>
      <c r="AH42" s="49">
        <f>Table2[[#This Row],[Prix de vente ($)]]/Table2[[#This Row],[Superficie totale (ha)]]</f>
        <v>11749.347258485639</v>
      </c>
      <c r="AI42" s="49" t="e">
        <f>G42/AD42</f>
        <v>#DIV/0!</v>
      </c>
    </row>
    <row r="43" spans="1:35" ht="39" customHeight="1">
      <c r="A43" s="196">
        <v>26286281</v>
      </c>
      <c r="C43" s="318">
        <v>44326</v>
      </c>
      <c r="D43" t="s">
        <v>385</v>
      </c>
      <c r="E43" t="s">
        <v>386</v>
      </c>
      <c r="F43" t="s">
        <v>387</v>
      </c>
      <c r="G43" s="93">
        <v>475000</v>
      </c>
      <c r="J43" t="s">
        <v>388</v>
      </c>
      <c r="K43" t="s">
        <v>389</v>
      </c>
      <c r="L43" s="205" t="s">
        <v>390</v>
      </c>
      <c r="M43" s="270" t="s">
        <v>391</v>
      </c>
      <c r="N43" s="211">
        <f>6.34+4.17</f>
        <v>10.51</v>
      </c>
      <c r="O43" t="s">
        <v>18</v>
      </c>
      <c r="P43" t="s">
        <v>206</v>
      </c>
      <c r="S43" s="94" t="s">
        <v>20</v>
      </c>
      <c r="T43" s="222">
        <v>1</v>
      </c>
      <c r="U43" s="222">
        <v>0</v>
      </c>
      <c r="V43" s="222" t="s">
        <v>362</v>
      </c>
      <c r="AF43" t="s">
        <v>392</v>
      </c>
      <c r="AH43" s="49">
        <f>Table2[[#This Row],[Prix de vente ($)]]/Table2[[#This Row],[Superficie totale (ha)]]</f>
        <v>45195.052331113227</v>
      </c>
    </row>
    <row r="44" spans="1:35" ht="39" customHeight="1">
      <c r="A44" s="196">
        <v>26286281</v>
      </c>
      <c r="C44" s="317">
        <v>44326</v>
      </c>
      <c r="D44" t="s">
        <v>393</v>
      </c>
      <c r="E44" t="s">
        <v>394</v>
      </c>
      <c r="F44" t="s">
        <v>387</v>
      </c>
      <c r="G44" s="94">
        <v>475000</v>
      </c>
      <c r="J44" t="s">
        <v>388</v>
      </c>
      <c r="K44" t="s">
        <v>389</v>
      </c>
      <c r="L44" s="96" t="s">
        <v>395</v>
      </c>
      <c r="M44" s="245" t="s">
        <v>396</v>
      </c>
      <c r="N44" s="63">
        <f>6.34+4.17</f>
        <v>10.51</v>
      </c>
      <c r="O44" t="s">
        <v>18</v>
      </c>
      <c r="P44" t="s">
        <v>206</v>
      </c>
      <c r="S44" s="94" t="s">
        <v>20</v>
      </c>
      <c r="T44" s="222">
        <v>1</v>
      </c>
      <c r="U44" s="222">
        <v>0</v>
      </c>
      <c r="V44" s="222" t="s">
        <v>397</v>
      </c>
      <c r="AF44" t="s">
        <v>398</v>
      </c>
      <c r="AG44" t="s">
        <v>399</v>
      </c>
      <c r="AH44" s="49">
        <f>Table2[[#This Row],[Prix de vente ($)]]/Table2[[#This Row],[Superficie totale (ha)]]</f>
        <v>45195.052331113227</v>
      </c>
    </row>
    <row r="45" spans="1:35" ht="39" customHeight="1">
      <c r="A45" s="187">
        <v>26288902</v>
      </c>
      <c r="B45" s="43"/>
      <c r="C45" s="148">
        <v>44327</v>
      </c>
      <c r="D45" s="37" t="s">
        <v>400</v>
      </c>
      <c r="E45" s="37" t="s">
        <v>401</v>
      </c>
      <c r="F45" s="45">
        <v>3198255</v>
      </c>
      <c r="G45" s="15">
        <v>28000</v>
      </c>
      <c r="H45" s="43"/>
      <c r="I45" s="43" t="s">
        <v>16</v>
      </c>
      <c r="J45" s="43" t="s">
        <v>402</v>
      </c>
      <c r="K45" s="43" t="s">
        <v>402</v>
      </c>
      <c r="L45" s="151" t="s">
        <v>403</v>
      </c>
      <c r="M45" s="155" t="s">
        <v>404</v>
      </c>
      <c r="N45" s="144">
        <v>4.75</v>
      </c>
      <c r="O45" s="43" t="s">
        <v>18</v>
      </c>
      <c r="P45" s="47" t="s">
        <v>35</v>
      </c>
      <c r="Q45" s="144">
        <f>N45</f>
        <v>4.75</v>
      </c>
      <c r="R45" s="43"/>
      <c r="S45" s="16" t="s">
        <v>33</v>
      </c>
      <c r="T45" s="215">
        <v>0.1</v>
      </c>
      <c r="U45" s="215">
        <v>0.9</v>
      </c>
      <c r="V45" s="215"/>
      <c r="W45" s="485"/>
      <c r="X45" s="215"/>
      <c r="Y45" s="43"/>
      <c r="Z45" s="46"/>
      <c r="AA45" s="43"/>
      <c r="AB45" s="43"/>
      <c r="AC45" s="46">
        <v>0</v>
      </c>
      <c r="AD45" s="17"/>
      <c r="AE45" s="48"/>
      <c r="AF45" s="37"/>
      <c r="AG45" s="47"/>
      <c r="AH45" s="49">
        <f>Table2[[#This Row],[Prix de vente ($)]]/Table2[[#This Row],[Superficie totale (ha)]]</f>
        <v>5894.7368421052633</v>
      </c>
      <c r="AI45" s="43" t="e">
        <v>#DIV/0!</v>
      </c>
    </row>
    <row r="46" spans="1:35" ht="39" customHeight="1">
      <c r="A46" s="187">
        <v>26425583</v>
      </c>
      <c r="B46" s="43"/>
      <c r="C46" s="148">
        <v>44333</v>
      </c>
      <c r="D46" s="37" t="s">
        <v>405</v>
      </c>
      <c r="E46" s="37" t="s">
        <v>406</v>
      </c>
      <c r="F46" s="45" t="s">
        <v>407</v>
      </c>
      <c r="G46" s="15">
        <v>297000</v>
      </c>
      <c r="H46" s="43"/>
      <c r="I46" s="43" t="s">
        <v>408</v>
      </c>
      <c r="J46" s="43" t="s">
        <v>409</v>
      </c>
      <c r="K46" s="43" t="s">
        <v>410</v>
      </c>
      <c r="L46" s="139" t="s">
        <v>411</v>
      </c>
      <c r="M46" s="155" t="s">
        <v>412</v>
      </c>
      <c r="N46" s="144">
        <v>19.02</v>
      </c>
      <c r="O46" s="43" t="s">
        <v>18</v>
      </c>
      <c r="P46" s="47" t="s">
        <v>165</v>
      </c>
      <c r="Q46" s="144">
        <v>19.02</v>
      </c>
      <c r="R46" s="43">
        <v>0</v>
      </c>
      <c r="S46" s="16" t="s">
        <v>20</v>
      </c>
      <c r="T46" s="215">
        <v>0.75</v>
      </c>
      <c r="U46" s="215">
        <v>0.25</v>
      </c>
      <c r="V46" s="215"/>
      <c r="W46" s="485"/>
      <c r="X46" s="215"/>
      <c r="Y46" s="43"/>
      <c r="Z46" s="46"/>
      <c r="AA46" s="43"/>
      <c r="AB46" s="43"/>
      <c r="AC46" s="46">
        <v>6.2</v>
      </c>
      <c r="AD46" s="17"/>
      <c r="AE46" s="48"/>
      <c r="AF46" s="37" t="s">
        <v>413</v>
      </c>
      <c r="AG46" s="47"/>
      <c r="AH46" s="49">
        <f>Table2[[#This Row],[Prix de vente ($)]]/Table2[[#This Row],[Superficie totale (ha)]]</f>
        <v>15615.141955835963</v>
      </c>
      <c r="AI46" s="49"/>
    </row>
    <row r="47" spans="1:35" ht="39" customHeight="1">
      <c r="A47" s="187">
        <v>26340830</v>
      </c>
      <c r="B47" s="43"/>
      <c r="C47" s="148">
        <v>44343</v>
      </c>
      <c r="D47" s="37" t="s">
        <v>414</v>
      </c>
      <c r="E47" s="37" t="s">
        <v>415</v>
      </c>
      <c r="F47" s="45" t="s">
        <v>416</v>
      </c>
      <c r="G47" s="15">
        <v>835000</v>
      </c>
      <c r="H47" s="43"/>
      <c r="I47" s="43" t="s">
        <v>230</v>
      </c>
      <c r="J47" s="43" t="s">
        <v>346</v>
      </c>
      <c r="K47" s="43" t="s">
        <v>347</v>
      </c>
      <c r="L47" s="151" t="s">
        <v>417</v>
      </c>
      <c r="M47" s="155" t="s">
        <v>418</v>
      </c>
      <c r="N47" s="144">
        <v>51.72</v>
      </c>
      <c r="O47" s="43" t="s">
        <v>18</v>
      </c>
      <c r="P47" s="47" t="s">
        <v>19</v>
      </c>
      <c r="Q47" s="144">
        <v>39.299999999999997</v>
      </c>
      <c r="R47" s="43">
        <v>7.1</v>
      </c>
      <c r="S47" s="16" t="s">
        <v>20</v>
      </c>
      <c r="T47" s="215">
        <v>0.6</v>
      </c>
      <c r="U47" s="215">
        <v>0.4</v>
      </c>
      <c r="V47" s="215"/>
      <c r="W47" s="485"/>
      <c r="X47" s="215"/>
      <c r="Y47" s="43">
        <v>2</v>
      </c>
      <c r="Z47" s="46"/>
      <c r="AA47" s="43"/>
      <c r="AB47" s="43"/>
      <c r="AC47" s="46">
        <v>10.199999999999999</v>
      </c>
      <c r="AD47" s="17"/>
      <c r="AE47" s="48"/>
      <c r="AF47" s="37" t="s">
        <v>419</v>
      </c>
      <c r="AG47" s="47"/>
      <c r="AH47" s="49">
        <f>Table2[[#This Row],[Prix de vente ($)]]/Table2[[#This Row],[Superficie totale (ha)]]</f>
        <v>16144.624903325599</v>
      </c>
      <c r="AI47" s="49"/>
    </row>
    <row r="48" spans="1:35" ht="39" customHeight="1">
      <c r="A48" s="187">
        <v>26378839</v>
      </c>
      <c r="B48" s="43"/>
      <c r="C48" s="148">
        <v>44354</v>
      </c>
      <c r="D48" s="37" t="s">
        <v>420</v>
      </c>
      <c r="E48" s="37" t="s">
        <v>421</v>
      </c>
      <c r="F48" s="43" t="s">
        <v>422</v>
      </c>
      <c r="G48" s="15">
        <v>330000</v>
      </c>
      <c r="H48" s="43"/>
      <c r="I48" s="43" t="s">
        <v>97</v>
      </c>
      <c r="J48" s="43" t="s">
        <v>98</v>
      </c>
      <c r="K48" s="43" t="s">
        <v>98</v>
      </c>
      <c r="L48" s="151" t="s">
        <v>423</v>
      </c>
      <c r="M48" s="155" t="s">
        <v>424</v>
      </c>
      <c r="N48" s="144">
        <f>42.8+41.32+40.12</f>
        <v>124.24000000000001</v>
      </c>
      <c r="O48" s="43" t="s">
        <v>25</v>
      </c>
      <c r="P48" s="47" t="s">
        <v>425</v>
      </c>
      <c r="Q48" s="144">
        <f>N48</f>
        <v>124.24000000000001</v>
      </c>
      <c r="R48" s="43"/>
      <c r="S48" s="16" t="s">
        <v>155</v>
      </c>
      <c r="T48" s="215">
        <v>0.8</v>
      </c>
      <c r="U48" s="215">
        <v>0.2</v>
      </c>
      <c r="V48" s="215" t="s">
        <v>243</v>
      </c>
      <c r="W48" s="485"/>
      <c r="X48" s="215"/>
      <c r="Y48" s="43"/>
      <c r="Z48" s="46"/>
      <c r="AA48" s="43"/>
      <c r="AB48" s="43"/>
      <c r="AC48" s="46">
        <v>16.399999999999999</v>
      </c>
      <c r="AD48" s="17"/>
      <c r="AE48" s="48"/>
      <c r="AF48" s="37" t="s">
        <v>31</v>
      </c>
      <c r="AG48" s="47"/>
      <c r="AH48" s="49">
        <f>Table2[[#This Row],[Prix de vente ($)]]/Table2[[#This Row],[Superficie totale (ha)]]</f>
        <v>2656.1493882807467</v>
      </c>
      <c r="AI48" s="43" t="e">
        <v>#DIV/0!</v>
      </c>
    </row>
    <row r="49" spans="1:36" ht="39" customHeight="1">
      <c r="A49" s="187">
        <v>26504832</v>
      </c>
      <c r="B49" s="43"/>
      <c r="C49" s="148">
        <v>44391</v>
      </c>
      <c r="D49" s="37" t="s">
        <v>426</v>
      </c>
      <c r="E49" s="37" t="s">
        <v>427</v>
      </c>
      <c r="F49" s="43" t="s">
        <v>428</v>
      </c>
      <c r="G49" s="52">
        <v>400000</v>
      </c>
      <c r="H49" s="43"/>
      <c r="I49" s="43" t="s">
        <v>321</v>
      </c>
      <c r="J49" s="43" t="s">
        <v>322</v>
      </c>
      <c r="K49" s="43" t="s">
        <v>429</v>
      </c>
      <c r="L49" s="142" t="s">
        <v>430</v>
      </c>
      <c r="M49" s="142" t="s">
        <v>431</v>
      </c>
      <c r="N49" s="144">
        <v>20.37</v>
      </c>
      <c r="O49" s="43" t="s">
        <v>18</v>
      </c>
      <c r="P49" s="47" t="s">
        <v>206</v>
      </c>
      <c r="Q49" s="139">
        <f>15.18+5.19</f>
        <v>20.37</v>
      </c>
      <c r="R49" s="43"/>
      <c r="S49" s="1" t="s">
        <v>22</v>
      </c>
      <c r="T49" s="217">
        <v>0.55000000000000004</v>
      </c>
      <c r="U49" s="217">
        <v>0.45</v>
      </c>
      <c r="V49" s="217">
        <v>0.8</v>
      </c>
      <c r="W49" s="487"/>
      <c r="X49" s="217"/>
      <c r="Y49" s="43"/>
      <c r="Z49" s="46"/>
      <c r="AA49" s="43"/>
      <c r="AB49" s="43"/>
      <c r="AC49" s="46"/>
      <c r="AD49" s="53"/>
      <c r="AE49" s="48"/>
      <c r="AF49" s="37"/>
      <c r="AG49" s="47"/>
      <c r="AH49" s="49">
        <f>Table2[[#This Row],[Prix de vente ($)]]/Table2[[#This Row],[Superficie totale (ha)]]</f>
        <v>19636.7206676485</v>
      </c>
      <c r="AI49" s="49" t="e">
        <f>Bois!$G10/Bois!$AD10</f>
        <v>#DIV/0!</v>
      </c>
    </row>
    <row r="50" spans="1:36" ht="39" customHeight="1">
      <c r="A50" s="187">
        <v>26568918</v>
      </c>
      <c r="B50" s="43"/>
      <c r="C50" s="148">
        <v>44414</v>
      </c>
      <c r="D50" s="37" t="s">
        <v>432</v>
      </c>
      <c r="E50" s="37" t="s">
        <v>433</v>
      </c>
      <c r="F50" s="43" t="s">
        <v>434</v>
      </c>
      <c r="G50" s="52">
        <v>80000</v>
      </c>
      <c r="H50" s="43"/>
      <c r="I50" s="43" t="s">
        <v>201</v>
      </c>
      <c r="J50" s="43" t="s">
        <v>202</v>
      </c>
      <c r="K50" s="43" t="s">
        <v>435</v>
      </c>
      <c r="L50" s="142" t="s">
        <v>436</v>
      </c>
      <c r="M50" s="142" t="s">
        <v>437</v>
      </c>
      <c r="N50" s="144">
        <f>1.46+1.07+0.98</f>
        <v>3.5100000000000002</v>
      </c>
      <c r="O50" s="43" t="s">
        <v>18</v>
      </c>
      <c r="P50" s="47" t="s">
        <v>438</v>
      </c>
      <c r="Q50" s="144">
        <v>3.51</v>
      </c>
      <c r="R50" s="43"/>
      <c r="S50" s="1" t="s">
        <v>369</v>
      </c>
      <c r="T50" s="217">
        <v>0.65</v>
      </c>
      <c r="U50" s="217">
        <v>0.35</v>
      </c>
      <c r="V50" s="217"/>
      <c r="W50" s="487"/>
      <c r="X50" s="217"/>
      <c r="Y50" s="43"/>
      <c r="Z50" s="46"/>
      <c r="AA50" s="43"/>
      <c r="AB50" s="43"/>
      <c r="AC50" s="46"/>
      <c r="AD50" s="53"/>
      <c r="AE50" s="48"/>
      <c r="AF50" s="37" t="s">
        <v>439</v>
      </c>
      <c r="AG50" s="47"/>
      <c r="AH50" s="49">
        <f>Table2[[#This Row],[Prix de vente ($)]]/Table2[[#This Row],[Superficie totale (ha)]]</f>
        <v>22792.022792022792</v>
      </c>
      <c r="AI50" s="49" t="e">
        <f>Bois!$G11/Bois!$AD11</f>
        <v>#DIV/0!</v>
      </c>
    </row>
    <row r="51" spans="1:36" ht="39" customHeight="1">
      <c r="A51" s="187">
        <v>26629727</v>
      </c>
      <c r="B51" s="43"/>
      <c r="C51" s="148">
        <v>44440</v>
      </c>
      <c r="D51" s="37" t="s">
        <v>440</v>
      </c>
      <c r="E51" s="37" t="s">
        <v>441</v>
      </c>
      <c r="F51" s="43">
        <v>5287010</v>
      </c>
      <c r="G51" s="52">
        <v>90000</v>
      </c>
      <c r="H51" s="43"/>
      <c r="I51" s="43" t="s">
        <v>274</v>
      </c>
      <c r="J51" s="43" t="s">
        <v>275</v>
      </c>
      <c r="K51" s="43" t="s">
        <v>442</v>
      </c>
      <c r="L51" s="142" t="s">
        <v>443</v>
      </c>
      <c r="M51" s="142" t="s">
        <v>444</v>
      </c>
      <c r="N51" s="144">
        <v>39.43</v>
      </c>
      <c r="O51" s="43" t="s">
        <v>18</v>
      </c>
      <c r="P51" s="47" t="s">
        <v>63</v>
      </c>
      <c r="Q51" s="144">
        <f>Bois!$N12</f>
        <v>264.29000000000002</v>
      </c>
      <c r="R51" s="43"/>
      <c r="S51" s="1" t="s">
        <v>20</v>
      </c>
      <c r="T51" s="217">
        <v>0.75</v>
      </c>
      <c r="U51" s="217">
        <v>0.25</v>
      </c>
      <c r="V51" s="217">
        <v>0.75</v>
      </c>
      <c r="W51" s="487"/>
      <c r="X51" s="217"/>
      <c r="Y51" s="43"/>
      <c r="Z51" s="46"/>
      <c r="AA51" s="43"/>
      <c r="AB51" s="43"/>
      <c r="AC51" s="46"/>
      <c r="AD51" s="53"/>
      <c r="AE51" s="48"/>
      <c r="AF51" s="37" t="s">
        <v>445</v>
      </c>
      <c r="AG51" s="47"/>
      <c r="AH51" s="49">
        <f>Table2[[#This Row],[Prix de vente ($)]]/Table2[[#This Row],[Superficie totale (ha)]]</f>
        <v>2282.5259954349481</v>
      </c>
      <c r="AI51" s="49" t="e">
        <f>Bois!$G12/Bois!$AD12</f>
        <v>#DIV/0!</v>
      </c>
    </row>
    <row r="52" spans="1:36" ht="39" customHeight="1">
      <c r="A52" s="187">
        <v>27127821</v>
      </c>
      <c r="B52" s="43"/>
      <c r="C52" s="148">
        <v>44460</v>
      </c>
      <c r="D52" s="37" t="s">
        <v>446</v>
      </c>
      <c r="E52" s="37" t="s">
        <v>447</v>
      </c>
      <c r="F52" s="43">
        <v>6454294</v>
      </c>
      <c r="G52" s="15">
        <v>20000</v>
      </c>
      <c r="H52" s="43"/>
      <c r="I52" s="43" t="s">
        <v>337</v>
      </c>
      <c r="J52" s="43" t="s">
        <v>338</v>
      </c>
      <c r="K52" s="43" t="s">
        <v>448</v>
      </c>
      <c r="L52" s="151" t="s">
        <v>449</v>
      </c>
      <c r="M52" s="151" t="s">
        <v>450</v>
      </c>
      <c r="N52" s="144">
        <v>0.49</v>
      </c>
      <c r="O52" s="43" t="s">
        <v>25</v>
      </c>
      <c r="P52" s="47" t="s">
        <v>206</v>
      </c>
      <c r="Q52" s="144">
        <v>0.49</v>
      </c>
      <c r="R52" s="43"/>
      <c r="S52" s="16" t="s">
        <v>212</v>
      </c>
      <c r="T52" s="215">
        <v>0.7</v>
      </c>
      <c r="U52" s="215">
        <v>0.3</v>
      </c>
      <c r="V52" s="215"/>
      <c r="W52" s="485"/>
      <c r="X52" s="215"/>
      <c r="Y52" s="43"/>
      <c r="Z52" s="46"/>
      <c r="AA52" s="43"/>
      <c r="AB52" s="43"/>
      <c r="AC52" s="46"/>
      <c r="AD52" s="17"/>
      <c r="AE52" s="48"/>
      <c r="AF52" s="37" t="s">
        <v>451</v>
      </c>
      <c r="AG52" s="47"/>
      <c r="AH52" s="49">
        <f>Table2[[#This Row],[Prix de vente ($)]]/Table2[[#This Row],[Superficie totale (ha)]]</f>
        <v>40816.326530612248</v>
      </c>
      <c r="AI52" s="49" t="e">
        <f>Bois!$G13/Bois!$AD13</f>
        <v>#DIV/0!</v>
      </c>
    </row>
    <row r="53" spans="1:36" ht="39" customHeight="1">
      <c r="A53" s="187">
        <v>26702026</v>
      </c>
      <c r="B53" s="43"/>
      <c r="C53" s="148">
        <v>44468</v>
      </c>
      <c r="D53" s="37" t="s">
        <v>452</v>
      </c>
      <c r="E53" s="37" t="s">
        <v>453</v>
      </c>
      <c r="F53" s="43">
        <v>4479714</v>
      </c>
      <c r="G53" s="15">
        <v>50000</v>
      </c>
      <c r="H53" s="43"/>
      <c r="I53" s="43" t="s">
        <v>223</v>
      </c>
      <c r="J53" s="43" t="s">
        <v>301</v>
      </c>
      <c r="K53" s="43" t="s">
        <v>314</v>
      </c>
      <c r="L53" s="151" t="s">
        <v>454</v>
      </c>
      <c r="M53" s="155" t="s">
        <v>455</v>
      </c>
      <c r="N53" s="144">
        <v>7.46</v>
      </c>
      <c r="O53" s="43" t="s">
        <v>18</v>
      </c>
      <c r="P53" s="47" t="s">
        <v>317</v>
      </c>
      <c r="Q53" s="144">
        <f>N53</f>
        <v>7.46</v>
      </c>
      <c r="R53" s="43"/>
      <c r="S53" s="16"/>
      <c r="T53" s="215"/>
      <c r="U53" s="215"/>
      <c r="V53" s="215"/>
      <c r="W53" s="485"/>
      <c r="X53" s="215"/>
      <c r="Y53" s="43"/>
      <c r="Z53" s="46"/>
      <c r="AA53" s="43"/>
      <c r="AB53" s="43"/>
      <c r="AC53" s="46">
        <v>4.8</v>
      </c>
      <c r="AD53" s="17"/>
      <c r="AE53" s="48"/>
      <c r="AF53" s="37"/>
      <c r="AG53" s="47"/>
      <c r="AH53" s="49">
        <f>Table2[[#This Row],[Prix de vente ($)]]/Table2[[#This Row],[Superficie totale (ha)]]</f>
        <v>6702.4128686327076</v>
      </c>
      <c r="AI53" s="43" t="e">
        <f>G53/AD53</f>
        <v>#DIV/0!</v>
      </c>
      <c r="AJ53" s="66"/>
    </row>
    <row r="54" spans="1:36" ht="39" customHeight="1">
      <c r="A54" s="187">
        <v>26726692</v>
      </c>
      <c r="B54" s="43"/>
      <c r="C54" s="148">
        <v>44477</v>
      </c>
      <c r="D54" s="37" t="s">
        <v>456</v>
      </c>
      <c r="E54" s="37" t="s">
        <v>457</v>
      </c>
      <c r="F54" s="43">
        <v>6451734</v>
      </c>
      <c r="G54" s="52">
        <v>10000</v>
      </c>
      <c r="H54" s="43"/>
      <c r="I54" s="43" t="s">
        <v>337</v>
      </c>
      <c r="J54" s="43" t="s">
        <v>338</v>
      </c>
      <c r="K54" s="43" t="s">
        <v>458</v>
      </c>
      <c r="L54" s="142" t="s">
        <v>459</v>
      </c>
      <c r="M54" s="142" t="s">
        <v>460</v>
      </c>
      <c r="N54" s="144">
        <v>0.71</v>
      </c>
      <c r="O54" s="43" t="s">
        <v>25</v>
      </c>
      <c r="P54" s="47" t="s">
        <v>206</v>
      </c>
      <c r="Q54" s="144">
        <v>0.71</v>
      </c>
      <c r="R54" s="43"/>
      <c r="S54" s="1" t="s">
        <v>212</v>
      </c>
      <c r="T54" s="217">
        <v>0.47</v>
      </c>
      <c r="U54" s="217">
        <v>0.53</v>
      </c>
      <c r="V54" s="217"/>
      <c r="W54" s="487"/>
      <c r="X54" s="217"/>
      <c r="Y54" s="43"/>
      <c r="Z54" s="46"/>
      <c r="AA54" s="43"/>
      <c r="AB54" s="43"/>
      <c r="AC54" s="46"/>
      <c r="AD54" s="53"/>
      <c r="AE54" s="48"/>
      <c r="AF54" s="37" t="s">
        <v>461</v>
      </c>
      <c r="AG54" s="47"/>
      <c r="AH54" s="49">
        <f>Table2[[#This Row],[Prix de vente ($)]]/Table2[[#This Row],[Superficie totale (ha)]]</f>
        <v>14084.507042253521</v>
      </c>
      <c r="AI54" s="49" t="e">
        <f>Bois!$G15/Bois!$AD15</f>
        <v>#DIV/0!</v>
      </c>
      <c r="AJ54" s="66"/>
    </row>
    <row r="55" spans="1:36" ht="39" customHeight="1">
      <c r="A55" s="187">
        <v>26985131</v>
      </c>
      <c r="B55" s="43"/>
      <c r="C55" s="148">
        <v>44477</v>
      </c>
      <c r="D55" s="37" t="s">
        <v>462</v>
      </c>
      <c r="E55" s="37" t="s">
        <v>463</v>
      </c>
      <c r="F55" s="43" t="s">
        <v>464</v>
      </c>
      <c r="G55" s="15">
        <v>25500</v>
      </c>
      <c r="H55" s="43"/>
      <c r="I55" s="43" t="s">
        <v>337</v>
      </c>
      <c r="J55" s="43" t="s">
        <v>338</v>
      </c>
      <c r="K55" s="43" t="s">
        <v>465</v>
      </c>
      <c r="L55" s="151" t="s">
        <v>466</v>
      </c>
      <c r="M55" s="151" t="s">
        <v>467</v>
      </c>
      <c r="N55" s="144">
        <f>0.12+1.69</f>
        <v>1.81</v>
      </c>
      <c r="O55" s="43" t="s">
        <v>25</v>
      </c>
      <c r="P55" s="47" t="s">
        <v>206</v>
      </c>
      <c r="Q55" s="144">
        <f>0.12+1.69</f>
        <v>1.81</v>
      </c>
      <c r="R55" s="43"/>
      <c r="S55" s="16" t="s">
        <v>33</v>
      </c>
      <c r="T55" s="215">
        <v>0.9</v>
      </c>
      <c r="U55" s="215">
        <v>0.1</v>
      </c>
      <c r="V55" s="215"/>
      <c r="W55" s="485"/>
      <c r="X55" s="215"/>
      <c r="Y55" s="43"/>
      <c r="Z55" s="46"/>
      <c r="AA55" s="43"/>
      <c r="AB55" s="43"/>
      <c r="AC55" s="46"/>
      <c r="AD55" s="17"/>
      <c r="AE55" s="48"/>
      <c r="AF55" s="37" t="s">
        <v>370</v>
      </c>
      <c r="AG55" s="47"/>
      <c r="AH55" s="49">
        <f>Table2[[#This Row],[Prix de vente ($)]]/Table2[[#This Row],[Superficie totale (ha)]]</f>
        <v>14088.397790055249</v>
      </c>
      <c r="AI55" s="49">
        <f>Bois!$G14/Bois!$AD14</f>
        <v>530</v>
      </c>
    </row>
    <row r="56" spans="1:36" ht="39" customHeight="1">
      <c r="A56" s="187">
        <v>27281279</v>
      </c>
      <c r="B56" s="43"/>
      <c r="C56" s="148">
        <v>44481</v>
      </c>
      <c r="D56" s="37" t="s">
        <v>23</v>
      </c>
      <c r="E56" s="37" t="s">
        <v>468</v>
      </c>
      <c r="F56" s="43">
        <v>6464395</v>
      </c>
      <c r="G56" s="15">
        <v>110000</v>
      </c>
      <c r="H56" s="43"/>
      <c r="I56" s="43" t="s">
        <v>29</v>
      </c>
      <c r="J56" s="43" t="s">
        <v>469</v>
      </c>
      <c r="K56" s="43" t="s">
        <v>470</v>
      </c>
      <c r="L56" s="151" t="s">
        <v>471</v>
      </c>
      <c r="M56" s="155" t="s">
        <v>472</v>
      </c>
      <c r="N56" s="144">
        <f>591217.21/10.7639/10000</f>
        <v>5.4925929263556883</v>
      </c>
      <c r="O56" s="43" t="s">
        <v>18</v>
      </c>
      <c r="P56" s="47" t="s">
        <v>63</v>
      </c>
      <c r="Q56" s="144">
        <f>N56</f>
        <v>5.4925929263556883</v>
      </c>
      <c r="R56" s="43"/>
      <c r="S56" s="16" t="s">
        <v>33</v>
      </c>
      <c r="T56" s="215">
        <v>0.45</v>
      </c>
      <c r="U56" s="215">
        <v>0.55000000000000004</v>
      </c>
      <c r="V56" s="215">
        <v>0.75</v>
      </c>
      <c r="W56" s="485"/>
      <c r="X56" s="215"/>
      <c r="Y56" s="43"/>
      <c r="Z56" s="46"/>
      <c r="AA56" s="43"/>
      <c r="AB56" s="43"/>
      <c r="AC56" s="46">
        <v>1.6</v>
      </c>
      <c r="AD56" s="17">
        <v>1000</v>
      </c>
      <c r="AE56" s="48"/>
      <c r="AF56" s="37" t="s">
        <v>473</v>
      </c>
      <c r="AG56" s="47"/>
      <c r="AH56" s="49">
        <f>Table2[[#This Row],[Prix de vente ($)]]/Table2[[#This Row],[Superficie totale (ha)]]</f>
        <v>20026.971136378121</v>
      </c>
      <c r="AI56" s="49">
        <f>G56/AD56</f>
        <v>110</v>
      </c>
    </row>
    <row r="57" spans="1:36" ht="39" customHeight="1">
      <c r="A57" s="187">
        <v>27656363</v>
      </c>
      <c r="B57" s="43"/>
      <c r="C57" s="148">
        <v>44481</v>
      </c>
      <c r="D57" s="37" t="s">
        <v>474</v>
      </c>
      <c r="E57" s="37" t="s">
        <v>475</v>
      </c>
      <c r="F57" s="45">
        <v>5772387</v>
      </c>
      <c r="G57" s="15">
        <v>80000</v>
      </c>
      <c r="H57" s="43"/>
      <c r="I57" s="43" t="s">
        <v>476</v>
      </c>
      <c r="J57" s="43" t="s">
        <v>477</v>
      </c>
      <c r="K57" s="43" t="s">
        <v>478</v>
      </c>
      <c r="L57" s="151" t="s">
        <v>479</v>
      </c>
      <c r="M57" s="155" t="s">
        <v>480</v>
      </c>
      <c r="N57" s="144">
        <v>6.51</v>
      </c>
      <c r="O57" s="43" t="s">
        <v>18</v>
      </c>
      <c r="P57" s="47" t="s">
        <v>35</v>
      </c>
      <c r="Q57" s="144">
        <v>6.51</v>
      </c>
      <c r="R57" s="43">
        <v>0</v>
      </c>
      <c r="S57" s="16" t="s">
        <v>102</v>
      </c>
      <c r="T57" s="215">
        <v>0.35</v>
      </c>
      <c r="U57" s="215">
        <v>0.65</v>
      </c>
      <c r="V57" s="215"/>
      <c r="W57" s="485"/>
      <c r="X57" s="215"/>
      <c r="Y57" s="43"/>
      <c r="Z57" s="46"/>
      <c r="AA57" s="43"/>
      <c r="AB57" s="43"/>
      <c r="AC57" s="46">
        <v>0</v>
      </c>
      <c r="AD57" s="17"/>
      <c r="AE57" s="48"/>
      <c r="AF57" s="37" t="s">
        <v>481</v>
      </c>
      <c r="AG57" s="47"/>
      <c r="AH57" s="49">
        <f>Table2[[#This Row],[Prix de vente ($)]]/Table2[[#This Row],[Superficie totale (ha)]]</f>
        <v>12288.78648233487</v>
      </c>
      <c r="AI57" s="49"/>
    </row>
    <row r="58" spans="1:36" ht="39" customHeight="1">
      <c r="A58" s="187">
        <v>27538693</v>
      </c>
      <c r="B58" s="43"/>
      <c r="C58" s="148">
        <v>44481</v>
      </c>
      <c r="D58" s="37" t="s">
        <v>482</v>
      </c>
      <c r="E58" s="37" t="s">
        <v>483</v>
      </c>
      <c r="F58" s="43">
        <v>4634225</v>
      </c>
      <c r="G58" s="52">
        <v>75000</v>
      </c>
      <c r="H58" s="43"/>
      <c r="I58" s="43" t="s">
        <v>223</v>
      </c>
      <c r="J58" s="43" t="s">
        <v>484</v>
      </c>
      <c r="K58" s="43" t="s">
        <v>484</v>
      </c>
      <c r="L58" s="142" t="s">
        <v>485</v>
      </c>
      <c r="M58" s="142" t="s">
        <v>486</v>
      </c>
      <c r="N58" s="144">
        <v>20.2</v>
      </c>
      <c r="O58" s="43" t="s">
        <v>18</v>
      </c>
      <c r="P58" s="47" t="s">
        <v>317</v>
      </c>
      <c r="Q58" s="144">
        <f>Bois!$N16</f>
        <v>9.1900000000000013</v>
      </c>
      <c r="R58" s="43"/>
      <c r="S58" s="1"/>
      <c r="T58" s="217"/>
      <c r="U58" s="217"/>
      <c r="V58" s="217"/>
      <c r="W58" s="487"/>
      <c r="X58" s="217"/>
      <c r="Y58" s="43"/>
      <c r="Z58" s="46"/>
      <c r="AA58" s="43"/>
      <c r="AB58" s="43"/>
      <c r="AC58" s="46">
        <v>12.1</v>
      </c>
      <c r="AD58" s="53"/>
      <c r="AE58" s="48"/>
      <c r="AF58" s="37"/>
      <c r="AG58" s="47"/>
      <c r="AH58" s="49">
        <f>Table2[[#This Row],[Prix de vente ($)]]/Table2[[#This Row],[Superficie totale (ha)]]</f>
        <v>3712.871287128713</v>
      </c>
      <c r="AI58" s="49" t="e">
        <f>Bois!$G16/Bois!$AD16</f>
        <v>#DIV/0!</v>
      </c>
    </row>
    <row r="59" spans="1:36" ht="39" customHeight="1">
      <c r="A59" s="187">
        <v>27200589</v>
      </c>
      <c r="B59" s="43"/>
      <c r="C59" s="148">
        <v>44515</v>
      </c>
      <c r="D59" s="37" t="s">
        <v>487</v>
      </c>
      <c r="E59" s="37" t="s">
        <v>488</v>
      </c>
      <c r="F59" s="45">
        <v>5892356</v>
      </c>
      <c r="G59" s="15">
        <v>162000</v>
      </c>
      <c r="H59" s="43"/>
      <c r="I59" s="43" t="s">
        <v>408</v>
      </c>
      <c r="J59" s="43" t="s">
        <v>409</v>
      </c>
      <c r="K59" s="43" t="s">
        <v>489</v>
      </c>
      <c r="L59" s="151" t="s">
        <v>490</v>
      </c>
      <c r="M59" s="155" t="s">
        <v>491</v>
      </c>
      <c r="N59" s="144">
        <v>5.83</v>
      </c>
      <c r="O59" s="43" t="s">
        <v>18</v>
      </c>
      <c r="P59" s="47" t="s">
        <v>35</v>
      </c>
      <c r="Q59" s="144">
        <v>5.83</v>
      </c>
      <c r="R59" s="43">
        <v>0</v>
      </c>
      <c r="S59" s="16" t="s">
        <v>20</v>
      </c>
      <c r="T59" s="215">
        <v>0.9</v>
      </c>
      <c r="U59" s="215">
        <v>0.1</v>
      </c>
      <c r="V59" s="215"/>
      <c r="W59" s="485"/>
      <c r="X59" s="215"/>
      <c r="Y59" s="43"/>
      <c r="Z59" s="46"/>
      <c r="AA59" s="43"/>
      <c r="AB59" s="43"/>
      <c r="AC59" s="46">
        <v>5.83</v>
      </c>
      <c r="AD59" s="17"/>
      <c r="AE59" s="48"/>
      <c r="AF59" s="37" t="s">
        <v>492</v>
      </c>
      <c r="AG59" s="47"/>
      <c r="AH59" s="49">
        <f>Table2[[#This Row],[Prix de vente ($)]]/Table2[[#This Row],[Superficie totale (ha)]]</f>
        <v>27787.307032590052</v>
      </c>
      <c r="AI59" s="49"/>
    </row>
    <row r="60" spans="1:36" ht="39" customHeight="1">
      <c r="A60" s="187">
        <v>26994774</v>
      </c>
      <c r="B60" s="43"/>
      <c r="C60" s="148">
        <v>44518</v>
      </c>
      <c r="D60" s="37" t="s">
        <v>493</v>
      </c>
      <c r="E60" s="37" t="s">
        <v>494</v>
      </c>
      <c r="F60" s="45">
        <v>5691506</v>
      </c>
      <c r="G60" s="15">
        <v>525000</v>
      </c>
      <c r="H60" s="43"/>
      <c r="I60" s="43" t="s">
        <v>74</v>
      </c>
      <c r="J60" s="43" t="s">
        <v>495</v>
      </c>
      <c r="K60" s="43" t="s">
        <v>496</v>
      </c>
      <c r="L60" s="151" t="s">
        <v>497</v>
      </c>
      <c r="M60" s="155" t="s">
        <v>498</v>
      </c>
      <c r="N60" s="144">
        <v>32.78</v>
      </c>
      <c r="O60" s="43" t="s">
        <v>18</v>
      </c>
      <c r="P60" s="47" t="s">
        <v>19</v>
      </c>
      <c r="Q60" s="144">
        <v>32.78</v>
      </c>
      <c r="R60" s="43">
        <v>0</v>
      </c>
      <c r="S60" s="16" t="s">
        <v>20</v>
      </c>
      <c r="T60" s="215">
        <v>0.85</v>
      </c>
      <c r="U60" s="215">
        <v>0.15</v>
      </c>
      <c r="V60" s="215"/>
      <c r="W60" s="485"/>
      <c r="X60" s="215"/>
      <c r="Y60" s="43"/>
      <c r="Z60" s="46"/>
      <c r="AA60" s="43"/>
      <c r="AB60" s="43"/>
      <c r="AC60" s="46">
        <v>30.3</v>
      </c>
      <c r="AD60" s="17"/>
      <c r="AE60" s="48"/>
      <c r="AF60" s="37" t="s">
        <v>499</v>
      </c>
      <c r="AG60" s="47"/>
      <c r="AH60" s="49">
        <f>Table2[[#This Row],[Prix de vente ($)]]/Table2[[#This Row],[Superficie totale (ha)]]</f>
        <v>16015.863331299572</v>
      </c>
      <c r="AI60" s="49"/>
    </row>
    <row r="61" spans="1:36" ht="39" customHeight="1">
      <c r="A61" s="331">
        <v>26850829</v>
      </c>
      <c r="B61" s="75"/>
      <c r="C61" s="363">
        <v>44526</v>
      </c>
      <c r="D61" s="335" t="s">
        <v>462</v>
      </c>
      <c r="E61" s="335" t="s">
        <v>500</v>
      </c>
      <c r="F61" s="75">
        <v>6460102</v>
      </c>
      <c r="G61" s="473">
        <v>17000</v>
      </c>
      <c r="H61" s="75"/>
      <c r="I61" s="75" t="s">
        <v>337</v>
      </c>
      <c r="J61" s="75" t="s">
        <v>338</v>
      </c>
      <c r="K61" s="75" t="s">
        <v>465</v>
      </c>
      <c r="L61" s="474" t="s">
        <v>501</v>
      </c>
      <c r="M61" s="474" t="s">
        <v>502</v>
      </c>
      <c r="N61" s="475">
        <v>0.84</v>
      </c>
      <c r="O61" s="75" t="s">
        <v>25</v>
      </c>
      <c r="P61" s="477" t="s">
        <v>206</v>
      </c>
      <c r="Q61" s="386">
        <f>0.84-0.17</f>
        <v>0.66999999999999993</v>
      </c>
      <c r="R61" s="75"/>
      <c r="S61" s="76" t="s">
        <v>212</v>
      </c>
      <c r="T61" s="478">
        <v>0.7</v>
      </c>
      <c r="U61" s="478">
        <v>0.3</v>
      </c>
      <c r="V61" s="478"/>
      <c r="W61" s="488"/>
      <c r="X61" s="478"/>
      <c r="Y61" s="75"/>
      <c r="Z61" s="476"/>
      <c r="AA61" s="75"/>
      <c r="AB61" s="75"/>
      <c r="AC61" s="476"/>
      <c r="AD61" s="479"/>
      <c r="AE61" s="480"/>
      <c r="AF61" s="335" t="s">
        <v>503</v>
      </c>
      <c r="AG61" s="477"/>
      <c r="AH61" s="49">
        <f>Table2[[#This Row],[Prix de vente ($)]]/Table2[[#This Row],[Superficie totale (ha)]]</f>
        <v>20238.09523809524</v>
      </c>
      <c r="AI61" s="481" t="e">
        <f>Bois!$G17/Bois!$AD17</f>
        <v>#DIV/0!</v>
      </c>
    </row>
    <row r="62" spans="1:36" ht="39" customHeight="1">
      <c r="A62" s="187">
        <v>26861627</v>
      </c>
      <c r="B62" s="80"/>
      <c r="C62" s="148">
        <v>44531</v>
      </c>
      <c r="D62" s="37" t="s">
        <v>504</v>
      </c>
      <c r="E62" s="37" t="s">
        <v>505</v>
      </c>
      <c r="F62" s="80">
        <v>6167164</v>
      </c>
      <c r="G62" s="134">
        <v>145000</v>
      </c>
      <c r="H62" s="80"/>
      <c r="I62" s="80" t="s">
        <v>29</v>
      </c>
      <c r="J62" s="80" t="s">
        <v>506</v>
      </c>
      <c r="K62" s="80" t="s">
        <v>507</v>
      </c>
      <c r="L62" s="199">
        <v>46.654207999999997</v>
      </c>
      <c r="M62" s="199">
        <v>-70.039292000000003</v>
      </c>
      <c r="N62" s="199">
        <v>31.65</v>
      </c>
      <c r="O62" s="80" t="s">
        <v>508</v>
      </c>
      <c r="P62" s="80" t="s">
        <v>19</v>
      </c>
      <c r="Q62" s="199">
        <v>31.65</v>
      </c>
      <c r="R62" s="80"/>
      <c r="S62" s="80" t="s">
        <v>33</v>
      </c>
      <c r="T62" s="216">
        <v>0.3</v>
      </c>
      <c r="U62" s="216">
        <v>0.7</v>
      </c>
      <c r="V62" s="216">
        <v>0.75</v>
      </c>
      <c r="W62" s="199"/>
      <c r="X62" s="216"/>
      <c r="Y62" s="80"/>
      <c r="Z62" s="80"/>
      <c r="AA62" s="80"/>
      <c r="AB62" s="80"/>
      <c r="AC62" s="80">
        <v>8.6999999999999993</v>
      </c>
      <c r="AD62" s="80"/>
      <c r="AE62" s="80"/>
      <c r="AF62" s="43" t="s">
        <v>509</v>
      </c>
      <c r="AG62" s="80"/>
      <c r="AH62" s="49">
        <f>Table2[[#This Row],[Prix de vente ($)]]/Table2[[#This Row],[Superficie totale (ha)]]</f>
        <v>4581.358609794629</v>
      </c>
      <c r="AI62" s="80"/>
    </row>
    <row r="63" spans="1:36" ht="39" customHeight="1">
      <c r="A63" s="190">
        <v>26887463</v>
      </c>
      <c r="C63" s="148">
        <v>44540</v>
      </c>
      <c r="E63" s="43"/>
      <c r="F63" s="301">
        <v>3926646</v>
      </c>
      <c r="G63" s="15">
        <v>14500</v>
      </c>
      <c r="J63" t="s">
        <v>510</v>
      </c>
      <c r="K63" s="75" t="s">
        <v>511</v>
      </c>
      <c r="L63" s="204"/>
      <c r="M63" s="204"/>
      <c r="N63" s="144">
        <v>6.85</v>
      </c>
      <c r="P63" s="47" t="s">
        <v>206</v>
      </c>
      <c r="Q63" s="139">
        <v>0</v>
      </c>
      <c r="S63"/>
      <c r="T63" s="302"/>
      <c r="U63" s="211"/>
      <c r="V63" s="211"/>
      <c r="W63" s="199"/>
      <c r="X63" s="211"/>
      <c r="Y63" s="64"/>
      <c r="Z63"/>
      <c r="AA63" s="65"/>
      <c r="AB63" s="65"/>
      <c r="AC63" s="62"/>
      <c r="AD63" s="62"/>
      <c r="AF63" s="62"/>
      <c r="AH63" s="49">
        <f>Table2[[#This Row],[Prix de vente ($)]]/Table2[[#This Row],[Superficie totale (ha)]]</f>
        <v>2116.7883211678832</v>
      </c>
    </row>
    <row r="64" spans="1:36" ht="39" customHeight="1">
      <c r="A64" s="187">
        <v>26994037</v>
      </c>
      <c r="B64" s="43"/>
      <c r="C64" s="148">
        <v>44567</v>
      </c>
      <c r="D64" s="37" t="s">
        <v>512</v>
      </c>
      <c r="E64" s="37" t="s">
        <v>513</v>
      </c>
      <c r="F64" s="45" t="s">
        <v>514</v>
      </c>
      <c r="G64" s="15">
        <v>220000</v>
      </c>
      <c r="H64" s="43"/>
      <c r="I64" s="43" t="s">
        <v>515</v>
      </c>
      <c r="J64" s="43" t="s">
        <v>515</v>
      </c>
      <c r="K64" s="43" t="s">
        <v>516</v>
      </c>
      <c r="L64" s="151" t="s">
        <v>517</v>
      </c>
      <c r="M64" s="155" t="s">
        <v>518</v>
      </c>
      <c r="N64" s="144">
        <v>25.05</v>
      </c>
      <c r="O64" s="43" t="s">
        <v>18</v>
      </c>
      <c r="P64" s="47" t="s">
        <v>35</v>
      </c>
      <c r="Q64" s="144">
        <v>25.05</v>
      </c>
      <c r="R64" s="43">
        <v>0</v>
      </c>
      <c r="S64" s="16" t="s">
        <v>102</v>
      </c>
      <c r="T64" s="215">
        <v>0.4</v>
      </c>
      <c r="U64" s="215">
        <v>0.6</v>
      </c>
      <c r="V64" s="215"/>
      <c r="W64" s="485"/>
      <c r="X64" s="215"/>
      <c r="Y64" s="43"/>
      <c r="Z64" s="46"/>
      <c r="AA64" s="43"/>
      <c r="AB64" s="43"/>
      <c r="AC64" s="46">
        <v>5</v>
      </c>
      <c r="AD64" s="17"/>
      <c r="AE64" s="48"/>
      <c r="AF64" s="37" t="s">
        <v>519</v>
      </c>
      <c r="AG64" s="47"/>
      <c r="AH64" s="49">
        <f>Table2[[#This Row],[Prix de vente ($)]]/Table2[[#This Row],[Superficie totale (ha)]]</f>
        <v>8782.4351297405192</v>
      </c>
      <c r="AI64" s="49"/>
    </row>
    <row r="65" spans="1:36" ht="39" customHeight="1">
      <c r="A65" s="187">
        <v>27049975</v>
      </c>
      <c r="B65" s="43"/>
      <c r="C65" s="148">
        <v>44571</v>
      </c>
      <c r="D65" s="37" t="s">
        <v>520</v>
      </c>
      <c r="E65" s="37" t="s">
        <v>521</v>
      </c>
      <c r="F65" s="43">
        <v>5877871</v>
      </c>
      <c r="G65" s="15">
        <v>55000</v>
      </c>
      <c r="H65" s="43"/>
      <c r="I65" s="75" t="s">
        <v>522</v>
      </c>
      <c r="J65" s="43" t="s">
        <v>523</v>
      </c>
      <c r="K65" s="75" t="s">
        <v>524</v>
      </c>
      <c r="L65" s="151" t="s">
        <v>525</v>
      </c>
      <c r="M65" s="155" t="s">
        <v>526</v>
      </c>
      <c r="N65" s="144">
        <v>11.44</v>
      </c>
      <c r="O65" s="43" t="s">
        <v>18</v>
      </c>
      <c r="P65" s="47" t="s">
        <v>35</v>
      </c>
      <c r="Q65" s="144">
        <f>N65</f>
        <v>11.44</v>
      </c>
      <c r="R65" s="43"/>
      <c r="S65" s="16" t="s">
        <v>527</v>
      </c>
      <c r="T65" s="215">
        <v>0.4</v>
      </c>
      <c r="U65" s="215">
        <v>0.6</v>
      </c>
      <c r="V65" s="215"/>
      <c r="W65" s="485"/>
      <c r="X65" s="215"/>
      <c r="Y65" s="43"/>
      <c r="Z65" s="46"/>
      <c r="AA65" s="43"/>
      <c r="AB65" s="43"/>
      <c r="AC65" s="46"/>
      <c r="AD65" s="17"/>
      <c r="AE65" s="48"/>
      <c r="AF65" s="37" t="s">
        <v>528</v>
      </c>
      <c r="AG65" s="47"/>
      <c r="AH65" s="49">
        <f>Table2[[#This Row],[Prix de vente ($)]]/Table2[[#This Row],[Superficie totale (ha)]]</f>
        <v>4807.6923076923076</v>
      </c>
      <c r="AI65" s="49" t="e">
        <f>G65/AD65</f>
        <v>#DIV/0!</v>
      </c>
    </row>
    <row r="66" spans="1:36" ht="39" customHeight="1">
      <c r="A66" s="187">
        <v>26944077</v>
      </c>
      <c r="B66" s="43"/>
      <c r="C66" s="148">
        <v>44574</v>
      </c>
      <c r="D66" s="37" t="s">
        <v>529</v>
      </c>
      <c r="E66" s="37" t="s">
        <v>530</v>
      </c>
      <c r="F66" s="43">
        <v>4270040</v>
      </c>
      <c r="G66" s="52">
        <v>160000</v>
      </c>
      <c r="H66" s="43"/>
      <c r="I66" s="43" t="s">
        <v>321</v>
      </c>
      <c r="J66" s="43" t="s">
        <v>322</v>
      </c>
      <c r="K66" s="43" t="s">
        <v>531</v>
      </c>
      <c r="L66" s="142" t="s">
        <v>532</v>
      </c>
      <c r="M66" s="142" t="s">
        <v>533</v>
      </c>
      <c r="N66" s="144">
        <v>29.63</v>
      </c>
      <c r="O66" s="43" t="s">
        <v>18</v>
      </c>
      <c r="P66" s="47" t="s">
        <v>206</v>
      </c>
      <c r="Q66" s="144">
        <f>Bois!$N18</f>
        <v>9.94</v>
      </c>
      <c r="R66" s="43"/>
      <c r="S66" s="1" t="s">
        <v>33</v>
      </c>
      <c r="T66" s="217">
        <v>0.1</v>
      </c>
      <c r="U66" s="217">
        <v>0.9</v>
      </c>
      <c r="V66" s="217">
        <v>0.85</v>
      </c>
      <c r="W66" s="487"/>
      <c r="X66" s="217"/>
      <c r="Y66" s="43"/>
      <c r="Z66" s="46"/>
      <c r="AA66" s="43"/>
      <c r="AB66" s="43"/>
      <c r="AC66" s="46"/>
      <c r="AD66" s="53"/>
      <c r="AE66" s="48"/>
      <c r="AF66" s="37"/>
      <c r="AG66" s="47"/>
      <c r="AH66" s="49">
        <f>Table2[[#This Row],[Prix de vente ($)]]/Table2[[#This Row],[Superficie totale (ha)]]</f>
        <v>5399.9325008437399</v>
      </c>
      <c r="AI66" s="49" t="e">
        <f>Bois!$G18/Bois!$AD18</f>
        <v>#DIV/0!</v>
      </c>
    </row>
    <row r="67" spans="1:36" ht="39" customHeight="1">
      <c r="A67" s="187">
        <v>26959251</v>
      </c>
      <c r="C67" s="51">
        <v>44581</v>
      </c>
      <c r="D67" s="247" t="s">
        <v>534</v>
      </c>
      <c r="E67" s="247" t="s">
        <v>535</v>
      </c>
      <c r="F67" s="247" t="s">
        <v>536</v>
      </c>
      <c r="G67" s="16">
        <v>88450</v>
      </c>
      <c r="I67" t="s">
        <v>537</v>
      </c>
      <c r="J67" t="s">
        <v>538</v>
      </c>
      <c r="L67" s="25">
        <v>46.651598</v>
      </c>
      <c r="M67" s="26">
        <v>-75.501994999999994</v>
      </c>
      <c r="N67" s="46">
        <v>85.02</v>
      </c>
      <c r="O67" t="s">
        <v>25</v>
      </c>
      <c r="P67" t="s">
        <v>173</v>
      </c>
      <c r="Q67" s="199">
        <v>85.02</v>
      </c>
      <c r="S67" s="62" t="s">
        <v>62</v>
      </c>
      <c r="T67" s="219">
        <v>0.9</v>
      </c>
      <c r="U67" s="219">
        <v>0.1</v>
      </c>
      <c r="V67" s="219">
        <v>0.85</v>
      </c>
      <c r="W67" s="489"/>
      <c r="X67" s="219"/>
      <c r="AD67" s="273"/>
      <c r="AF67" t="s">
        <v>539</v>
      </c>
      <c r="AH67" s="49">
        <f>Table2[[#This Row],[Prix de vente ($)]]/Table2[[#This Row],[Superficie totale (ha)]]</f>
        <v>1040.3434486003293</v>
      </c>
    </row>
    <row r="68" spans="1:36" ht="39" customHeight="1">
      <c r="A68" s="187">
        <v>27069738</v>
      </c>
      <c r="B68" s="44">
        <v>27479060</v>
      </c>
      <c r="C68" s="148">
        <v>44586</v>
      </c>
      <c r="D68" s="37" t="s">
        <v>540</v>
      </c>
      <c r="E68" s="37" t="s">
        <v>541</v>
      </c>
      <c r="F68" s="43" t="s">
        <v>542</v>
      </c>
      <c r="G68" s="52">
        <v>260000</v>
      </c>
      <c r="H68" s="43"/>
      <c r="I68" s="43" t="s">
        <v>543</v>
      </c>
      <c r="J68" s="43" t="s">
        <v>544</v>
      </c>
      <c r="K68" s="43" t="s">
        <v>545</v>
      </c>
      <c r="L68" s="142" t="s">
        <v>546</v>
      </c>
      <c r="M68" s="142" t="s">
        <v>547</v>
      </c>
      <c r="N68" s="144">
        <v>22.3</v>
      </c>
      <c r="O68" s="43" t="s">
        <v>18</v>
      </c>
      <c r="P68" s="47" t="s">
        <v>206</v>
      </c>
      <c r="Q68" s="139">
        <v>22.3</v>
      </c>
      <c r="R68" s="43"/>
      <c r="S68" s="1" t="s">
        <v>20</v>
      </c>
      <c r="T68" s="217">
        <v>0.9</v>
      </c>
      <c r="U68" s="217">
        <v>0.1</v>
      </c>
      <c r="V68" s="217">
        <v>0.85</v>
      </c>
      <c r="W68" s="487"/>
      <c r="X68" s="217"/>
      <c r="Y68" s="43"/>
      <c r="Z68" s="46"/>
      <c r="AA68" s="43"/>
      <c r="AB68" s="43"/>
      <c r="AC68" s="46"/>
      <c r="AD68" s="53"/>
      <c r="AE68" s="48"/>
      <c r="AF68" s="37"/>
      <c r="AG68" s="47"/>
      <c r="AH68" s="49">
        <f>Table2[[#This Row],[Prix de vente ($)]]/Table2[[#This Row],[Superficie totale (ha)]]</f>
        <v>11659.192825112108</v>
      </c>
      <c r="AI68" s="49" t="e">
        <f>Bois!$G19/Bois!$AD19</f>
        <v>#DIV/0!</v>
      </c>
    </row>
    <row r="69" spans="1:36" ht="39" customHeight="1">
      <c r="A69" s="187">
        <v>26981505</v>
      </c>
      <c r="B69" s="43"/>
      <c r="C69" s="148">
        <v>44589</v>
      </c>
      <c r="D69" s="37" t="s">
        <v>548</v>
      </c>
      <c r="E69" s="37" t="s">
        <v>549</v>
      </c>
      <c r="F69" s="45">
        <v>5547311</v>
      </c>
      <c r="G69" s="15">
        <v>125000</v>
      </c>
      <c r="H69" s="43"/>
      <c r="I69" s="43" t="s">
        <v>65</v>
      </c>
      <c r="J69" s="43" t="s">
        <v>550</v>
      </c>
      <c r="K69" s="43" t="s">
        <v>551</v>
      </c>
      <c r="L69" s="151" t="s">
        <v>552</v>
      </c>
      <c r="M69" s="155" t="s">
        <v>553</v>
      </c>
      <c r="N69" s="144">
        <v>61.27</v>
      </c>
      <c r="O69" s="43" t="s">
        <v>18</v>
      </c>
      <c r="P69" s="47" t="s">
        <v>26</v>
      </c>
      <c r="Q69" s="144">
        <v>61.27</v>
      </c>
      <c r="R69" s="43">
        <v>0</v>
      </c>
      <c r="S69" s="16" t="s">
        <v>175</v>
      </c>
      <c r="T69" s="215">
        <v>0.5</v>
      </c>
      <c r="U69" s="215">
        <v>0.5</v>
      </c>
      <c r="V69" s="215"/>
      <c r="W69" s="485"/>
      <c r="X69" s="215"/>
      <c r="Y69" s="43"/>
      <c r="Z69" s="46"/>
      <c r="AA69" s="43"/>
      <c r="AB69" s="43"/>
      <c r="AC69" s="46">
        <v>7.3</v>
      </c>
      <c r="AD69" s="17"/>
      <c r="AE69" s="48"/>
      <c r="AF69" s="37"/>
      <c r="AG69" s="47"/>
      <c r="AH69" s="49">
        <f>Table2[[#This Row],[Prix de vente ($)]]/Table2[[#This Row],[Superficie totale (ha)]]</f>
        <v>2040.1501550514117</v>
      </c>
      <c r="AI69" s="49"/>
    </row>
    <row r="70" spans="1:36" ht="39" customHeight="1">
      <c r="A70" s="189">
        <v>27194809</v>
      </c>
      <c r="B70" s="80"/>
      <c r="C70" s="318">
        <v>44591</v>
      </c>
      <c r="D70" s="80" t="s">
        <v>554</v>
      </c>
      <c r="E70" s="80" t="s">
        <v>555</v>
      </c>
      <c r="F70" s="45">
        <v>5736802</v>
      </c>
      <c r="G70" s="134">
        <v>31000</v>
      </c>
      <c r="H70" s="80"/>
      <c r="I70" s="80" t="s">
        <v>556</v>
      </c>
      <c r="J70" s="80" t="s">
        <v>557</v>
      </c>
      <c r="K70" s="43" t="s">
        <v>558</v>
      </c>
      <c r="L70" s="199" t="s">
        <v>559</v>
      </c>
      <c r="M70" s="199" t="s">
        <v>560</v>
      </c>
      <c r="N70" s="199">
        <v>21.08</v>
      </c>
      <c r="O70" s="80" t="s">
        <v>25</v>
      </c>
      <c r="P70" s="80" t="s">
        <v>19</v>
      </c>
      <c r="Q70" s="199">
        <v>21.08</v>
      </c>
      <c r="R70" s="80"/>
      <c r="S70" s="80" t="s">
        <v>102</v>
      </c>
      <c r="T70" s="216">
        <v>0.2</v>
      </c>
      <c r="U70" s="216">
        <v>0.8</v>
      </c>
      <c r="V70" s="216"/>
      <c r="W70" s="199"/>
      <c r="X70" s="216"/>
      <c r="Y70" s="80"/>
      <c r="Z70" s="80"/>
      <c r="AA70" s="80"/>
      <c r="AB70" s="80"/>
      <c r="AC70" s="80">
        <v>0</v>
      </c>
      <c r="AD70" s="80"/>
      <c r="AE70" s="80"/>
      <c r="AF70" s="43" t="s">
        <v>561</v>
      </c>
      <c r="AG70" s="80"/>
      <c r="AH70" s="49">
        <f>Table2[[#This Row],[Prix de vente ($)]]/Table2[[#This Row],[Superficie totale (ha)]]</f>
        <v>1470.5882352941178</v>
      </c>
      <c r="AI70" s="80"/>
    </row>
    <row r="71" spans="1:36" ht="39" customHeight="1">
      <c r="A71" s="187">
        <v>26991392</v>
      </c>
      <c r="B71" s="43"/>
      <c r="C71" s="148">
        <v>44594</v>
      </c>
      <c r="D71" s="37" t="s">
        <v>562</v>
      </c>
      <c r="E71" s="37" t="s">
        <v>563</v>
      </c>
      <c r="F71" s="43">
        <v>3590294</v>
      </c>
      <c r="G71" s="15">
        <v>75000</v>
      </c>
      <c r="H71" s="43"/>
      <c r="I71" s="43" t="s">
        <v>522</v>
      </c>
      <c r="J71" s="43" t="s">
        <v>564</v>
      </c>
      <c r="K71" s="43" t="s">
        <v>565</v>
      </c>
      <c r="L71" s="151" t="s">
        <v>566</v>
      </c>
      <c r="M71" s="155" t="s">
        <v>567</v>
      </c>
      <c r="N71" s="144">
        <v>9.06</v>
      </c>
      <c r="O71" s="43" t="s">
        <v>18</v>
      </c>
      <c r="P71" s="47" t="s">
        <v>35</v>
      </c>
      <c r="Q71" s="139">
        <v>9.06</v>
      </c>
      <c r="R71" s="43"/>
      <c r="S71" s="16" t="s">
        <v>568</v>
      </c>
      <c r="T71" s="215">
        <v>0.6</v>
      </c>
      <c r="U71" s="215">
        <v>0.4</v>
      </c>
      <c r="V71" s="215"/>
      <c r="W71" s="485"/>
      <c r="X71" s="215"/>
      <c r="Y71" s="43"/>
      <c r="Z71" s="46"/>
      <c r="AA71" s="43"/>
      <c r="AB71" s="43"/>
      <c r="AC71" s="46">
        <v>1.9</v>
      </c>
      <c r="AD71" s="17"/>
      <c r="AE71" s="48"/>
      <c r="AF71" s="37"/>
      <c r="AG71" s="47"/>
      <c r="AH71" s="49">
        <f>Table2[[#This Row],[Prix de vente ($)]]/Table2[[#This Row],[Superficie totale (ha)]]</f>
        <v>8278.1456953642373</v>
      </c>
      <c r="AI71" s="49" t="e">
        <f>G71/AD71</f>
        <v>#DIV/0!</v>
      </c>
    </row>
    <row r="72" spans="1:36" ht="39" customHeight="1">
      <c r="A72" s="187">
        <v>27000358</v>
      </c>
      <c r="B72" s="43"/>
      <c r="C72" s="148">
        <v>44595</v>
      </c>
      <c r="D72" s="37" t="s">
        <v>569</v>
      </c>
      <c r="E72" s="37" t="s">
        <v>570</v>
      </c>
      <c r="F72" s="45" t="s">
        <v>571</v>
      </c>
      <c r="G72" s="15">
        <v>25000</v>
      </c>
      <c r="H72" s="43"/>
      <c r="I72" s="43" t="s">
        <v>170</v>
      </c>
      <c r="J72" s="43" t="s">
        <v>171</v>
      </c>
      <c r="K72" s="43" t="s">
        <v>572</v>
      </c>
      <c r="L72" s="151">
        <v>49.120860999999998</v>
      </c>
      <c r="M72" s="155">
        <v>-68.442852000000002</v>
      </c>
      <c r="N72" s="144">
        <v>37.5</v>
      </c>
      <c r="O72" s="43" t="s">
        <v>132</v>
      </c>
      <c r="P72" s="47" t="s">
        <v>165</v>
      </c>
      <c r="Q72" s="144">
        <v>37.5</v>
      </c>
      <c r="R72" s="43">
        <v>0</v>
      </c>
      <c r="S72" s="16" t="s">
        <v>22</v>
      </c>
      <c r="T72" s="215">
        <v>0.5</v>
      </c>
      <c r="U72" s="215">
        <v>0.5</v>
      </c>
      <c r="V72" s="215"/>
      <c r="W72" s="485"/>
      <c r="X72" s="215"/>
      <c r="Y72" s="43"/>
      <c r="Z72" s="46"/>
      <c r="AA72" s="43"/>
      <c r="AB72" s="43"/>
      <c r="AC72" s="46">
        <v>0</v>
      </c>
      <c r="AD72" s="17"/>
      <c r="AE72" s="48"/>
      <c r="AF72" s="37" t="s">
        <v>573</v>
      </c>
      <c r="AG72" s="47"/>
      <c r="AH72" s="49">
        <f>Table2[[#This Row],[Prix de vente ($)]]/Table2[[#This Row],[Superficie totale (ha)]]</f>
        <v>666.66666666666663</v>
      </c>
      <c r="AI72" s="49"/>
    </row>
    <row r="73" spans="1:36" ht="39" customHeight="1">
      <c r="A73" s="196">
        <v>27025667</v>
      </c>
      <c r="C73" s="318">
        <v>44609</v>
      </c>
      <c r="D73" t="s">
        <v>574</v>
      </c>
      <c r="E73" t="s">
        <v>575</v>
      </c>
      <c r="F73" t="s">
        <v>576</v>
      </c>
      <c r="G73" s="93">
        <v>130000</v>
      </c>
      <c r="I73" t="s">
        <v>53</v>
      </c>
      <c r="J73" t="s">
        <v>577</v>
      </c>
      <c r="K73" t="s">
        <v>578</v>
      </c>
      <c r="L73" s="205" t="s">
        <v>579</v>
      </c>
      <c r="M73" s="270" t="s">
        <v>580</v>
      </c>
      <c r="N73" s="211">
        <f>5.71+36.24</f>
        <v>41.95</v>
      </c>
      <c r="O73" t="s">
        <v>18</v>
      </c>
      <c r="P73" t="s">
        <v>63</v>
      </c>
      <c r="S73" s="94" t="s">
        <v>20</v>
      </c>
      <c r="T73" s="222">
        <v>0.6</v>
      </c>
      <c r="U73" s="222">
        <v>0.4</v>
      </c>
      <c r="V73" s="222">
        <v>0.75</v>
      </c>
      <c r="AF73" t="s">
        <v>581</v>
      </c>
      <c r="AH73" s="49">
        <f>Table2[[#This Row],[Prix de vente ($)]]/Table2[[#This Row],[Superficie totale (ha)]]</f>
        <v>3098.9272943980927</v>
      </c>
    </row>
    <row r="74" spans="1:36" ht="39" customHeight="1">
      <c r="A74" s="188">
        <v>27031021</v>
      </c>
      <c r="B74" s="67"/>
      <c r="C74" s="361">
        <v>44610</v>
      </c>
      <c r="D74" s="68" t="s">
        <v>582</v>
      </c>
      <c r="E74" s="68" t="s">
        <v>583</v>
      </c>
      <c r="F74" s="67" t="s">
        <v>584</v>
      </c>
      <c r="G74" s="21">
        <v>209000</v>
      </c>
      <c r="H74" s="67"/>
      <c r="I74" s="67" t="s">
        <v>75</v>
      </c>
      <c r="J74" s="67" t="s">
        <v>585</v>
      </c>
      <c r="K74" s="67" t="s">
        <v>586</v>
      </c>
      <c r="L74" s="206" t="s">
        <v>587</v>
      </c>
      <c r="M74" s="200" t="s">
        <v>588</v>
      </c>
      <c r="N74" s="153">
        <f>26.49+26.08</f>
        <v>52.569999999999993</v>
      </c>
      <c r="O74" s="67" t="s">
        <v>18</v>
      </c>
      <c r="P74" s="71" t="s">
        <v>589</v>
      </c>
      <c r="Q74" s="147">
        <v>48.71</v>
      </c>
      <c r="R74" s="67">
        <v>3.86</v>
      </c>
      <c r="S74" s="22" t="s">
        <v>590</v>
      </c>
      <c r="T74" s="218">
        <v>0.2</v>
      </c>
      <c r="U74" s="218">
        <v>0.8</v>
      </c>
      <c r="V74" s="218"/>
      <c r="W74" s="490"/>
      <c r="X74" s="218"/>
      <c r="Y74" s="67"/>
      <c r="Z74" s="70"/>
      <c r="AA74" s="67"/>
      <c r="AB74" s="67"/>
      <c r="AC74" s="70">
        <v>0</v>
      </c>
      <c r="AD74" s="72"/>
      <c r="AE74" s="73"/>
      <c r="AF74" s="68"/>
      <c r="AG74" s="71"/>
      <c r="AH74" s="49">
        <f>Table2[[#This Row],[Prix de vente ($)]]/Table2[[#This Row],[Superficie totale (ha)]]</f>
        <v>3975.6515122693559</v>
      </c>
      <c r="AI74" s="67" t="e">
        <v>#DIV/0!</v>
      </c>
    </row>
    <row r="75" spans="1:36" ht="39" customHeight="1">
      <c r="A75" s="187">
        <v>27046887</v>
      </c>
      <c r="B75" s="43"/>
      <c r="C75" s="148">
        <v>44615</v>
      </c>
      <c r="D75" s="37" t="s">
        <v>591</v>
      </c>
      <c r="E75" s="37" t="s">
        <v>592</v>
      </c>
      <c r="F75" s="45" t="s">
        <v>593</v>
      </c>
      <c r="G75" s="15">
        <v>350000</v>
      </c>
      <c r="H75" s="43"/>
      <c r="I75" s="43" t="s">
        <v>594</v>
      </c>
      <c r="J75" s="43" t="s">
        <v>595</v>
      </c>
      <c r="K75" s="43" t="s">
        <v>596</v>
      </c>
      <c r="L75" s="155" t="s">
        <v>597</v>
      </c>
      <c r="M75" s="155" t="s">
        <v>598</v>
      </c>
      <c r="N75" s="144">
        <f>10.28+22.88</f>
        <v>33.159999999999997</v>
      </c>
      <c r="O75" s="43" t="s">
        <v>18</v>
      </c>
      <c r="P75" s="47" t="s">
        <v>110</v>
      </c>
      <c r="Q75" s="144">
        <f>10.28+22.88</f>
        <v>33.159999999999997</v>
      </c>
      <c r="R75" s="43">
        <v>0</v>
      </c>
      <c r="S75" s="16" t="s">
        <v>20</v>
      </c>
      <c r="T75" s="215">
        <v>0.9</v>
      </c>
      <c r="U75" s="215">
        <v>0.1</v>
      </c>
      <c r="V75" s="215" t="s">
        <v>599</v>
      </c>
      <c r="W75" s="485"/>
      <c r="X75" s="215"/>
      <c r="Y75" s="43"/>
      <c r="Z75" s="46"/>
      <c r="AA75" s="43"/>
      <c r="AB75" s="43"/>
      <c r="AC75" s="46">
        <f>19.5</f>
        <v>19.5</v>
      </c>
      <c r="AD75" s="17"/>
      <c r="AE75" s="48"/>
      <c r="AF75" s="37"/>
      <c r="AG75" s="47"/>
      <c r="AH75" s="49">
        <f>Table2[[#This Row],[Prix de vente ($)]]/Table2[[#This Row],[Superficie totale (ha)]]</f>
        <v>10554.885404101327</v>
      </c>
      <c r="AI75" s="49"/>
    </row>
    <row r="76" spans="1:36" ht="39" customHeight="1">
      <c r="A76" s="187">
        <v>27050765</v>
      </c>
      <c r="B76" s="43"/>
      <c r="C76" s="148">
        <v>44620</v>
      </c>
      <c r="D76" s="37" t="s">
        <v>600</v>
      </c>
      <c r="E76" s="37" t="s">
        <v>601</v>
      </c>
      <c r="F76" s="45">
        <v>5426803</v>
      </c>
      <c r="G76" s="15">
        <v>20000</v>
      </c>
      <c r="H76" s="43"/>
      <c r="I76" s="43" t="s">
        <v>602</v>
      </c>
      <c r="J76" s="43" t="s">
        <v>603</v>
      </c>
      <c r="K76" s="43" t="s">
        <v>604</v>
      </c>
      <c r="L76" s="151" t="s">
        <v>605</v>
      </c>
      <c r="M76" s="155" t="s">
        <v>606</v>
      </c>
      <c r="N76" s="144">
        <v>8.48</v>
      </c>
      <c r="O76" s="43" t="s">
        <v>18</v>
      </c>
      <c r="P76" s="47" t="s">
        <v>35</v>
      </c>
      <c r="Q76" s="144">
        <v>8.48</v>
      </c>
      <c r="R76" s="43">
        <v>0</v>
      </c>
      <c r="S76" s="16" t="s">
        <v>102</v>
      </c>
      <c r="T76" s="215">
        <v>0.2</v>
      </c>
      <c r="U76" s="215">
        <v>0.8</v>
      </c>
      <c r="V76" s="215"/>
      <c r="W76" s="485"/>
      <c r="X76" s="215"/>
      <c r="Y76" s="43"/>
      <c r="Z76" s="46"/>
      <c r="AA76" s="43"/>
      <c r="AB76" s="43"/>
      <c r="AC76" s="46">
        <v>0</v>
      </c>
      <c r="AD76" s="17"/>
      <c r="AE76" s="48"/>
      <c r="AF76" s="37" t="s">
        <v>271</v>
      </c>
      <c r="AG76" s="47"/>
      <c r="AH76" s="49">
        <f>Table2[[#This Row],[Prix de vente ($)]]/Table2[[#This Row],[Superficie totale (ha)]]</f>
        <v>2358.4905660377358</v>
      </c>
      <c r="AI76" s="49"/>
    </row>
    <row r="77" spans="1:36" ht="39" customHeight="1">
      <c r="A77" s="187">
        <v>27054276</v>
      </c>
      <c r="B77" s="43"/>
      <c r="C77" s="148">
        <v>44621</v>
      </c>
      <c r="D77" s="37" t="s">
        <v>607</v>
      </c>
      <c r="E77" s="37" t="s">
        <v>608</v>
      </c>
      <c r="F77" s="45" t="s">
        <v>609</v>
      </c>
      <c r="G77" s="15">
        <v>37500</v>
      </c>
      <c r="H77" s="43"/>
      <c r="I77" s="43" t="s">
        <v>610</v>
      </c>
      <c r="J77" s="43" t="s">
        <v>611</v>
      </c>
      <c r="K77" s="43" t="s">
        <v>612</v>
      </c>
      <c r="L77" s="155" t="s">
        <v>613</v>
      </c>
      <c r="M77" s="155" t="s">
        <v>614</v>
      </c>
      <c r="N77" s="144">
        <v>9.31</v>
      </c>
      <c r="O77" s="43" t="s">
        <v>18</v>
      </c>
      <c r="P77" s="47" t="s">
        <v>206</v>
      </c>
      <c r="Q77" s="144">
        <v>9.31</v>
      </c>
      <c r="R77" s="43">
        <v>0</v>
      </c>
      <c r="S77" s="16" t="s">
        <v>20</v>
      </c>
      <c r="T77" s="215">
        <v>1</v>
      </c>
      <c r="U77" s="215">
        <v>0</v>
      </c>
      <c r="V77" s="215" t="s">
        <v>362</v>
      </c>
      <c r="W77" s="485"/>
      <c r="X77" s="215"/>
      <c r="Y77" s="43"/>
      <c r="Z77" s="46"/>
      <c r="AA77" s="43"/>
      <c r="AB77" s="43"/>
      <c r="AC77" s="46">
        <f>1.3+0.8</f>
        <v>2.1</v>
      </c>
      <c r="AD77" s="17"/>
      <c r="AE77" s="48"/>
      <c r="AF77" s="37"/>
      <c r="AG77" s="47" t="s">
        <v>615</v>
      </c>
      <c r="AH77" s="49">
        <f>Table2[[#This Row],[Prix de vente ($)]]/Table2[[#This Row],[Superficie totale (ha)]]</f>
        <v>4027.926960257787</v>
      </c>
      <c r="AI77" s="49"/>
    </row>
    <row r="78" spans="1:36" ht="39" customHeight="1">
      <c r="A78" s="187">
        <v>27155657</v>
      </c>
      <c r="B78" s="43"/>
      <c r="C78" s="148">
        <v>44621</v>
      </c>
      <c r="D78" s="37" t="s">
        <v>616</v>
      </c>
      <c r="E78" s="91" t="s">
        <v>617</v>
      </c>
      <c r="F78" s="45" t="s">
        <v>618</v>
      </c>
      <c r="G78" s="15">
        <v>30000</v>
      </c>
      <c r="H78" s="43"/>
      <c r="I78" s="43" t="s">
        <v>65</v>
      </c>
      <c r="J78" s="43" t="s">
        <v>619</v>
      </c>
      <c r="K78" s="43" t="s">
        <v>620</v>
      </c>
      <c r="L78" s="151" t="s">
        <v>621</v>
      </c>
      <c r="M78" s="155" t="s">
        <v>622</v>
      </c>
      <c r="N78" s="144">
        <v>14.55</v>
      </c>
      <c r="O78" s="43" t="s">
        <v>18</v>
      </c>
      <c r="P78" s="47" t="s">
        <v>26</v>
      </c>
      <c r="Q78" s="144">
        <v>14.55</v>
      </c>
      <c r="R78" s="43">
        <v>0</v>
      </c>
      <c r="S78" s="16" t="s">
        <v>20</v>
      </c>
      <c r="T78" s="215">
        <v>0.6</v>
      </c>
      <c r="U78" s="215">
        <v>0.4</v>
      </c>
      <c r="V78" s="215"/>
      <c r="W78" s="485"/>
      <c r="X78" s="215"/>
      <c r="Y78" s="43"/>
      <c r="Z78" s="46"/>
      <c r="AA78" s="43"/>
      <c r="AB78" s="43"/>
      <c r="AC78" s="46">
        <v>0</v>
      </c>
      <c r="AD78" s="17"/>
      <c r="AE78" s="48"/>
      <c r="AF78" s="37" t="s">
        <v>623</v>
      </c>
      <c r="AG78" s="47"/>
      <c r="AH78" s="49">
        <f>Table2[[#This Row],[Prix de vente ($)]]/Table2[[#This Row],[Superficie totale (ha)]]</f>
        <v>2061.8556701030925</v>
      </c>
      <c r="AI78" s="49"/>
    </row>
    <row r="79" spans="1:36" ht="39" customHeight="1">
      <c r="A79" s="187">
        <v>27053802</v>
      </c>
      <c r="B79" s="43"/>
      <c r="C79" s="148">
        <v>44621</v>
      </c>
      <c r="D79" s="37" t="s">
        <v>624</v>
      </c>
      <c r="E79" s="37" t="s">
        <v>625</v>
      </c>
      <c r="F79" s="43" t="s">
        <v>626</v>
      </c>
      <c r="G79" s="52">
        <v>10000</v>
      </c>
      <c r="H79" s="43"/>
      <c r="I79" s="43" t="s">
        <v>627</v>
      </c>
      <c r="J79" s="43" t="s">
        <v>628</v>
      </c>
      <c r="K79" s="43" t="s">
        <v>629</v>
      </c>
      <c r="L79" s="142" t="s">
        <v>630</v>
      </c>
      <c r="M79" s="142" t="s">
        <v>631</v>
      </c>
      <c r="N79" s="144">
        <f>18.55+5.51</f>
        <v>24.060000000000002</v>
      </c>
      <c r="O79" s="43" t="s">
        <v>25</v>
      </c>
      <c r="P79" s="47" t="s">
        <v>63</v>
      </c>
      <c r="Q79" s="144">
        <f>Bois!$N20</f>
        <v>41.51</v>
      </c>
      <c r="R79" s="43"/>
      <c r="S79" s="1" t="s">
        <v>22</v>
      </c>
      <c r="T79" s="217"/>
      <c r="U79" s="217"/>
      <c r="V79" s="217"/>
      <c r="W79" s="487"/>
      <c r="X79" s="217"/>
      <c r="Y79" s="43"/>
      <c r="Z79" s="46"/>
      <c r="AA79" s="43"/>
      <c r="AB79" s="43"/>
      <c r="AC79" s="46"/>
      <c r="AD79" s="53"/>
      <c r="AE79" s="48"/>
      <c r="AF79" s="37" t="s">
        <v>632</v>
      </c>
      <c r="AG79" s="47"/>
      <c r="AH79" s="49">
        <f>Table2[[#This Row],[Prix de vente ($)]]/Table2[[#This Row],[Superficie totale (ha)]]</f>
        <v>415.62759767248542</v>
      </c>
      <c r="AI79" s="49">
        <f>Bois!$G20/Bois!$AD20</f>
        <v>125</v>
      </c>
    </row>
    <row r="80" spans="1:36" ht="39" customHeight="1">
      <c r="A80" s="187">
        <v>27234398</v>
      </c>
      <c r="B80" s="43"/>
      <c r="C80" s="148">
        <v>44623</v>
      </c>
      <c r="D80" s="37" t="s">
        <v>633</v>
      </c>
      <c r="E80" s="37" t="s">
        <v>634</v>
      </c>
      <c r="F80" s="45">
        <v>4339160</v>
      </c>
      <c r="G80" s="15">
        <v>240000</v>
      </c>
      <c r="H80" s="43"/>
      <c r="I80" s="43" t="s">
        <v>74</v>
      </c>
      <c r="J80" s="43" t="s">
        <v>72</v>
      </c>
      <c r="K80" s="43" t="s">
        <v>635</v>
      </c>
      <c r="L80" s="151" t="s">
        <v>636</v>
      </c>
      <c r="M80" s="155" t="s">
        <v>637</v>
      </c>
      <c r="N80" s="144">
        <v>15.31</v>
      </c>
      <c r="O80" s="43" t="s">
        <v>18</v>
      </c>
      <c r="P80" s="47" t="s">
        <v>26</v>
      </c>
      <c r="Q80" s="144">
        <v>15</v>
      </c>
      <c r="R80" s="43">
        <v>0</v>
      </c>
      <c r="S80" s="16" t="s">
        <v>20</v>
      </c>
      <c r="T80" s="215">
        <v>0.6</v>
      </c>
      <c r="U80" s="215">
        <v>0.4</v>
      </c>
      <c r="V80" s="215"/>
      <c r="W80" s="485"/>
      <c r="X80" s="215"/>
      <c r="Y80" s="43"/>
      <c r="Z80" s="46"/>
      <c r="AA80" s="43"/>
      <c r="AB80" s="43"/>
      <c r="AC80" s="46">
        <v>6.6</v>
      </c>
      <c r="AD80" s="17"/>
      <c r="AE80" s="48"/>
      <c r="AF80" s="37" t="s">
        <v>638</v>
      </c>
      <c r="AG80" s="47"/>
      <c r="AH80" s="49">
        <f>Table2[[#This Row],[Prix de vente ($)]]/Table2[[#This Row],[Superficie totale (ha)]]</f>
        <v>15676.028739386022</v>
      </c>
      <c r="AI80" s="43"/>
      <c r="AJ80" s="47"/>
    </row>
    <row r="81" spans="1:35" ht="39" customHeight="1">
      <c r="A81" s="187">
        <v>27064206</v>
      </c>
      <c r="B81" s="43"/>
      <c r="C81" s="148">
        <v>44624</v>
      </c>
      <c r="D81" s="37" t="s">
        <v>639</v>
      </c>
      <c r="E81" s="37" t="s">
        <v>640</v>
      </c>
      <c r="F81" s="45" t="s">
        <v>641</v>
      </c>
      <c r="G81" s="15">
        <v>53000</v>
      </c>
      <c r="H81" s="43"/>
      <c r="I81" s="43" t="s">
        <v>65</v>
      </c>
      <c r="J81" s="43" t="s">
        <v>642</v>
      </c>
      <c r="K81" s="43" t="s">
        <v>643</v>
      </c>
      <c r="L81" s="151" t="s">
        <v>644</v>
      </c>
      <c r="M81" s="155" t="s">
        <v>645</v>
      </c>
      <c r="N81" s="144">
        <f>20.54+12.89</f>
        <v>33.43</v>
      </c>
      <c r="O81" s="43" t="s">
        <v>18</v>
      </c>
      <c r="P81" s="47" t="s">
        <v>26</v>
      </c>
      <c r="Q81" s="144">
        <v>33.43</v>
      </c>
      <c r="R81" s="43">
        <v>0</v>
      </c>
      <c r="S81" s="16" t="s">
        <v>20</v>
      </c>
      <c r="T81" s="215">
        <v>0.7</v>
      </c>
      <c r="U81" s="215">
        <v>0.3</v>
      </c>
      <c r="V81" s="215"/>
      <c r="W81" s="485"/>
      <c r="X81" s="215"/>
      <c r="Y81" s="43"/>
      <c r="Z81" s="46"/>
      <c r="AA81" s="43"/>
      <c r="AB81" s="43"/>
      <c r="AC81" s="46">
        <f>2.1+5.6+8.1</f>
        <v>15.799999999999999</v>
      </c>
      <c r="AD81" s="17"/>
      <c r="AE81" s="48"/>
      <c r="AF81" s="37" t="s">
        <v>646</v>
      </c>
      <c r="AG81" s="47"/>
      <c r="AH81" s="49">
        <f>Table2[[#This Row],[Prix de vente ($)]]/Table2[[#This Row],[Superficie totale (ha)]]</f>
        <v>1585.4023332336226</v>
      </c>
      <c r="AI81" s="49"/>
    </row>
    <row r="82" spans="1:35" ht="39" customHeight="1">
      <c r="A82" s="187">
        <v>27215754</v>
      </c>
      <c r="B82" s="43"/>
      <c r="C82" s="148">
        <v>44629</v>
      </c>
      <c r="D82" s="37" t="s">
        <v>647</v>
      </c>
      <c r="E82" s="37" t="s">
        <v>648</v>
      </c>
      <c r="F82" s="45">
        <v>5839632</v>
      </c>
      <c r="G82" s="15">
        <v>25000</v>
      </c>
      <c r="H82" s="43"/>
      <c r="I82" s="43" t="s">
        <v>65</v>
      </c>
      <c r="J82" s="43" t="s">
        <v>619</v>
      </c>
      <c r="K82" s="43" t="s">
        <v>649</v>
      </c>
      <c r="L82" s="151" t="s">
        <v>650</v>
      </c>
      <c r="M82" s="155" t="s">
        <v>651</v>
      </c>
      <c r="N82" s="144">
        <v>17.760000000000002</v>
      </c>
      <c r="O82" s="43" t="s">
        <v>18</v>
      </c>
      <c r="P82" s="47" t="s">
        <v>26</v>
      </c>
      <c r="Q82" s="144">
        <v>17.760000000000002</v>
      </c>
      <c r="R82" s="43">
        <v>0</v>
      </c>
      <c r="S82" s="16" t="s">
        <v>20</v>
      </c>
      <c r="T82" s="215">
        <v>0.7</v>
      </c>
      <c r="U82" s="215">
        <v>0.3</v>
      </c>
      <c r="V82" s="215"/>
      <c r="W82" s="485"/>
      <c r="X82" s="215"/>
      <c r="Y82" s="43"/>
      <c r="Z82" s="46"/>
      <c r="AA82" s="43"/>
      <c r="AB82" s="43"/>
      <c r="AC82" s="46">
        <f>1.9+0.1+1.6</f>
        <v>3.6</v>
      </c>
      <c r="AD82" s="17"/>
      <c r="AE82" s="48"/>
      <c r="AF82" s="37" t="s">
        <v>126</v>
      </c>
      <c r="AG82" s="47"/>
      <c r="AH82" s="49">
        <f>Table2[[#This Row],[Prix de vente ($)]]/Table2[[#This Row],[Superficie totale (ha)]]</f>
        <v>1407.6576576576576</v>
      </c>
      <c r="AI82" s="49"/>
    </row>
    <row r="83" spans="1:35" ht="39" customHeight="1">
      <c r="A83" s="187">
        <v>27078685</v>
      </c>
      <c r="B83" s="43"/>
      <c r="C83" s="148">
        <v>44631</v>
      </c>
      <c r="D83" s="37" t="s">
        <v>652</v>
      </c>
      <c r="E83" s="37" t="s">
        <v>653</v>
      </c>
      <c r="F83" s="43">
        <v>3831654</v>
      </c>
      <c r="G83" s="52">
        <v>24000</v>
      </c>
      <c r="H83" s="43"/>
      <c r="I83" s="43" t="s">
        <v>654</v>
      </c>
      <c r="J83" s="43" t="s">
        <v>654</v>
      </c>
      <c r="K83" s="43" t="s">
        <v>654</v>
      </c>
      <c r="L83" s="142" t="s">
        <v>655</v>
      </c>
      <c r="M83" s="142" t="s">
        <v>656</v>
      </c>
      <c r="N83" s="144">
        <v>4.47</v>
      </c>
      <c r="O83" s="43" t="s">
        <v>18</v>
      </c>
      <c r="P83" s="47" t="s">
        <v>206</v>
      </c>
      <c r="Q83" s="139">
        <v>4.47</v>
      </c>
      <c r="R83" s="43"/>
      <c r="S83" s="1" t="s">
        <v>22</v>
      </c>
      <c r="T83" s="217"/>
      <c r="U83" s="217"/>
      <c r="V83" s="217"/>
      <c r="W83" s="487"/>
      <c r="X83" s="217"/>
      <c r="Y83" s="43"/>
      <c r="Z83" s="46"/>
      <c r="AA83" s="43"/>
      <c r="AB83" s="43"/>
      <c r="AC83" s="46"/>
      <c r="AD83" s="53"/>
      <c r="AE83" s="48"/>
      <c r="AF83" s="37" t="s">
        <v>657</v>
      </c>
      <c r="AG83" s="47" t="s">
        <v>658</v>
      </c>
      <c r="AH83" s="49">
        <f>Table2[[#This Row],[Prix de vente ($)]]/Table2[[#This Row],[Superficie totale (ha)]]</f>
        <v>5369.1275167785234</v>
      </c>
      <c r="AI83" s="49" t="e">
        <f>Bois!$G21/Bois!$AD21</f>
        <v>#DIV/0!</v>
      </c>
    </row>
    <row r="84" spans="1:35" ht="39" customHeight="1">
      <c r="A84" s="196">
        <v>27077849</v>
      </c>
      <c r="C84" s="318">
        <v>44631</v>
      </c>
      <c r="D84" s="247" t="s">
        <v>659</v>
      </c>
      <c r="E84" s="247" t="s">
        <v>660</v>
      </c>
      <c r="F84" s="247" t="s">
        <v>661</v>
      </c>
      <c r="G84" s="134">
        <v>80000</v>
      </c>
      <c r="I84" t="s">
        <v>537</v>
      </c>
      <c r="J84" t="s">
        <v>538</v>
      </c>
      <c r="K84" s="247" t="s">
        <v>662</v>
      </c>
      <c r="L84" s="205">
        <v>46.675663999999998</v>
      </c>
      <c r="M84" s="205">
        <v>-75.504957000000005</v>
      </c>
      <c r="N84" s="211">
        <v>43.89</v>
      </c>
      <c r="O84" t="s">
        <v>25</v>
      </c>
      <c r="P84" t="s">
        <v>173</v>
      </c>
      <c r="Q84" s="199">
        <v>43.89</v>
      </c>
      <c r="S84" s="94" t="s">
        <v>62</v>
      </c>
      <c r="T84" s="222">
        <v>1</v>
      </c>
      <c r="U84" s="222">
        <v>0</v>
      </c>
      <c r="V84" s="222">
        <v>0.7</v>
      </c>
      <c r="AF84" t="s">
        <v>663</v>
      </c>
      <c r="AH84" s="49">
        <f>Table2[[#This Row],[Prix de vente ($)]]/Table2[[#This Row],[Superficie totale (ha)]]</f>
        <v>1822.7386648439281</v>
      </c>
    </row>
    <row r="85" spans="1:35" ht="39" customHeight="1">
      <c r="A85" s="187"/>
      <c r="B85" s="43">
        <v>17965296</v>
      </c>
      <c r="C85" s="148">
        <v>44632</v>
      </c>
      <c r="D85" s="37"/>
      <c r="E85" s="37"/>
      <c r="F85" s="43" t="s">
        <v>664</v>
      </c>
      <c r="G85" s="15">
        <v>715000</v>
      </c>
      <c r="H85" s="43"/>
      <c r="I85" s="43" t="s">
        <v>522</v>
      </c>
      <c r="J85" s="43" t="s">
        <v>32</v>
      </c>
      <c r="K85" s="16" t="s">
        <v>665</v>
      </c>
      <c r="L85" s="151" t="s">
        <v>666</v>
      </c>
      <c r="M85" s="155" t="s">
        <v>667</v>
      </c>
      <c r="N85" s="144">
        <f>(5851300.09/10.7639)/10000</f>
        <v>54.360409238287239</v>
      </c>
      <c r="O85" s="43" t="s">
        <v>18</v>
      </c>
      <c r="P85" s="47" t="s">
        <v>361</v>
      </c>
      <c r="Q85" s="144">
        <f>N85</f>
        <v>54.360409238287239</v>
      </c>
      <c r="R85" s="43"/>
      <c r="S85" s="16"/>
      <c r="T85" s="215"/>
      <c r="U85" s="215"/>
      <c r="V85" s="215"/>
      <c r="W85" s="485"/>
      <c r="X85" s="215"/>
      <c r="Y85" s="43"/>
      <c r="Z85" s="46"/>
      <c r="AA85" s="43"/>
      <c r="AB85" s="43"/>
      <c r="AC85" s="46">
        <v>29</v>
      </c>
      <c r="AD85" s="17">
        <v>9500</v>
      </c>
      <c r="AE85" s="48"/>
      <c r="AF85" s="37" t="s">
        <v>668</v>
      </c>
      <c r="AG85" s="47"/>
      <c r="AH85" s="49">
        <f>Table2[[#This Row],[Prix de vente ($)]]/Table2[[#This Row],[Superficie totale (ha)]]</f>
        <v>13152.954696603161</v>
      </c>
      <c r="AI85" s="43">
        <f>G85/AD85</f>
        <v>75.263157894736835</v>
      </c>
    </row>
    <row r="86" spans="1:35" ht="39" customHeight="1">
      <c r="A86" s="187"/>
      <c r="B86" s="43">
        <v>20696619</v>
      </c>
      <c r="C86" s="148">
        <v>44636</v>
      </c>
      <c r="D86" s="37"/>
      <c r="E86" s="37"/>
      <c r="F86" s="45">
        <v>3644308</v>
      </c>
      <c r="G86" s="15">
        <v>131000</v>
      </c>
      <c r="H86" s="43"/>
      <c r="I86" s="43" t="s">
        <v>515</v>
      </c>
      <c r="J86" s="43" t="s">
        <v>515</v>
      </c>
      <c r="K86" s="43" t="s">
        <v>669</v>
      </c>
      <c r="L86" s="151" t="s">
        <v>670</v>
      </c>
      <c r="M86" s="155" t="s">
        <v>671</v>
      </c>
      <c r="N86" s="144">
        <v>13.22</v>
      </c>
      <c r="O86" s="43" t="s">
        <v>18</v>
      </c>
      <c r="P86" s="47" t="s">
        <v>35</v>
      </c>
      <c r="Q86" s="144">
        <f>N86-R86</f>
        <v>10.02</v>
      </c>
      <c r="R86" s="43">
        <f>1.9+1.3</f>
        <v>3.2</v>
      </c>
      <c r="S86" s="16" t="s">
        <v>20</v>
      </c>
      <c r="T86" s="215">
        <v>0.8</v>
      </c>
      <c r="U86" s="215">
        <v>0.2</v>
      </c>
      <c r="V86" s="215"/>
      <c r="W86" s="485"/>
      <c r="X86" s="215"/>
      <c r="Y86" s="43"/>
      <c r="Z86" s="46"/>
      <c r="AA86" s="43"/>
      <c r="AB86" s="43"/>
      <c r="AC86" s="46"/>
      <c r="AD86" s="17"/>
      <c r="AE86" s="48"/>
      <c r="AF86" s="37"/>
      <c r="AG86" s="47"/>
      <c r="AH86" s="49">
        <f>Table2[[#This Row],[Prix de vente ($)]]/Table2[[#This Row],[Superficie totale (ha)]]</f>
        <v>9909.2284417549163</v>
      </c>
      <c r="AI86" s="49" t="e">
        <v>#DIV/0!</v>
      </c>
    </row>
    <row r="87" spans="1:35" ht="39" customHeight="1">
      <c r="A87" s="187">
        <v>27095054</v>
      </c>
      <c r="B87" s="43"/>
      <c r="C87" s="148">
        <v>44638</v>
      </c>
      <c r="D87" s="37" t="s">
        <v>672</v>
      </c>
      <c r="E87" s="37" t="s">
        <v>673</v>
      </c>
      <c r="F87" s="43">
        <v>3887146</v>
      </c>
      <c r="G87" s="52">
        <v>5200</v>
      </c>
      <c r="H87" s="43"/>
      <c r="I87" s="43" t="s">
        <v>627</v>
      </c>
      <c r="J87" s="43" t="s">
        <v>628</v>
      </c>
      <c r="K87" s="43" t="s">
        <v>674</v>
      </c>
      <c r="L87" s="142" t="s">
        <v>675</v>
      </c>
      <c r="M87" s="142" t="s">
        <v>676</v>
      </c>
      <c r="N87" s="144">
        <v>6.41</v>
      </c>
      <c r="O87" s="43" t="s">
        <v>25</v>
      </c>
      <c r="P87" s="47" t="s">
        <v>317</v>
      </c>
      <c r="Q87" s="139">
        <v>6.41</v>
      </c>
      <c r="R87" s="43"/>
      <c r="S87" s="1" t="s">
        <v>22</v>
      </c>
      <c r="T87" s="217"/>
      <c r="U87" s="217"/>
      <c r="V87" s="217"/>
      <c r="W87" s="487"/>
      <c r="X87" s="217"/>
      <c r="Y87" s="43"/>
      <c r="Z87" s="46"/>
      <c r="AA87" s="43"/>
      <c r="AB87" s="43"/>
      <c r="AC87" s="46"/>
      <c r="AD87" s="53"/>
      <c r="AE87" s="48"/>
      <c r="AF87" s="37"/>
      <c r="AG87" s="47"/>
      <c r="AH87" s="49">
        <f>Table2[[#This Row],[Prix de vente ($)]]/Table2[[#This Row],[Superficie totale (ha)]]</f>
        <v>811.23244929797193</v>
      </c>
      <c r="AI87" s="49" t="e">
        <f>Bois!$G22/Bois!$AD22</f>
        <v>#DIV/0!</v>
      </c>
    </row>
    <row r="88" spans="1:35" ht="39" customHeight="1">
      <c r="A88" s="187">
        <v>27121061</v>
      </c>
      <c r="B88" s="43"/>
      <c r="C88" s="148">
        <v>44650</v>
      </c>
      <c r="D88" s="37" t="s">
        <v>677</v>
      </c>
      <c r="E88" s="37" t="s">
        <v>678</v>
      </c>
      <c r="F88" s="45">
        <v>5401062</v>
      </c>
      <c r="G88" s="15">
        <v>130000</v>
      </c>
      <c r="H88" s="43"/>
      <c r="I88" s="43" t="s">
        <v>679</v>
      </c>
      <c r="J88" s="43" t="s">
        <v>680</v>
      </c>
      <c r="K88" s="43" t="s">
        <v>681</v>
      </c>
      <c r="L88" s="151" t="s">
        <v>682</v>
      </c>
      <c r="M88" s="155" t="s">
        <v>683</v>
      </c>
      <c r="N88" s="144">
        <v>30.8</v>
      </c>
      <c r="O88" s="43" t="s">
        <v>25</v>
      </c>
      <c r="P88" s="47" t="s">
        <v>19</v>
      </c>
      <c r="Q88" s="144">
        <v>30.8</v>
      </c>
      <c r="R88" s="43">
        <v>0</v>
      </c>
      <c r="S88" s="16" t="s">
        <v>22</v>
      </c>
      <c r="T88" s="215">
        <v>0.5</v>
      </c>
      <c r="U88" s="215">
        <v>0.5</v>
      </c>
      <c r="V88" s="215"/>
      <c r="W88" s="485"/>
      <c r="X88" s="215"/>
      <c r="Y88" s="43"/>
      <c r="Z88" s="46"/>
      <c r="AA88" s="43"/>
      <c r="AB88" s="43"/>
      <c r="AC88" s="46">
        <v>3.2</v>
      </c>
      <c r="AD88" s="17"/>
      <c r="AE88" s="48"/>
      <c r="AF88" s="37" t="s">
        <v>684</v>
      </c>
      <c r="AG88" s="47"/>
      <c r="AH88" s="49">
        <f>Table2[[#This Row],[Prix de vente ($)]]/Table2[[#This Row],[Superficie totale (ha)]]</f>
        <v>4220.7792207792209</v>
      </c>
      <c r="AI88" s="49"/>
    </row>
    <row r="89" spans="1:35" ht="39" customHeight="1">
      <c r="A89" s="187">
        <v>27286107</v>
      </c>
      <c r="B89" s="43"/>
      <c r="C89" s="148">
        <v>44656</v>
      </c>
      <c r="D89" s="37" t="s">
        <v>685</v>
      </c>
      <c r="E89" s="37" t="s">
        <v>686</v>
      </c>
      <c r="F89" s="45" t="s">
        <v>687</v>
      </c>
      <c r="G89" s="15">
        <v>150000</v>
      </c>
      <c r="H89" s="43"/>
      <c r="I89" s="43" t="s">
        <v>679</v>
      </c>
      <c r="J89" s="43" t="s">
        <v>680</v>
      </c>
      <c r="K89" s="43" t="s">
        <v>688</v>
      </c>
      <c r="L89" s="151" t="s">
        <v>689</v>
      </c>
      <c r="M89" s="155" t="s">
        <v>690</v>
      </c>
      <c r="N89" s="144">
        <v>63.68</v>
      </c>
      <c r="O89" s="43" t="s">
        <v>25</v>
      </c>
      <c r="P89" s="47" t="s">
        <v>165</v>
      </c>
      <c r="Q89" s="144">
        <v>56.58</v>
      </c>
      <c r="R89" s="43">
        <v>0</v>
      </c>
      <c r="S89" s="16" t="s">
        <v>102</v>
      </c>
      <c r="T89" s="215">
        <v>0.3</v>
      </c>
      <c r="U89" s="215">
        <v>0.7</v>
      </c>
      <c r="V89" s="215"/>
      <c r="W89" s="485"/>
      <c r="X89" s="215"/>
      <c r="Y89" s="43"/>
      <c r="Z89" s="46"/>
      <c r="AA89" s="43"/>
      <c r="AB89" s="43"/>
      <c r="AC89" s="46">
        <v>6.9</v>
      </c>
      <c r="AD89" s="17"/>
      <c r="AE89" s="48"/>
      <c r="AF89" s="37" t="s">
        <v>684</v>
      </c>
      <c r="AG89" s="47"/>
      <c r="AH89" s="49">
        <f>Table2[[#This Row],[Prix de vente ($)]]/Table2[[#This Row],[Superficie totale (ha)]]</f>
        <v>2355.5276381909548</v>
      </c>
      <c r="AI89" s="49"/>
    </row>
    <row r="90" spans="1:35" ht="39" customHeight="1">
      <c r="A90" s="187">
        <v>27169372</v>
      </c>
      <c r="B90" s="43"/>
      <c r="C90" s="148">
        <v>44670</v>
      </c>
      <c r="D90" s="37" t="s">
        <v>691</v>
      </c>
      <c r="E90" s="37" t="s">
        <v>692</v>
      </c>
      <c r="F90" s="45">
        <v>4476738</v>
      </c>
      <c r="G90" s="15">
        <v>44000</v>
      </c>
      <c r="H90" s="43"/>
      <c r="I90" s="43" t="s">
        <v>65</v>
      </c>
      <c r="J90" s="43" t="s">
        <v>693</v>
      </c>
      <c r="K90" s="43" t="s">
        <v>694</v>
      </c>
      <c r="L90" s="151" t="s">
        <v>695</v>
      </c>
      <c r="M90" s="155" t="s">
        <v>696</v>
      </c>
      <c r="N90" s="144">
        <v>19.84</v>
      </c>
      <c r="O90" s="43" t="s">
        <v>18</v>
      </c>
      <c r="P90" s="47" t="s">
        <v>26</v>
      </c>
      <c r="Q90" s="144">
        <v>19.84</v>
      </c>
      <c r="R90" s="43">
        <v>0</v>
      </c>
      <c r="S90" s="16" t="s">
        <v>102</v>
      </c>
      <c r="T90" s="215">
        <v>0.3</v>
      </c>
      <c r="U90" s="215">
        <v>0.7</v>
      </c>
      <c r="V90" s="215"/>
      <c r="W90" s="485"/>
      <c r="X90" s="215"/>
      <c r="Y90" s="43"/>
      <c r="Z90" s="46"/>
      <c r="AA90" s="43"/>
      <c r="AB90" s="43"/>
      <c r="AC90" s="46">
        <v>1.8</v>
      </c>
      <c r="AD90" s="17"/>
      <c r="AE90" s="48"/>
      <c r="AF90" s="37" t="s">
        <v>697</v>
      </c>
      <c r="AG90" s="47"/>
      <c r="AH90" s="49">
        <f>Table2[[#This Row],[Prix de vente ($)]]/Table2[[#This Row],[Superficie totale (ha)]]</f>
        <v>2217.7419354838712</v>
      </c>
      <c r="AI90" s="49"/>
    </row>
    <row r="91" spans="1:35" ht="39" customHeight="1">
      <c r="A91" s="196">
        <v>27184491</v>
      </c>
      <c r="C91" s="318">
        <v>44677</v>
      </c>
      <c r="D91" t="s">
        <v>698</v>
      </c>
      <c r="E91" s="20" t="s">
        <v>699</v>
      </c>
      <c r="F91" s="269">
        <v>6483749</v>
      </c>
      <c r="G91" s="93">
        <v>84000</v>
      </c>
      <c r="I91" t="s">
        <v>65</v>
      </c>
      <c r="J91" t="s">
        <v>700</v>
      </c>
      <c r="K91" t="s">
        <v>701</v>
      </c>
      <c r="L91" s="205" t="s">
        <v>702</v>
      </c>
      <c r="M91" s="270" t="s">
        <v>703</v>
      </c>
      <c r="N91" s="211">
        <v>18.38</v>
      </c>
      <c r="O91" t="s">
        <v>25</v>
      </c>
      <c r="P91" t="s">
        <v>63</v>
      </c>
      <c r="S91" s="94" t="s">
        <v>20</v>
      </c>
      <c r="T91" s="222">
        <v>1</v>
      </c>
      <c r="U91" s="222">
        <v>0</v>
      </c>
      <c r="V91" s="222">
        <v>0.85</v>
      </c>
      <c r="AC91" s="211">
        <v>18.38</v>
      </c>
      <c r="AF91" t="s">
        <v>704</v>
      </c>
      <c r="AH91" s="49">
        <f>Table2[[#This Row],[Prix de vente ($)]]/Table2[[#This Row],[Superficie totale (ha)]]</f>
        <v>4570.1849836779111</v>
      </c>
    </row>
    <row r="92" spans="1:35" ht="39" customHeight="1">
      <c r="A92" s="187">
        <v>27197623</v>
      </c>
      <c r="B92" s="43"/>
      <c r="C92" s="148">
        <v>44680</v>
      </c>
      <c r="D92" s="37" t="s">
        <v>705</v>
      </c>
      <c r="E92" s="37" t="s">
        <v>706</v>
      </c>
      <c r="F92" s="43">
        <v>3584542</v>
      </c>
      <c r="G92" s="52">
        <v>21000</v>
      </c>
      <c r="H92" s="43"/>
      <c r="I92" s="43" t="s">
        <v>321</v>
      </c>
      <c r="J92" s="43" t="s">
        <v>322</v>
      </c>
      <c r="K92" s="43" t="s">
        <v>707</v>
      </c>
      <c r="L92" s="142" t="s">
        <v>708</v>
      </c>
      <c r="M92" s="142" t="s">
        <v>709</v>
      </c>
      <c r="N92" s="144">
        <v>3.97</v>
      </c>
      <c r="O92" s="43" t="s">
        <v>18</v>
      </c>
      <c r="P92" s="47" t="s">
        <v>206</v>
      </c>
      <c r="Q92" s="144">
        <f>Bois!$N23</f>
        <v>8.44</v>
      </c>
      <c r="R92" s="43"/>
      <c r="S92" s="1" t="s">
        <v>22</v>
      </c>
      <c r="T92" s="217">
        <v>0.5</v>
      </c>
      <c r="U92" s="217">
        <v>0.5</v>
      </c>
      <c r="V92" s="217">
        <v>0.85</v>
      </c>
      <c r="W92" s="487"/>
      <c r="X92" s="217"/>
      <c r="Y92" s="43"/>
      <c r="Z92" s="46"/>
      <c r="AA92" s="43"/>
      <c r="AB92" s="43"/>
      <c r="AC92" s="46"/>
      <c r="AD92" s="53"/>
      <c r="AE92" s="48"/>
      <c r="AF92" s="37"/>
      <c r="AG92" s="47"/>
      <c r="AH92" s="49">
        <f>Table2[[#This Row],[Prix de vente ($)]]/Table2[[#This Row],[Superficie totale (ha)]]</f>
        <v>5289.672544080604</v>
      </c>
      <c r="AI92" s="49" t="e">
        <f>Bois!$G23/Bois!$AD23</f>
        <v>#DIV/0!</v>
      </c>
    </row>
    <row r="93" spans="1:35" ht="39" customHeight="1">
      <c r="A93" s="188">
        <v>27202665</v>
      </c>
      <c r="B93" s="67"/>
      <c r="C93" s="361">
        <v>44680</v>
      </c>
      <c r="D93" s="68" t="s">
        <v>710</v>
      </c>
      <c r="E93" s="68" t="s">
        <v>711</v>
      </c>
      <c r="F93" s="67" t="s">
        <v>712</v>
      </c>
      <c r="G93" s="21">
        <v>69000</v>
      </c>
      <c r="H93" s="67"/>
      <c r="I93" s="67" t="s">
        <v>654</v>
      </c>
      <c r="J93" s="67" t="s">
        <v>510</v>
      </c>
      <c r="K93" s="67" t="s">
        <v>713</v>
      </c>
      <c r="L93" s="206" t="s">
        <v>714</v>
      </c>
      <c r="M93" s="200" t="s">
        <v>715</v>
      </c>
      <c r="N93" s="153">
        <f>2.34+4.34</f>
        <v>6.68</v>
      </c>
      <c r="O93" s="67" t="s">
        <v>18</v>
      </c>
      <c r="P93" s="71" t="s">
        <v>589</v>
      </c>
      <c r="Q93" s="147">
        <v>6.68</v>
      </c>
      <c r="R93" s="67">
        <v>0</v>
      </c>
      <c r="S93" s="22" t="s">
        <v>22</v>
      </c>
      <c r="T93" s="218">
        <v>0.5</v>
      </c>
      <c r="U93" s="218">
        <v>0.5</v>
      </c>
      <c r="V93" s="218"/>
      <c r="W93" s="490"/>
      <c r="X93" s="218"/>
      <c r="Y93" s="67"/>
      <c r="Z93" s="70"/>
      <c r="AA93" s="67"/>
      <c r="AB93" s="67"/>
      <c r="AC93" s="70">
        <v>0.8</v>
      </c>
      <c r="AD93" s="72"/>
      <c r="AE93" s="73"/>
      <c r="AF93" s="68"/>
      <c r="AG93" s="71"/>
      <c r="AH93" s="49">
        <f>Table2[[#This Row],[Prix de vente ($)]]/Table2[[#This Row],[Superficie totale (ha)]]</f>
        <v>10329.34131736527</v>
      </c>
      <c r="AI93" s="74" t="e">
        <v>#DIV/0!</v>
      </c>
    </row>
    <row r="94" spans="1:35" ht="39" customHeight="1">
      <c r="A94" s="187">
        <v>27202358</v>
      </c>
      <c r="C94" s="318">
        <v>44683</v>
      </c>
      <c r="D94" s="81" t="s">
        <v>716</v>
      </c>
      <c r="E94" s="81" t="s">
        <v>717</v>
      </c>
      <c r="F94" s="81" t="s">
        <v>718</v>
      </c>
      <c r="G94" s="90">
        <v>48000</v>
      </c>
      <c r="H94" s="81"/>
      <c r="I94" s="81" t="s">
        <v>170</v>
      </c>
      <c r="J94" s="81" t="s">
        <v>171</v>
      </c>
      <c r="K94" s="81" t="s">
        <v>172</v>
      </c>
      <c r="L94" s="199">
        <v>49.093783999999999</v>
      </c>
      <c r="M94" s="199">
        <v>-68.461674000000002</v>
      </c>
      <c r="N94" s="199">
        <v>38.15</v>
      </c>
      <c r="O94" s="81" t="s">
        <v>18</v>
      </c>
      <c r="P94" s="81" t="s">
        <v>110</v>
      </c>
      <c r="Q94" s="164" t="s">
        <v>719</v>
      </c>
      <c r="R94" s="80">
        <v>0</v>
      </c>
      <c r="S94" s="80" t="s">
        <v>310</v>
      </c>
      <c r="T94" s="219">
        <v>0.8</v>
      </c>
      <c r="U94" s="219">
        <v>0.2</v>
      </c>
      <c r="V94" s="164"/>
      <c r="W94" s="199"/>
      <c r="X94" s="164"/>
      <c r="Y94" s="81"/>
      <c r="Z94" s="81"/>
      <c r="AA94" s="81"/>
      <c r="AB94" s="81"/>
      <c r="AC94" s="80">
        <v>0</v>
      </c>
      <c r="AD94" s="81"/>
      <c r="AE94" s="81"/>
      <c r="AF94" s="81"/>
      <c r="AG94" s="81"/>
      <c r="AH94" s="49">
        <f>Table2[[#This Row],[Prix de vente ($)]]/Table2[[#This Row],[Superficie totale (ha)]]</f>
        <v>1258.1913499344691</v>
      </c>
    </row>
    <row r="95" spans="1:35" ht="39" customHeight="1">
      <c r="A95" s="189">
        <v>27226977</v>
      </c>
      <c r="B95" s="80"/>
      <c r="C95" s="318">
        <v>44692</v>
      </c>
      <c r="D95" s="80" t="s">
        <v>720</v>
      </c>
      <c r="E95" s="80" t="s">
        <v>721</v>
      </c>
      <c r="F95" s="80">
        <v>6496748</v>
      </c>
      <c r="G95" s="134">
        <v>380000</v>
      </c>
      <c r="H95" s="80"/>
      <c r="I95" s="80" t="s">
        <v>722</v>
      </c>
      <c r="J95" s="80" t="s">
        <v>723</v>
      </c>
      <c r="K95" s="80" t="s">
        <v>724</v>
      </c>
      <c r="L95" s="199">
        <v>46.465609000000001</v>
      </c>
      <c r="M95" s="199">
        <v>-71.297348999999997</v>
      </c>
      <c r="N95" s="199">
        <v>32.06</v>
      </c>
      <c r="O95" s="80" t="s">
        <v>18</v>
      </c>
      <c r="P95" s="80" t="s">
        <v>206</v>
      </c>
      <c r="Q95" s="199">
        <v>15.7</v>
      </c>
      <c r="R95" s="80">
        <v>16.36</v>
      </c>
      <c r="S95" s="80" t="s">
        <v>20</v>
      </c>
      <c r="T95" s="216">
        <v>0.6</v>
      </c>
      <c r="U95" s="216">
        <v>0.4</v>
      </c>
      <c r="V95" s="216">
        <v>0.7</v>
      </c>
      <c r="W95" s="199"/>
      <c r="X95" s="216"/>
      <c r="Y95" s="80"/>
      <c r="Z95" s="80"/>
      <c r="AA95" s="80"/>
      <c r="AB95" s="80"/>
      <c r="AC95" s="80"/>
      <c r="AD95" s="80"/>
      <c r="AE95" s="80"/>
      <c r="AF95" s="43"/>
      <c r="AG95" s="80"/>
      <c r="AH95" s="49">
        <f>Table2[[#This Row],[Prix de vente ($)]]/Table2[[#This Row],[Superficie totale (ha)]]</f>
        <v>11852.776044915781</v>
      </c>
      <c r="AI95" s="80"/>
    </row>
    <row r="96" spans="1:35" ht="39" customHeight="1">
      <c r="A96" s="187">
        <v>27234752</v>
      </c>
      <c r="B96" s="43"/>
      <c r="C96" s="148">
        <v>44694</v>
      </c>
      <c r="D96" s="37" t="s">
        <v>725</v>
      </c>
      <c r="E96" s="37" t="s">
        <v>726</v>
      </c>
      <c r="F96" s="45">
        <v>3475645</v>
      </c>
      <c r="G96" s="15">
        <v>25000</v>
      </c>
      <c r="H96" s="43"/>
      <c r="I96" s="43" t="s">
        <v>29</v>
      </c>
      <c r="J96" s="43" t="s">
        <v>727</v>
      </c>
      <c r="K96" s="43" t="s">
        <v>728</v>
      </c>
      <c r="L96" s="151" t="s">
        <v>729</v>
      </c>
      <c r="M96" s="155" t="s">
        <v>730</v>
      </c>
      <c r="N96" s="144">
        <v>6.24</v>
      </c>
      <c r="O96" s="43" t="s">
        <v>18</v>
      </c>
      <c r="P96" s="47" t="s">
        <v>26</v>
      </c>
      <c r="Q96" s="144">
        <f>N96</f>
        <v>6.24</v>
      </c>
      <c r="R96" s="43"/>
      <c r="S96" s="16" t="s">
        <v>20</v>
      </c>
      <c r="T96" s="215">
        <v>0.7</v>
      </c>
      <c r="U96" s="215">
        <v>0.3</v>
      </c>
      <c r="V96" s="215">
        <v>0.8</v>
      </c>
      <c r="W96" s="485"/>
      <c r="X96" s="215"/>
      <c r="Y96" s="43"/>
      <c r="Z96" s="46"/>
      <c r="AA96" s="43"/>
      <c r="AB96" s="43"/>
      <c r="AC96" s="46">
        <v>0</v>
      </c>
      <c r="AD96" s="17"/>
      <c r="AE96" s="48"/>
      <c r="AF96" s="37" t="s">
        <v>31</v>
      </c>
      <c r="AG96" s="47"/>
      <c r="AH96" s="49">
        <f>Table2[[#This Row],[Prix de vente ($)]]/Table2[[#This Row],[Superficie totale (ha)]]</f>
        <v>4006.4102564102564</v>
      </c>
      <c r="AI96" s="49" t="e">
        <v>#DIV/0!</v>
      </c>
    </row>
    <row r="97" spans="1:39" s="66" customFormat="1" ht="39" customHeight="1">
      <c r="A97" s="187">
        <v>27247829</v>
      </c>
      <c r="B97" s="43"/>
      <c r="C97" s="148">
        <v>44699</v>
      </c>
      <c r="D97" s="37" t="s">
        <v>731</v>
      </c>
      <c r="E97" s="37" t="s">
        <v>732</v>
      </c>
      <c r="F97" s="45">
        <v>5179301</v>
      </c>
      <c r="G97" s="15">
        <v>225000</v>
      </c>
      <c r="H97" s="43"/>
      <c r="I97" s="43" t="s">
        <v>24</v>
      </c>
      <c r="J97" s="43" t="s">
        <v>733</v>
      </c>
      <c r="K97" s="43" t="s">
        <v>734</v>
      </c>
      <c r="L97" s="151" t="s">
        <v>735</v>
      </c>
      <c r="M97" s="155" t="s">
        <v>736</v>
      </c>
      <c r="N97" s="144">
        <v>39.880000000000003</v>
      </c>
      <c r="O97" s="43" t="s">
        <v>18</v>
      </c>
      <c r="P97" s="47" t="s">
        <v>26</v>
      </c>
      <c r="Q97" s="144">
        <v>39.880000000000003</v>
      </c>
      <c r="R97" s="43">
        <v>0</v>
      </c>
      <c r="S97" s="16" t="s">
        <v>22</v>
      </c>
      <c r="T97" s="215">
        <v>0.5</v>
      </c>
      <c r="U97" s="215">
        <v>0.5</v>
      </c>
      <c r="V97" s="215"/>
      <c r="W97" s="485"/>
      <c r="X97" s="215"/>
      <c r="Y97" s="43"/>
      <c r="Z97" s="46"/>
      <c r="AA97" s="43"/>
      <c r="AB97" s="43"/>
      <c r="AC97" s="46">
        <v>10</v>
      </c>
      <c r="AD97" s="17"/>
      <c r="AE97" s="48"/>
      <c r="AF97" s="37" t="s">
        <v>737</v>
      </c>
      <c r="AG97" s="47"/>
      <c r="AH97" s="49">
        <f>Table2[[#This Row],[Prix de vente ($)]]/Table2[[#This Row],[Superficie totale (ha)]]</f>
        <v>5641.925777331996</v>
      </c>
      <c r="AI97" s="49"/>
      <c r="AJ97"/>
    </row>
    <row r="98" spans="1:39" s="77" customFormat="1" ht="39" customHeight="1">
      <c r="A98" s="187">
        <v>27259570</v>
      </c>
      <c r="B98" s="43"/>
      <c r="C98" s="148">
        <v>44701</v>
      </c>
      <c r="D98" s="37" t="s">
        <v>738</v>
      </c>
      <c r="E98" s="37" t="s">
        <v>739</v>
      </c>
      <c r="F98" s="43" t="s">
        <v>740</v>
      </c>
      <c r="G98" s="52">
        <v>30000</v>
      </c>
      <c r="H98" s="43"/>
      <c r="I98" s="43" t="s">
        <v>201</v>
      </c>
      <c r="J98" s="43" t="s">
        <v>202</v>
      </c>
      <c r="K98" s="43" t="s">
        <v>741</v>
      </c>
      <c r="L98" s="142" t="s">
        <v>742</v>
      </c>
      <c r="M98" s="142" t="s">
        <v>743</v>
      </c>
      <c r="N98" s="144">
        <f>2.61+1.76</f>
        <v>4.37</v>
      </c>
      <c r="O98" s="43" t="s">
        <v>18</v>
      </c>
      <c r="P98" s="47" t="s">
        <v>206</v>
      </c>
      <c r="Q98" s="144">
        <v>4.37</v>
      </c>
      <c r="R98" s="43"/>
      <c r="S98" s="1" t="s">
        <v>212</v>
      </c>
      <c r="T98" s="217">
        <v>0.34</v>
      </c>
      <c r="U98" s="217">
        <v>0.66</v>
      </c>
      <c r="V98" s="217">
        <v>0.7</v>
      </c>
      <c r="W98" s="487"/>
      <c r="X98" s="217"/>
      <c r="Y98" s="43"/>
      <c r="Z98" s="46"/>
      <c r="AA98" s="43"/>
      <c r="AB98" s="43"/>
      <c r="AC98" s="46"/>
      <c r="AD98" s="53"/>
      <c r="AE98" s="48"/>
      <c r="AF98" s="37" t="s">
        <v>744</v>
      </c>
      <c r="AG98" s="47"/>
      <c r="AH98" s="49">
        <f>Table2[[#This Row],[Prix de vente ($)]]/Table2[[#This Row],[Superficie totale (ha)]]</f>
        <v>6864.9885583524028</v>
      </c>
      <c r="AI98" s="49" t="e">
        <f>Bois!$G25/Bois!$AD25</f>
        <v>#DIV/0!</v>
      </c>
      <c r="AJ98"/>
    </row>
    <row r="99" spans="1:39" s="66" customFormat="1" ht="39" customHeight="1">
      <c r="A99" s="187">
        <v>27550768</v>
      </c>
      <c r="B99" s="43"/>
      <c r="C99" s="148">
        <v>44701</v>
      </c>
      <c r="D99" s="37" t="s">
        <v>745</v>
      </c>
      <c r="E99" s="37" t="s">
        <v>746</v>
      </c>
      <c r="F99" s="43">
        <v>5883952</v>
      </c>
      <c r="G99" s="52">
        <v>85000</v>
      </c>
      <c r="H99" s="43"/>
      <c r="I99" s="43" t="s">
        <v>747</v>
      </c>
      <c r="J99" s="43" t="s">
        <v>748</v>
      </c>
      <c r="K99" s="43" t="s">
        <v>749</v>
      </c>
      <c r="L99" s="142" t="s">
        <v>750</v>
      </c>
      <c r="M99" s="142" t="s">
        <v>751</v>
      </c>
      <c r="N99" s="144">
        <v>10.53</v>
      </c>
      <c r="O99" s="43" t="s">
        <v>18</v>
      </c>
      <c r="P99" s="47" t="s">
        <v>206</v>
      </c>
      <c r="Q99" s="144">
        <f>Bois!$N24</f>
        <v>25.96</v>
      </c>
      <c r="R99" s="43"/>
      <c r="S99" s="1" t="s">
        <v>22</v>
      </c>
      <c r="T99" s="217">
        <v>0.5</v>
      </c>
      <c r="U99" s="217">
        <v>0.5</v>
      </c>
      <c r="V99" s="217"/>
      <c r="W99" s="487"/>
      <c r="X99" s="217"/>
      <c r="Y99" s="43"/>
      <c r="Z99" s="46"/>
      <c r="AA99" s="43"/>
      <c r="AB99" s="43"/>
      <c r="AC99" s="46"/>
      <c r="AD99" s="53"/>
      <c r="AE99" s="48"/>
      <c r="AF99" s="37"/>
      <c r="AG99" s="47"/>
      <c r="AH99" s="49">
        <f>Table2[[#This Row],[Prix de vente ($)]]/Table2[[#This Row],[Superficie totale (ha)]]</f>
        <v>8072.174738841406</v>
      </c>
      <c r="AI99" s="49" t="e">
        <f>Bois!$G24/Bois!$AD24</f>
        <v>#DIV/0!</v>
      </c>
      <c r="AJ99"/>
    </row>
    <row r="100" spans="1:39" s="66" customFormat="1" ht="39" customHeight="1">
      <c r="A100" s="187">
        <v>26929308</v>
      </c>
      <c r="B100" s="43"/>
      <c r="C100" s="148">
        <v>44703</v>
      </c>
      <c r="D100" s="79" t="s">
        <v>752</v>
      </c>
      <c r="E100" s="37" t="s">
        <v>753</v>
      </c>
      <c r="F100" s="45">
        <v>5943794</v>
      </c>
      <c r="G100" s="15">
        <v>40000</v>
      </c>
      <c r="H100" s="43"/>
      <c r="I100" s="43" t="s">
        <v>328</v>
      </c>
      <c r="J100" s="43" t="s">
        <v>329</v>
      </c>
      <c r="K100" s="43" t="s">
        <v>754</v>
      </c>
      <c r="L100" s="151" t="s">
        <v>755</v>
      </c>
      <c r="M100" s="155" t="s">
        <v>756</v>
      </c>
      <c r="N100" s="144">
        <v>21.09</v>
      </c>
      <c r="O100" s="43" t="s">
        <v>25</v>
      </c>
      <c r="P100" s="47" t="s">
        <v>19</v>
      </c>
      <c r="Q100" s="144">
        <v>21.09</v>
      </c>
      <c r="R100" s="43">
        <v>0</v>
      </c>
      <c r="S100" s="16" t="s">
        <v>20</v>
      </c>
      <c r="T100" s="215">
        <v>0.85</v>
      </c>
      <c r="U100" s="215">
        <v>0.15</v>
      </c>
      <c r="V100" s="215"/>
      <c r="W100" s="485"/>
      <c r="X100" s="215"/>
      <c r="Y100" s="43"/>
      <c r="Z100" s="46"/>
      <c r="AA100" s="43"/>
      <c r="AB100" s="43"/>
      <c r="AC100" s="46">
        <v>5.8</v>
      </c>
      <c r="AD100" s="17"/>
      <c r="AE100" s="48"/>
      <c r="AF100" s="37" t="s">
        <v>126</v>
      </c>
      <c r="AG100" s="47"/>
      <c r="AH100" s="49">
        <f>Table2[[#This Row],[Prix de vente ($)]]/Table2[[#This Row],[Superficie totale (ha)]]</f>
        <v>1896.6334755808441</v>
      </c>
      <c r="AI100" s="49"/>
      <c r="AJ100"/>
    </row>
    <row r="101" spans="1:39" s="66" customFormat="1" ht="39" customHeight="1">
      <c r="A101" s="187">
        <v>27266548</v>
      </c>
      <c r="B101" s="43"/>
      <c r="C101" s="148">
        <v>44706</v>
      </c>
      <c r="D101" s="37" t="s">
        <v>757</v>
      </c>
      <c r="E101" s="37" t="s">
        <v>758</v>
      </c>
      <c r="F101" s="45" t="s">
        <v>759</v>
      </c>
      <c r="G101" s="15">
        <v>450000</v>
      </c>
      <c r="H101" s="43"/>
      <c r="I101" s="43" t="s">
        <v>594</v>
      </c>
      <c r="J101" s="43" t="s">
        <v>760</v>
      </c>
      <c r="K101" s="43" t="s">
        <v>761</v>
      </c>
      <c r="L101" s="155" t="s">
        <v>762</v>
      </c>
      <c r="M101" s="155" t="s">
        <v>763</v>
      </c>
      <c r="N101" s="144">
        <f>25.2+1.37+24.15+8.64</f>
        <v>59.36</v>
      </c>
      <c r="O101" s="43" t="s">
        <v>764</v>
      </c>
      <c r="P101" s="47" t="s">
        <v>110</v>
      </c>
      <c r="Q101" s="144">
        <f>25.2+1.37+24.15+8.64</f>
        <v>59.36</v>
      </c>
      <c r="R101" s="43">
        <v>0</v>
      </c>
      <c r="S101" s="16" t="s">
        <v>111</v>
      </c>
      <c r="T101" s="215">
        <v>0.7</v>
      </c>
      <c r="U101" s="215">
        <v>0.3</v>
      </c>
      <c r="V101" s="215" t="s">
        <v>362</v>
      </c>
      <c r="W101" s="485"/>
      <c r="X101" s="215"/>
      <c r="Y101" s="43"/>
      <c r="Z101" s="46"/>
      <c r="AA101" s="43"/>
      <c r="AB101" s="43"/>
      <c r="AC101" s="46">
        <f>4.2+12.2</f>
        <v>16.399999999999999</v>
      </c>
      <c r="AD101" s="17"/>
      <c r="AE101" s="48"/>
      <c r="AF101" s="37"/>
      <c r="AG101" s="47" t="s">
        <v>765</v>
      </c>
      <c r="AH101" s="49">
        <f>Table2[[#This Row],[Prix de vente ($)]]/Table2[[#This Row],[Superficie totale (ha)]]</f>
        <v>7580.8625336927225</v>
      </c>
      <c r="AI101" s="49"/>
      <c r="AJ101"/>
    </row>
    <row r="102" spans="1:39" s="66" customFormat="1" ht="39" customHeight="1">
      <c r="A102" s="187">
        <v>27373298</v>
      </c>
      <c r="B102" s="43"/>
      <c r="C102" s="148">
        <v>44713</v>
      </c>
      <c r="D102" s="37" t="s">
        <v>766</v>
      </c>
      <c r="E102" s="37" t="s">
        <v>767</v>
      </c>
      <c r="F102" s="45" t="s">
        <v>768</v>
      </c>
      <c r="G102" s="15">
        <v>150000</v>
      </c>
      <c r="H102" s="43"/>
      <c r="I102" s="43" t="s">
        <v>594</v>
      </c>
      <c r="J102" s="43" t="s">
        <v>769</v>
      </c>
      <c r="K102" s="43" t="s">
        <v>770</v>
      </c>
      <c r="L102" s="155" t="s">
        <v>771</v>
      </c>
      <c r="M102" s="155" t="s">
        <v>772</v>
      </c>
      <c r="N102" s="144">
        <f>1.01+12.26</f>
        <v>13.27</v>
      </c>
      <c r="O102" s="43" t="s">
        <v>18</v>
      </c>
      <c r="P102" s="47" t="s">
        <v>35</v>
      </c>
      <c r="Q102" s="144">
        <f>1.01+12.26</f>
        <v>13.27</v>
      </c>
      <c r="R102" s="43">
        <v>0</v>
      </c>
      <c r="S102" s="16" t="s">
        <v>20</v>
      </c>
      <c r="T102" s="215">
        <v>0.9</v>
      </c>
      <c r="U102" s="215">
        <v>0.1</v>
      </c>
      <c r="V102" s="215" t="s">
        <v>773</v>
      </c>
      <c r="W102" s="485"/>
      <c r="X102" s="215"/>
      <c r="Y102" s="43"/>
      <c r="Z102" s="46"/>
      <c r="AA102" s="43"/>
      <c r="AB102" s="43"/>
      <c r="AC102" s="46">
        <f>6.7</f>
        <v>6.7</v>
      </c>
      <c r="AD102" s="17"/>
      <c r="AE102" s="48"/>
      <c r="AF102" s="37"/>
      <c r="AG102" s="47"/>
      <c r="AH102" s="49">
        <f>Table2[[#This Row],[Prix de vente ($)]]/Table2[[#This Row],[Superficie totale (ha)]]</f>
        <v>11303.692539562924</v>
      </c>
      <c r="AI102" s="49"/>
      <c r="AJ102"/>
    </row>
    <row r="103" spans="1:39" s="66" customFormat="1" ht="39" customHeight="1">
      <c r="A103" s="187">
        <v>27468200</v>
      </c>
      <c r="B103" s="43"/>
      <c r="C103" s="148">
        <v>44717</v>
      </c>
      <c r="D103" s="37" t="s">
        <v>774</v>
      </c>
      <c r="E103" s="37" t="s">
        <v>775</v>
      </c>
      <c r="F103" s="45" t="s">
        <v>776</v>
      </c>
      <c r="G103" s="15">
        <v>285000</v>
      </c>
      <c r="H103" s="43"/>
      <c r="I103" s="43" t="s">
        <v>328</v>
      </c>
      <c r="J103" s="43" t="s">
        <v>777</v>
      </c>
      <c r="K103" s="43" t="s">
        <v>778</v>
      </c>
      <c r="L103" s="151" t="s">
        <v>779</v>
      </c>
      <c r="M103" s="155" t="s">
        <v>780</v>
      </c>
      <c r="N103" s="144">
        <v>92.18</v>
      </c>
      <c r="O103" s="43" t="s">
        <v>25</v>
      </c>
      <c r="P103" s="47" t="s">
        <v>19</v>
      </c>
      <c r="Q103" s="144">
        <v>92.18</v>
      </c>
      <c r="R103" s="43">
        <v>0</v>
      </c>
      <c r="S103" s="16" t="s">
        <v>20</v>
      </c>
      <c r="T103" s="215">
        <v>0.8</v>
      </c>
      <c r="U103" s="215">
        <v>0.2</v>
      </c>
      <c r="V103" s="215"/>
      <c r="W103" s="485"/>
      <c r="X103" s="215"/>
      <c r="Y103" s="43"/>
      <c r="Z103" s="46"/>
      <c r="AA103" s="43"/>
      <c r="AB103" s="43"/>
      <c r="AC103" s="46">
        <v>73</v>
      </c>
      <c r="AD103" s="17"/>
      <c r="AE103" s="48"/>
      <c r="AF103" s="37" t="s">
        <v>126</v>
      </c>
      <c r="AG103" s="47"/>
      <c r="AH103" s="49">
        <f>Table2[[#This Row],[Prix de vente ($)]]/Table2[[#This Row],[Superficie totale (ha)]]</f>
        <v>3091.7769581254065</v>
      </c>
      <c r="AI103" s="49"/>
      <c r="AJ103"/>
    </row>
    <row r="104" spans="1:39" ht="30" customHeight="1">
      <c r="A104" s="196" t="s">
        <v>781</v>
      </c>
      <c r="C104" s="318">
        <v>44718</v>
      </c>
      <c r="D104" t="s">
        <v>782</v>
      </c>
      <c r="E104" t="s">
        <v>783</v>
      </c>
      <c r="F104" t="s">
        <v>784</v>
      </c>
      <c r="G104" s="93">
        <v>600000</v>
      </c>
      <c r="I104" t="s">
        <v>29</v>
      </c>
      <c r="J104" t="s">
        <v>785</v>
      </c>
      <c r="K104" t="s">
        <v>786</v>
      </c>
      <c r="L104" s="205">
        <v>46.816591000000003</v>
      </c>
      <c r="M104" s="270" t="s">
        <v>787</v>
      </c>
      <c r="N104" s="211">
        <f>43.23+32.04</f>
        <v>75.27</v>
      </c>
      <c r="O104" t="s">
        <v>71</v>
      </c>
      <c r="P104" t="s">
        <v>154</v>
      </c>
      <c r="S104" s="94" t="s">
        <v>20</v>
      </c>
      <c r="T104" s="222">
        <v>0.9</v>
      </c>
      <c r="U104" s="222">
        <v>0.1</v>
      </c>
      <c r="V104" s="222">
        <v>0.75</v>
      </c>
      <c r="Y104" t="s">
        <v>36</v>
      </c>
      <c r="AB104" t="s">
        <v>788</v>
      </c>
      <c r="AC104" s="63">
        <v>44.1</v>
      </c>
      <c r="AD104" s="95">
        <v>7500</v>
      </c>
      <c r="AE104" s="63" t="s">
        <v>789</v>
      </c>
      <c r="AH104" s="49"/>
      <c r="AM104" s="49" t="e">
        <f>F104/N104</f>
        <v>#VALUE!</v>
      </c>
    </row>
    <row r="105" spans="1:39" ht="39" customHeight="1">
      <c r="A105" s="196">
        <v>27316969</v>
      </c>
      <c r="C105" s="318">
        <v>44722</v>
      </c>
      <c r="D105" t="s">
        <v>790</v>
      </c>
      <c r="E105" t="s">
        <v>791</v>
      </c>
      <c r="F105" s="269">
        <v>3506784</v>
      </c>
      <c r="G105" s="134">
        <v>90000</v>
      </c>
      <c r="I105" t="s">
        <v>792</v>
      </c>
      <c r="J105" t="s">
        <v>793</v>
      </c>
      <c r="K105" t="s">
        <v>794</v>
      </c>
      <c r="L105" s="205" t="s">
        <v>795</v>
      </c>
      <c r="M105" s="270" t="s">
        <v>796</v>
      </c>
      <c r="N105" s="211">
        <v>7.73</v>
      </c>
      <c r="O105" t="s">
        <v>18</v>
      </c>
      <c r="P105" t="s">
        <v>35</v>
      </c>
      <c r="Q105" s="211">
        <f>Table2[[#This Row],[Superficie totale (ha)]]</f>
        <v>7.73</v>
      </c>
      <c r="S105" s="94" t="s">
        <v>62</v>
      </c>
      <c r="T105" s="222">
        <v>0.7</v>
      </c>
      <c r="U105" s="222">
        <v>0.3</v>
      </c>
      <c r="V105" s="222" t="s">
        <v>362</v>
      </c>
      <c r="AH105" s="49">
        <f>Table2[[#This Row],[Prix de vente ($)]]/Table2[[#This Row],[Superficie totale (ha)]]</f>
        <v>11642.949547218628</v>
      </c>
    </row>
    <row r="106" spans="1:39" ht="39" customHeight="1">
      <c r="A106" s="187">
        <v>27328707</v>
      </c>
      <c r="B106" s="43"/>
      <c r="C106" s="148">
        <v>44726</v>
      </c>
      <c r="D106" s="37" t="s">
        <v>797</v>
      </c>
      <c r="E106" s="37" t="s">
        <v>798</v>
      </c>
      <c r="F106" s="45" t="s">
        <v>799</v>
      </c>
      <c r="G106" s="15">
        <v>127200</v>
      </c>
      <c r="H106" s="43"/>
      <c r="I106" s="43" t="s">
        <v>602</v>
      </c>
      <c r="J106" s="43" t="s">
        <v>603</v>
      </c>
      <c r="K106" s="43" t="s">
        <v>800</v>
      </c>
      <c r="L106" s="151" t="s">
        <v>801</v>
      </c>
      <c r="M106" s="155" t="s">
        <v>802</v>
      </c>
      <c r="N106" s="144">
        <v>49.5</v>
      </c>
      <c r="O106" s="43" t="s">
        <v>25</v>
      </c>
      <c r="P106" s="47" t="s">
        <v>165</v>
      </c>
      <c r="Q106" s="144">
        <v>49.5</v>
      </c>
      <c r="R106" s="43">
        <v>0</v>
      </c>
      <c r="S106" s="16" t="s">
        <v>102</v>
      </c>
      <c r="T106" s="215">
        <v>0.3</v>
      </c>
      <c r="U106" s="215">
        <v>0.7</v>
      </c>
      <c r="V106" s="215"/>
      <c r="W106" s="485"/>
      <c r="X106" s="215"/>
      <c r="Y106" s="43"/>
      <c r="Z106" s="46"/>
      <c r="AA106" s="43"/>
      <c r="AB106" s="43"/>
      <c r="AC106" s="46">
        <v>0</v>
      </c>
      <c r="AD106" s="17"/>
      <c r="AE106" s="48"/>
      <c r="AF106" s="37" t="s">
        <v>112</v>
      </c>
      <c r="AG106" s="47"/>
      <c r="AH106" s="49">
        <f>Table2[[#This Row],[Prix de vente ($)]]/Table2[[#This Row],[Superficie totale (ha)]]</f>
        <v>2569.6969696969695</v>
      </c>
      <c r="AI106" s="49"/>
    </row>
    <row r="107" spans="1:39" ht="39" customHeight="1">
      <c r="A107" s="187">
        <v>27358830</v>
      </c>
      <c r="B107" s="43"/>
      <c r="C107" s="148">
        <v>44735</v>
      </c>
      <c r="D107" s="37" t="s">
        <v>803</v>
      </c>
      <c r="E107" s="37" t="s">
        <v>804</v>
      </c>
      <c r="F107" s="45">
        <v>5464898</v>
      </c>
      <c r="G107" s="15">
        <v>90000</v>
      </c>
      <c r="H107" s="43"/>
      <c r="I107" s="43" t="s">
        <v>476</v>
      </c>
      <c r="J107" s="43" t="s">
        <v>805</v>
      </c>
      <c r="K107" s="43" t="s">
        <v>806</v>
      </c>
      <c r="L107" s="151" t="s">
        <v>807</v>
      </c>
      <c r="M107" s="155" t="s">
        <v>808</v>
      </c>
      <c r="N107" s="144">
        <v>8.23</v>
      </c>
      <c r="O107" s="43" t="s">
        <v>18</v>
      </c>
      <c r="P107" s="47" t="s">
        <v>35</v>
      </c>
      <c r="Q107" s="144">
        <v>8.23</v>
      </c>
      <c r="R107" s="43">
        <v>0</v>
      </c>
      <c r="S107" s="16" t="s">
        <v>20</v>
      </c>
      <c r="T107" s="215">
        <v>0.95</v>
      </c>
      <c r="U107" s="215">
        <v>0.05</v>
      </c>
      <c r="V107" s="215"/>
      <c r="W107" s="485"/>
      <c r="X107" s="215"/>
      <c r="Y107" s="43"/>
      <c r="Z107" s="46"/>
      <c r="AA107" s="43"/>
      <c r="AB107" s="43"/>
      <c r="AC107" s="46" t="s">
        <v>809</v>
      </c>
      <c r="AD107" s="17"/>
      <c r="AE107" s="48"/>
      <c r="AF107" s="37"/>
      <c r="AG107" s="47"/>
      <c r="AH107" s="49">
        <f>Table2[[#This Row],[Prix de vente ($)]]/Table2[[#This Row],[Superficie totale (ha)]]</f>
        <v>10935.601458080193</v>
      </c>
      <c r="AI107" s="49"/>
    </row>
    <row r="108" spans="1:39" ht="39" customHeight="1">
      <c r="A108" s="187">
        <v>27360660</v>
      </c>
      <c r="B108" s="43"/>
      <c r="C108" s="148">
        <v>44735</v>
      </c>
      <c r="D108" s="37" t="s">
        <v>810</v>
      </c>
      <c r="E108" s="37" t="s">
        <v>811</v>
      </c>
      <c r="F108" s="45">
        <v>5728271</v>
      </c>
      <c r="G108" s="15">
        <v>145000</v>
      </c>
      <c r="H108" s="43"/>
      <c r="I108" s="43" t="s">
        <v>679</v>
      </c>
      <c r="J108" s="43" t="s">
        <v>812</v>
      </c>
      <c r="K108" s="43" t="s">
        <v>813</v>
      </c>
      <c r="L108" s="151" t="s">
        <v>814</v>
      </c>
      <c r="M108" s="155" t="s">
        <v>815</v>
      </c>
      <c r="N108" s="144">
        <v>38.85</v>
      </c>
      <c r="O108" s="43" t="s">
        <v>25</v>
      </c>
      <c r="P108" s="47" t="s">
        <v>19</v>
      </c>
      <c r="Q108" s="144">
        <v>38.85</v>
      </c>
      <c r="R108" s="43">
        <v>0</v>
      </c>
      <c r="S108" s="16" t="s">
        <v>20</v>
      </c>
      <c r="T108" s="215">
        <v>0.6</v>
      </c>
      <c r="U108" s="215">
        <v>0.4</v>
      </c>
      <c r="V108" s="215"/>
      <c r="W108" s="485"/>
      <c r="X108" s="215"/>
      <c r="Y108" s="43"/>
      <c r="Z108" s="46"/>
      <c r="AA108" s="43"/>
      <c r="AB108" s="43"/>
      <c r="AC108" s="46">
        <v>3.2</v>
      </c>
      <c r="AD108" s="17"/>
      <c r="AE108" s="48"/>
      <c r="AF108" s="37" t="s">
        <v>816</v>
      </c>
      <c r="AG108" s="47"/>
      <c r="AH108" s="49">
        <f>Table2[[#This Row],[Prix de vente ($)]]/Table2[[#This Row],[Superficie totale (ha)]]</f>
        <v>3732.303732303732</v>
      </c>
      <c r="AI108" s="49"/>
    </row>
    <row r="109" spans="1:39" ht="39" customHeight="1">
      <c r="A109" s="187">
        <v>27383500</v>
      </c>
      <c r="B109" s="43"/>
      <c r="C109" s="148">
        <v>44742</v>
      </c>
      <c r="D109" s="37" t="s">
        <v>817</v>
      </c>
      <c r="E109" s="37" t="s">
        <v>818</v>
      </c>
      <c r="F109" s="45">
        <v>6496054</v>
      </c>
      <c r="G109" s="15">
        <v>45000</v>
      </c>
      <c r="H109" s="43"/>
      <c r="I109" s="43" t="s">
        <v>408</v>
      </c>
      <c r="J109" s="43" t="s">
        <v>819</v>
      </c>
      <c r="K109" s="43" t="s">
        <v>820</v>
      </c>
      <c r="L109" s="151" t="s">
        <v>821</v>
      </c>
      <c r="M109" s="155" t="s">
        <v>822</v>
      </c>
      <c r="N109" s="144">
        <v>6.88</v>
      </c>
      <c r="O109" s="43" t="s">
        <v>18</v>
      </c>
      <c r="P109" s="47" t="s">
        <v>26</v>
      </c>
      <c r="Q109" s="144">
        <v>6.88</v>
      </c>
      <c r="R109" s="43">
        <v>0</v>
      </c>
      <c r="S109" s="16" t="s">
        <v>20</v>
      </c>
      <c r="T109" s="215">
        <v>0.8</v>
      </c>
      <c r="U109" s="215">
        <v>0.2</v>
      </c>
      <c r="V109" s="215"/>
      <c r="W109" s="485"/>
      <c r="X109" s="215"/>
      <c r="Y109" s="43"/>
      <c r="Z109" s="46"/>
      <c r="AA109" s="43"/>
      <c r="AB109" s="43"/>
      <c r="AC109" s="46">
        <v>4.5999999999999996</v>
      </c>
      <c r="AD109" s="17"/>
      <c r="AE109" s="48"/>
      <c r="AF109" s="37" t="s">
        <v>126</v>
      </c>
      <c r="AG109" s="47"/>
      <c r="AH109" s="49">
        <f>Table2[[#This Row],[Prix de vente ($)]]/Table2[[#This Row],[Superficie totale (ha)]]</f>
        <v>6540.6976744186049</v>
      </c>
      <c r="AI109" s="49"/>
    </row>
    <row r="110" spans="1:39" ht="39" customHeight="1">
      <c r="A110" s="196">
        <v>27399948</v>
      </c>
      <c r="C110" s="318">
        <v>44749</v>
      </c>
      <c r="D110" s="266" t="s">
        <v>823</v>
      </c>
      <c r="E110" s="266" t="s">
        <v>824</v>
      </c>
      <c r="F110" t="s">
        <v>825</v>
      </c>
      <c r="G110" s="134">
        <v>100000</v>
      </c>
      <c r="I110" t="s">
        <v>537</v>
      </c>
      <c r="J110" t="s">
        <v>538</v>
      </c>
      <c r="L110" s="205">
        <v>46.654974000000003</v>
      </c>
      <c r="M110" s="205">
        <v>-75.376439000000005</v>
      </c>
      <c r="N110" s="211">
        <v>112.42</v>
      </c>
      <c r="O110" t="s">
        <v>25</v>
      </c>
      <c r="P110" t="s">
        <v>19</v>
      </c>
      <c r="Q110" s="199">
        <v>112.42</v>
      </c>
      <c r="S110" s="94" t="s">
        <v>62</v>
      </c>
      <c r="T110" s="222">
        <v>0.7</v>
      </c>
      <c r="U110" s="222">
        <v>0.3</v>
      </c>
      <c r="V110" s="222">
        <v>0.7</v>
      </c>
      <c r="AF110" t="s">
        <v>826</v>
      </c>
      <c r="AH110" s="49">
        <f>Table2[[#This Row],[Prix de vente ($)]]/Table2[[#This Row],[Superficie totale (ha)]]</f>
        <v>889.52143746664296</v>
      </c>
    </row>
    <row r="111" spans="1:39" ht="39" customHeight="1">
      <c r="A111" s="187">
        <v>27544757</v>
      </c>
      <c r="B111" s="43"/>
      <c r="C111" s="148">
        <v>44750</v>
      </c>
      <c r="D111" s="37" t="s">
        <v>827</v>
      </c>
      <c r="E111" s="37" t="s">
        <v>828</v>
      </c>
      <c r="F111" s="43" t="s">
        <v>829</v>
      </c>
      <c r="G111" s="52">
        <v>235000</v>
      </c>
      <c r="H111" s="43"/>
      <c r="I111" s="43" t="s">
        <v>223</v>
      </c>
      <c r="J111" s="43" t="s">
        <v>830</v>
      </c>
      <c r="K111" s="43" t="s">
        <v>831</v>
      </c>
      <c r="L111" s="142" t="s">
        <v>832</v>
      </c>
      <c r="M111" s="142" t="s">
        <v>833</v>
      </c>
      <c r="N111" s="144">
        <f>4.08+22.3+29.12</f>
        <v>55.5</v>
      </c>
      <c r="O111" s="43" t="s">
        <v>18</v>
      </c>
      <c r="P111" s="47" t="s">
        <v>63</v>
      </c>
      <c r="Q111" s="144">
        <f>Bois!$N26</f>
        <v>79.36</v>
      </c>
      <c r="R111" s="43"/>
      <c r="S111" s="1"/>
      <c r="T111" s="217"/>
      <c r="U111" s="217"/>
      <c r="V111" s="217"/>
      <c r="W111" s="487"/>
      <c r="X111" s="217"/>
      <c r="Y111" s="43"/>
      <c r="Z111" s="46"/>
      <c r="AA111" s="43"/>
      <c r="AB111" s="43"/>
      <c r="AC111" s="46">
        <f>0.8+9.5</f>
        <v>10.3</v>
      </c>
      <c r="AD111" s="53"/>
      <c r="AE111" s="48"/>
      <c r="AF111" s="37" t="s">
        <v>834</v>
      </c>
      <c r="AG111" s="47"/>
      <c r="AH111" s="49">
        <f>Table2[[#This Row],[Prix de vente ($)]]/Table2[[#This Row],[Superficie totale (ha)]]</f>
        <v>4234.2342342342345</v>
      </c>
      <c r="AI111" s="49" t="e">
        <f>Bois!$G26/Bois!$AD26</f>
        <v>#DIV/0!</v>
      </c>
    </row>
    <row r="112" spans="1:39" ht="39" customHeight="1">
      <c r="A112" s="187">
        <v>27510202</v>
      </c>
      <c r="B112" s="43"/>
      <c r="C112" s="148">
        <v>44756</v>
      </c>
      <c r="D112" s="37" t="s">
        <v>835</v>
      </c>
      <c r="E112" s="37" t="s">
        <v>836</v>
      </c>
      <c r="F112" s="43" t="s">
        <v>837</v>
      </c>
      <c r="G112" s="15">
        <v>85000</v>
      </c>
      <c r="H112" s="43"/>
      <c r="I112" s="43" t="s">
        <v>223</v>
      </c>
      <c r="J112" s="43" t="s">
        <v>838</v>
      </c>
      <c r="K112" s="43" t="s">
        <v>839</v>
      </c>
      <c r="L112" s="151" t="s">
        <v>840</v>
      </c>
      <c r="M112" s="151" t="s">
        <v>841</v>
      </c>
      <c r="N112" s="144">
        <f>25.64+15.76</f>
        <v>41.4</v>
      </c>
      <c r="O112" s="43" t="s">
        <v>25</v>
      </c>
      <c r="P112" s="47" t="s">
        <v>438</v>
      </c>
      <c r="Q112" s="144">
        <f>Bois!$N27</f>
        <v>41.42</v>
      </c>
      <c r="R112" s="43"/>
      <c r="S112" s="16"/>
      <c r="T112" s="215"/>
      <c r="U112" s="215"/>
      <c r="V112" s="215"/>
      <c r="W112" s="485"/>
      <c r="X112" s="215"/>
      <c r="Y112" s="43"/>
      <c r="Z112" s="46"/>
      <c r="AA112" s="43"/>
      <c r="AB112" s="43"/>
      <c r="AC112" s="46">
        <v>0</v>
      </c>
      <c r="AD112" s="17"/>
      <c r="AE112" s="48"/>
      <c r="AF112" s="37"/>
      <c r="AG112" s="47"/>
      <c r="AH112" s="49">
        <f>Table2[[#This Row],[Prix de vente ($)]]/Table2[[#This Row],[Superficie totale (ha)]]</f>
        <v>2053.1400966183573</v>
      </c>
      <c r="AI112" s="49" t="e">
        <f>Bois!$G27/Bois!$AD27</f>
        <v>#DIV/0!</v>
      </c>
    </row>
    <row r="113" spans="1:35" ht="39" customHeight="1">
      <c r="A113" s="196" t="s">
        <v>842</v>
      </c>
      <c r="C113" s="318">
        <v>44756</v>
      </c>
      <c r="D113" t="s">
        <v>843</v>
      </c>
      <c r="E113" t="s">
        <v>844</v>
      </c>
      <c r="F113" t="s">
        <v>845</v>
      </c>
      <c r="G113" s="93">
        <v>650000</v>
      </c>
      <c r="I113" t="s">
        <v>29</v>
      </c>
      <c r="J113" t="s">
        <v>846</v>
      </c>
      <c r="K113" t="s">
        <v>847</v>
      </c>
      <c r="L113" s="205">
        <v>46.685893</v>
      </c>
      <c r="M113" s="270" t="s">
        <v>848</v>
      </c>
      <c r="N113" s="211">
        <v>39.159999999999997</v>
      </c>
      <c r="O113" t="s">
        <v>36</v>
      </c>
      <c r="P113" t="s">
        <v>384</v>
      </c>
      <c r="S113" s="94" t="s">
        <v>20</v>
      </c>
      <c r="T113" s="222">
        <v>0.95</v>
      </c>
      <c r="U113" s="222">
        <v>0.05</v>
      </c>
      <c r="V113" s="222">
        <v>0.75</v>
      </c>
      <c r="Y113" t="s">
        <v>36</v>
      </c>
      <c r="AB113" t="s">
        <v>849</v>
      </c>
      <c r="AC113" s="63">
        <v>36.6</v>
      </c>
      <c r="AF113" t="s">
        <v>850</v>
      </c>
      <c r="AH113" s="49"/>
    </row>
    <row r="114" spans="1:35" ht="39" customHeight="1">
      <c r="A114" s="187">
        <v>27427365</v>
      </c>
      <c r="B114" s="43"/>
      <c r="C114" s="148">
        <v>44760</v>
      </c>
      <c r="D114" s="37" t="s">
        <v>851</v>
      </c>
      <c r="E114" s="37" t="s">
        <v>852</v>
      </c>
      <c r="F114" s="45">
        <v>4699205</v>
      </c>
      <c r="G114" s="15">
        <v>75000</v>
      </c>
      <c r="H114" s="43"/>
      <c r="I114" s="43" t="s">
        <v>74</v>
      </c>
      <c r="J114" s="43" t="s">
        <v>51</v>
      </c>
      <c r="K114" s="43" t="s">
        <v>853</v>
      </c>
      <c r="L114" s="151" t="s">
        <v>854</v>
      </c>
      <c r="M114" s="155" t="s">
        <v>855</v>
      </c>
      <c r="N114" s="144">
        <v>9.59</v>
      </c>
      <c r="O114" s="43" t="s">
        <v>18</v>
      </c>
      <c r="P114" s="47" t="s">
        <v>35</v>
      </c>
      <c r="Q114" s="144">
        <v>6</v>
      </c>
      <c r="R114" s="43">
        <v>0</v>
      </c>
      <c r="S114" s="16" t="s">
        <v>22</v>
      </c>
      <c r="T114" s="215">
        <v>0.5</v>
      </c>
      <c r="U114" s="215">
        <v>0.5</v>
      </c>
      <c r="V114" s="215"/>
      <c r="W114" s="485"/>
      <c r="X114" s="215"/>
      <c r="Y114" s="43"/>
      <c r="Z114" s="46"/>
      <c r="AA114" s="43"/>
      <c r="AB114" s="43"/>
      <c r="AC114" s="46">
        <v>2</v>
      </c>
      <c r="AD114" s="17"/>
      <c r="AE114" s="48"/>
      <c r="AF114" s="37" t="s">
        <v>856</v>
      </c>
      <c r="AG114" s="47"/>
      <c r="AH114" s="49">
        <f>Table2[[#This Row],[Prix de vente ($)]]/Table2[[#This Row],[Superficie totale (ha)]]</f>
        <v>7820.6465067778936</v>
      </c>
      <c r="AI114" s="49"/>
    </row>
    <row r="115" spans="1:35" ht="39" customHeight="1">
      <c r="A115" s="196">
        <v>27458026</v>
      </c>
      <c r="C115" s="318">
        <v>44770</v>
      </c>
      <c r="D115" t="s">
        <v>857</v>
      </c>
      <c r="E115" s="247" t="s">
        <v>858</v>
      </c>
      <c r="F115" s="247" t="s">
        <v>859</v>
      </c>
      <c r="G115" s="134">
        <v>40000</v>
      </c>
      <c r="I115" t="s">
        <v>274</v>
      </c>
      <c r="J115" t="s">
        <v>860</v>
      </c>
      <c r="K115" s="247" t="s">
        <v>861</v>
      </c>
      <c r="L115" s="205">
        <v>45.727410999999996</v>
      </c>
      <c r="M115" s="205">
        <v>-72.114532999999994</v>
      </c>
      <c r="N115" s="211">
        <v>15.81</v>
      </c>
      <c r="O115" t="s">
        <v>18</v>
      </c>
      <c r="P115" t="s">
        <v>173</v>
      </c>
      <c r="Q115" s="199">
        <v>15.81</v>
      </c>
      <c r="S115" s="94" t="s">
        <v>62</v>
      </c>
      <c r="T115" s="222">
        <v>0.65</v>
      </c>
      <c r="U115" s="222">
        <v>0.35</v>
      </c>
      <c r="V115" s="222">
        <v>0.65</v>
      </c>
      <c r="AF115" s="20" t="s">
        <v>862</v>
      </c>
      <c r="AH115" s="49">
        <f>Table2[[#This Row],[Prix de vente ($)]]/Table2[[#This Row],[Superficie totale (ha)]]</f>
        <v>2530.044275774826</v>
      </c>
    </row>
    <row r="116" spans="1:35" ht="39" customHeight="1">
      <c r="A116" s="187">
        <v>28091153</v>
      </c>
      <c r="B116" s="43"/>
      <c r="C116" s="148">
        <v>44778</v>
      </c>
      <c r="D116" s="37" t="s">
        <v>863</v>
      </c>
      <c r="E116" s="37" t="s">
        <v>864</v>
      </c>
      <c r="F116" s="43" t="s">
        <v>865</v>
      </c>
      <c r="G116" s="15">
        <f>189600+142000+118400</f>
        <v>450000</v>
      </c>
      <c r="H116" s="43"/>
      <c r="I116" s="43" t="s">
        <v>29</v>
      </c>
      <c r="J116" s="43" t="s">
        <v>866</v>
      </c>
      <c r="K116" s="43" t="s">
        <v>867</v>
      </c>
      <c r="L116" s="151" t="s">
        <v>868</v>
      </c>
      <c r="M116" s="151" t="s">
        <v>869</v>
      </c>
      <c r="N116" s="144">
        <f>38.5+43.52+44.03</f>
        <v>126.05000000000001</v>
      </c>
      <c r="O116" s="43" t="s">
        <v>18</v>
      </c>
      <c r="P116" s="47" t="s">
        <v>63</v>
      </c>
      <c r="Q116" s="139">
        <v>125</v>
      </c>
      <c r="R116" s="43"/>
      <c r="S116" s="16" t="s">
        <v>175</v>
      </c>
      <c r="T116" s="215">
        <v>0.5</v>
      </c>
      <c r="U116" s="215">
        <v>0.5</v>
      </c>
      <c r="V116" s="215">
        <v>0.8</v>
      </c>
      <c r="W116" s="485"/>
      <c r="X116" s="215"/>
      <c r="Y116" s="43"/>
      <c r="Z116" s="46"/>
      <c r="AA116" s="43"/>
      <c r="AB116" s="43"/>
      <c r="AC116" s="46">
        <f>30.9+9.5</f>
        <v>40.4</v>
      </c>
      <c r="AD116" s="17"/>
      <c r="AE116" s="48"/>
      <c r="AF116" s="37"/>
      <c r="AG116" s="47"/>
      <c r="AH116" s="49">
        <f>Table2[[#This Row],[Prix de vente ($)]]/Table2[[#This Row],[Superficie totale (ha)]]</f>
        <v>3570.0119000396667</v>
      </c>
      <c r="AI116" s="49" t="e">
        <f>Bois!$G28/Bois!$AD28</f>
        <v>#DIV/0!</v>
      </c>
    </row>
    <row r="117" spans="1:35" ht="39" customHeight="1">
      <c r="A117" s="187">
        <v>27475561</v>
      </c>
      <c r="B117" s="43"/>
      <c r="C117" s="148">
        <v>44781</v>
      </c>
      <c r="D117" s="37" t="s">
        <v>870</v>
      </c>
      <c r="E117" s="37" t="s">
        <v>871</v>
      </c>
      <c r="F117" s="43" t="s">
        <v>872</v>
      </c>
      <c r="G117" s="15">
        <v>69700</v>
      </c>
      <c r="H117" s="43"/>
      <c r="I117" s="43" t="s">
        <v>97</v>
      </c>
      <c r="J117" s="43" t="s">
        <v>98</v>
      </c>
      <c r="K117" s="43" t="s">
        <v>873</v>
      </c>
      <c r="L117" s="151" t="s">
        <v>874</v>
      </c>
      <c r="M117" s="155" t="s">
        <v>875</v>
      </c>
      <c r="N117" s="144">
        <f>11.24+8.31</f>
        <v>19.55</v>
      </c>
      <c r="O117" s="43" t="s">
        <v>25</v>
      </c>
      <c r="P117" s="47" t="s">
        <v>361</v>
      </c>
      <c r="Q117" s="144">
        <f>N117</f>
        <v>19.55</v>
      </c>
      <c r="R117" s="43"/>
      <c r="S117" s="16" t="s">
        <v>155</v>
      </c>
      <c r="T117" s="215">
        <v>0.7</v>
      </c>
      <c r="U117" s="215">
        <v>0.3</v>
      </c>
      <c r="V117" s="215" t="s">
        <v>362</v>
      </c>
      <c r="W117" s="485"/>
      <c r="X117" s="215"/>
      <c r="Y117" s="43"/>
      <c r="Z117" s="46"/>
      <c r="AA117" s="43"/>
      <c r="AB117" s="43"/>
      <c r="AC117" s="46">
        <v>2.2999999999999998</v>
      </c>
      <c r="AD117" s="17"/>
      <c r="AE117" s="48"/>
      <c r="AF117" s="37" t="s">
        <v>31</v>
      </c>
      <c r="AG117" s="47"/>
      <c r="AH117" s="49">
        <f>Table2[[#This Row],[Prix de vente ($)]]/Table2[[#This Row],[Superficie totale (ha)]]</f>
        <v>3565.2173913043475</v>
      </c>
      <c r="AI117" s="49" t="e">
        <v>#DIV/0!</v>
      </c>
    </row>
    <row r="118" spans="1:35" ht="39" customHeight="1">
      <c r="A118" s="187">
        <v>27498796</v>
      </c>
      <c r="B118" s="43"/>
      <c r="C118" s="148">
        <v>44792</v>
      </c>
      <c r="D118" s="37" t="s">
        <v>876</v>
      </c>
      <c r="E118" s="37" t="s">
        <v>877</v>
      </c>
      <c r="F118" s="45">
        <v>3198526</v>
      </c>
      <c r="G118" s="15">
        <v>90000</v>
      </c>
      <c r="H118" s="43"/>
      <c r="I118" s="43" t="s">
        <v>16</v>
      </c>
      <c r="J118" s="43" t="s">
        <v>402</v>
      </c>
      <c r="K118" s="43" t="s">
        <v>878</v>
      </c>
      <c r="L118" s="151" t="s">
        <v>879</v>
      </c>
      <c r="M118" s="155" t="s">
        <v>880</v>
      </c>
      <c r="N118" s="144">
        <v>7.63</v>
      </c>
      <c r="O118" s="43" t="s">
        <v>18</v>
      </c>
      <c r="P118" s="47" t="s">
        <v>35</v>
      </c>
      <c r="Q118" s="144">
        <v>7.63</v>
      </c>
      <c r="R118" s="43"/>
      <c r="S118" s="16" t="s">
        <v>20</v>
      </c>
      <c r="T118" s="215">
        <v>1</v>
      </c>
      <c r="U118" s="215">
        <v>0</v>
      </c>
      <c r="V118" s="215"/>
      <c r="W118" s="485"/>
      <c r="X118" s="215"/>
      <c r="Y118" s="43"/>
      <c r="Z118" s="46"/>
      <c r="AA118" s="43"/>
      <c r="AB118" s="43"/>
      <c r="AC118" s="46">
        <v>7.63</v>
      </c>
      <c r="AD118" s="17"/>
      <c r="AE118" s="48"/>
      <c r="AF118" s="37" t="s">
        <v>31</v>
      </c>
      <c r="AG118" s="47"/>
      <c r="AH118" s="49">
        <f>Table2[[#This Row],[Prix de vente ($)]]/Table2[[#This Row],[Superficie totale (ha)]]</f>
        <v>11795.543905635648</v>
      </c>
      <c r="AI118" s="49" t="e">
        <v>#DIV/0!</v>
      </c>
    </row>
    <row r="119" spans="1:35" ht="39" customHeight="1">
      <c r="A119" s="187">
        <v>27519479</v>
      </c>
      <c r="B119" s="43"/>
      <c r="C119" s="148">
        <v>44792</v>
      </c>
      <c r="D119" s="37" t="s">
        <v>881</v>
      </c>
      <c r="E119" s="37" t="s">
        <v>882</v>
      </c>
      <c r="F119" s="43">
        <v>3831271</v>
      </c>
      <c r="G119" s="52">
        <v>180000</v>
      </c>
      <c r="H119" s="43"/>
      <c r="I119" s="43" t="s">
        <v>654</v>
      </c>
      <c r="J119" s="43" t="s">
        <v>883</v>
      </c>
      <c r="K119" s="43" t="s">
        <v>884</v>
      </c>
      <c r="L119" s="142" t="s">
        <v>885</v>
      </c>
      <c r="M119" s="142" t="s">
        <v>886</v>
      </c>
      <c r="N119" s="144">
        <v>18.420000000000002</v>
      </c>
      <c r="O119" s="43" t="s">
        <v>18</v>
      </c>
      <c r="P119" s="47" t="s">
        <v>206</v>
      </c>
      <c r="Q119" s="144">
        <f>Bois!$N124</f>
        <v>3.06</v>
      </c>
      <c r="R119" s="43"/>
      <c r="S119" s="1" t="s">
        <v>369</v>
      </c>
      <c r="T119" s="217">
        <v>0.47</v>
      </c>
      <c r="U119" s="217">
        <v>0.53</v>
      </c>
      <c r="V119" s="217">
        <v>0.65</v>
      </c>
      <c r="W119" s="487"/>
      <c r="X119" s="217"/>
      <c r="Y119" s="43"/>
      <c r="Z119" s="46"/>
      <c r="AA119" s="43"/>
      <c r="AB119" s="43"/>
      <c r="AC119" s="46">
        <v>4.3</v>
      </c>
      <c r="AD119" s="53"/>
      <c r="AE119" s="48"/>
      <c r="AF119" s="37"/>
      <c r="AG119" s="47"/>
      <c r="AH119" s="49">
        <f>Table2[[#This Row],[Prix de vente ($)]]/Table2[[#This Row],[Superficie totale (ha)]]</f>
        <v>9771.9869706840382</v>
      </c>
      <c r="AI119" s="49" t="e">
        <f>Bois!$G29/Bois!$AD29</f>
        <v>#DIV/0!</v>
      </c>
    </row>
    <row r="120" spans="1:35" ht="39" customHeight="1">
      <c r="A120" s="194">
        <v>27500276</v>
      </c>
      <c r="B120" s="80"/>
      <c r="C120" s="148">
        <v>44792</v>
      </c>
      <c r="D120" s="60" t="s">
        <v>887</v>
      </c>
      <c r="E120" s="60" t="s">
        <v>888</v>
      </c>
      <c r="F120" s="80" t="s">
        <v>889</v>
      </c>
      <c r="G120" s="134">
        <v>300000</v>
      </c>
      <c r="H120" s="80"/>
      <c r="I120" s="80" t="s">
        <v>321</v>
      </c>
      <c r="J120" s="80" t="s">
        <v>890</v>
      </c>
      <c r="K120" s="80" t="s">
        <v>891</v>
      </c>
      <c r="L120" s="199">
        <v>46.554074</v>
      </c>
      <c r="M120" s="199">
        <v>-71.308498999999998</v>
      </c>
      <c r="N120" s="199">
        <v>96.69</v>
      </c>
      <c r="O120" s="80" t="s">
        <v>18</v>
      </c>
      <c r="P120" s="80" t="s">
        <v>110</v>
      </c>
      <c r="Q120" s="199">
        <v>96.69</v>
      </c>
      <c r="R120" s="80"/>
      <c r="S120" s="80" t="s">
        <v>62</v>
      </c>
      <c r="T120" s="216">
        <v>0.6</v>
      </c>
      <c r="U120" s="216">
        <v>0.4</v>
      </c>
      <c r="V120" s="216">
        <v>0.55000000000000004</v>
      </c>
      <c r="W120" s="199"/>
      <c r="X120" s="216"/>
      <c r="Y120" s="80"/>
      <c r="Z120" s="80"/>
      <c r="AA120" s="80"/>
      <c r="AB120" s="80"/>
      <c r="AC120" s="80">
        <v>20.6</v>
      </c>
      <c r="AD120" s="80"/>
      <c r="AE120" s="80"/>
      <c r="AF120" s="43"/>
      <c r="AG120" s="80"/>
      <c r="AH120" s="49">
        <f>Table2[[#This Row],[Prix de vente ($)]]/Table2[[#This Row],[Superficie totale (ha)]]</f>
        <v>3102.6993484331369</v>
      </c>
      <c r="AI120" s="80"/>
    </row>
    <row r="121" spans="1:35" ht="39" customHeight="1">
      <c r="A121" s="187">
        <v>27501800</v>
      </c>
      <c r="B121" s="43"/>
      <c r="C121" s="148">
        <v>44795</v>
      </c>
      <c r="D121" s="37" t="s">
        <v>892</v>
      </c>
      <c r="E121" s="37" t="s">
        <v>893</v>
      </c>
      <c r="F121" s="43">
        <v>3886628</v>
      </c>
      <c r="G121" s="52">
        <v>7500</v>
      </c>
      <c r="H121" s="43"/>
      <c r="I121" s="43" t="s">
        <v>627</v>
      </c>
      <c r="J121" s="43" t="s">
        <v>628</v>
      </c>
      <c r="K121" s="43" t="s">
        <v>628</v>
      </c>
      <c r="L121" s="142" t="s">
        <v>894</v>
      </c>
      <c r="M121" s="142" t="s">
        <v>895</v>
      </c>
      <c r="N121" s="144">
        <v>7.84</v>
      </c>
      <c r="O121" s="43" t="s">
        <v>25</v>
      </c>
      <c r="P121" s="47" t="s">
        <v>317</v>
      </c>
      <c r="Q121" s="144">
        <f>Bois!$N30</f>
        <v>5.48</v>
      </c>
      <c r="R121" s="43"/>
      <c r="S121" s="1" t="s">
        <v>22</v>
      </c>
      <c r="T121" s="217"/>
      <c r="U121" s="217"/>
      <c r="V121" s="217"/>
      <c r="W121" s="487"/>
      <c r="X121" s="217"/>
      <c r="Y121" s="43"/>
      <c r="Z121" s="46"/>
      <c r="AA121" s="43"/>
      <c r="AB121" s="43"/>
      <c r="AC121" s="46"/>
      <c r="AD121" s="53"/>
      <c r="AE121" s="48"/>
      <c r="AF121" s="37" t="s">
        <v>896</v>
      </c>
      <c r="AG121" s="47"/>
      <c r="AH121" s="49">
        <f>Table2[[#This Row],[Prix de vente ($)]]/Table2[[#This Row],[Superficie totale (ha)]]</f>
        <v>956.63265306122446</v>
      </c>
      <c r="AI121" s="49" t="e">
        <f>Bois!$G30/Bois!$AD30</f>
        <v>#DIV/0!</v>
      </c>
    </row>
    <row r="122" spans="1:35" ht="39" customHeight="1">
      <c r="A122" s="189">
        <v>27609841</v>
      </c>
      <c r="B122" s="80"/>
      <c r="C122" s="318">
        <v>44795</v>
      </c>
      <c r="D122" s="43" t="s">
        <v>897</v>
      </c>
      <c r="E122" s="137" t="s">
        <v>898</v>
      </c>
      <c r="F122" s="135">
        <v>5737055</v>
      </c>
      <c r="G122" s="134">
        <v>75000</v>
      </c>
      <c r="H122" s="80"/>
      <c r="I122" s="80" t="s">
        <v>556</v>
      </c>
      <c r="J122" s="80" t="s">
        <v>557</v>
      </c>
      <c r="K122" s="43" t="s">
        <v>558</v>
      </c>
      <c r="L122" s="199" t="s">
        <v>899</v>
      </c>
      <c r="M122" s="199" t="s">
        <v>900</v>
      </c>
      <c r="N122" s="199">
        <v>33.92</v>
      </c>
      <c r="O122" s="80" t="s">
        <v>25</v>
      </c>
      <c r="P122" s="80" t="s">
        <v>19</v>
      </c>
      <c r="Q122" s="199">
        <v>33.92</v>
      </c>
      <c r="R122" s="80"/>
      <c r="S122" s="80" t="s">
        <v>22</v>
      </c>
      <c r="T122" s="216">
        <v>0.5</v>
      </c>
      <c r="U122" s="216">
        <v>0.5</v>
      </c>
      <c r="V122" s="216"/>
      <c r="W122" s="199"/>
      <c r="X122" s="216"/>
      <c r="Y122" s="80"/>
      <c r="Z122" s="80"/>
      <c r="AA122" s="80"/>
      <c r="AB122" s="80"/>
      <c r="AC122" s="80">
        <v>0</v>
      </c>
      <c r="AD122" s="80"/>
      <c r="AE122" s="80"/>
      <c r="AF122" s="43" t="s">
        <v>561</v>
      </c>
      <c r="AG122" s="80"/>
      <c r="AH122" s="49">
        <f>Table2[[#This Row],[Prix de vente ($)]]/Table2[[#This Row],[Superficie totale (ha)]]</f>
        <v>2211.0849056603774</v>
      </c>
      <c r="AI122" s="80"/>
    </row>
    <row r="123" spans="1:35" ht="39" customHeight="1">
      <c r="A123" s="187">
        <v>27964039</v>
      </c>
      <c r="B123" s="43"/>
      <c r="C123" s="148">
        <v>44797</v>
      </c>
      <c r="D123" s="37" t="s">
        <v>901</v>
      </c>
      <c r="E123" s="37" t="s">
        <v>902</v>
      </c>
      <c r="F123" s="45">
        <v>4006580</v>
      </c>
      <c r="G123" s="15">
        <v>12000</v>
      </c>
      <c r="H123" s="43"/>
      <c r="I123" s="43" t="s">
        <v>602</v>
      </c>
      <c r="J123" s="43" t="s">
        <v>903</v>
      </c>
      <c r="K123" s="43" t="s">
        <v>904</v>
      </c>
      <c r="L123" s="151" t="s">
        <v>905</v>
      </c>
      <c r="M123" s="155" t="s">
        <v>906</v>
      </c>
      <c r="N123" s="144">
        <v>6.03</v>
      </c>
      <c r="O123" s="43" t="s">
        <v>18</v>
      </c>
      <c r="P123" s="47" t="s">
        <v>19</v>
      </c>
      <c r="Q123" s="144">
        <v>6.03</v>
      </c>
      <c r="R123" s="43">
        <v>0</v>
      </c>
      <c r="S123" s="16" t="s">
        <v>20</v>
      </c>
      <c r="T123" s="215">
        <v>0.7</v>
      </c>
      <c r="U123" s="215">
        <v>0.3</v>
      </c>
      <c r="V123" s="215"/>
      <c r="W123" s="485"/>
      <c r="X123" s="215"/>
      <c r="Y123" s="43"/>
      <c r="Z123" s="46"/>
      <c r="AA123" s="43"/>
      <c r="AB123" s="43"/>
      <c r="AC123" s="46">
        <v>0</v>
      </c>
      <c r="AD123" s="17"/>
      <c r="AE123" s="48"/>
      <c r="AF123" s="37" t="s">
        <v>126</v>
      </c>
      <c r="AG123" s="47"/>
      <c r="AH123" s="49">
        <f>Table2[[#This Row],[Prix de vente ($)]]/Table2[[#This Row],[Superficie totale (ha)]]</f>
        <v>1990.049751243781</v>
      </c>
      <c r="AI123" s="49"/>
    </row>
    <row r="124" spans="1:35" ht="39" customHeight="1">
      <c r="A124" s="187">
        <v>27514914</v>
      </c>
      <c r="B124" s="43"/>
      <c r="C124" s="148">
        <v>44798</v>
      </c>
      <c r="D124" s="37" t="s">
        <v>907</v>
      </c>
      <c r="E124" s="37" t="s">
        <v>908</v>
      </c>
      <c r="F124" s="43">
        <v>4366654</v>
      </c>
      <c r="G124" s="15">
        <v>125000</v>
      </c>
      <c r="H124" s="43"/>
      <c r="I124" s="43" t="s">
        <v>909</v>
      </c>
      <c r="J124" s="43" t="s">
        <v>910</v>
      </c>
      <c r="K124" s="43" t="s">
        <v>910</v>
      </c>
      <c r="L124" s="151" t="s">
        <v>911</v>
      </c>
      <c r="M124" s="151" t="s">
        <v>912</v>
      </c>
      <c r="N124" s="144">
        <v>3.06</v>
      </c>
      <c r="O124" s="43" t="s">
        <v>25</v>
      </c>
      <c r="P124" s="47" t="s">
        <v>19</v>
      </c>
      <c r="Q124" s="139">
        <v>3.06</v>
      </c>
      <c r="R124" s="43"/>
      <c r="S124" s="43" t="s">
        <v>20</v>
      </c>
      <c r="T124" s="217">
        <v>1</v>
      </c>
      <c r="U124" s="217">
        <v>0</v>
      </c>
      <c r="V124" s="217"/>
      <c r="W124" s="487"/>
      <c r="X124" s="217"/>
      <c r="Y124" s="43"/>
      <c r="Z124" s="46"/>
      <c r="AA124" s="43"/>
      <c r="AB124" s="43"/>
      <c r="AC124" s="46">
        <f>N124</f>
        <v>3.06</v>
      </c>
      <c r="AD124" s="53"/>
      <c r="AE124" s="48"/>
      <c r="AF124" s="37" t="s">
        <v>913</v>
      </c>
      <c r="AG124" s="47"/>
      <c r="AH124" s="49">
        <f>Table2[[#This Row],[Prix de vente ($)]]/Table2[[#This Row],[Superficie totale (ha)]]</f>
        <v>40849.67320261438</v>
      </c>
      <c r="AI124" s="49" t="e">
        <f>Bois!$G31/Bois!$AD31</f>
        <v>#DIV/0!</v>
      </c>
    </row>
    <row r="125" spans="1:35" ht="39" customHeight="1">
      <c r="A125" s="187">
        <v>27511710</v>
      </c>
      <c r="B125" s="43"/>
      <c r="C125" s="148">
        <v>44798</v>
      </c>
      <c r="D125" s="37" t="s">
        <v>914</v>
      </c>
      <c r="E125" s="37" t="s">
        <v>915</v>
      </c>
      <c r="F125" s="45" t="s">
        <v>916</v>
      </c>
      <c r="G125" s="15">
        <v>190000</v>
      </c>
      <c r="H125" s="43"/>
      <c r="I125" s="43" t="s">
        <v>610</v>
      </c>
      <c r="J125" s="43" t="s">
        <v>611</v>
      </c>
      <c r="K125" s="43" t="s">
        <v>917</v>
      </c>
      <c r="L125" s="155" t="s">
        <v>918</v>
      </c>
      <c r="M125" s="155" t="s">
        <v>919</v>
      </c>
      <c r="N125" s="144">
        <f>9.38+16.69</f>
        <v>26.07</v>
      </c>
      <c r="O125" s="43" t="s">
        <v>18</v>
      </c>
      <c r="P125" s="47" t="s">
        <v>35</v>
      </c>
      <c r="Q125" s="144">
        <f>4.5+16.69</f>
        <v>21.19</v>
      </c>
      <c r="R125" s="43">
        <v>0</v>
      </c>
      <c r="S125" s="16" t="s">
        <v>22</v>
      </c>
      <c r="T125" s="215">
        <v>0.5</v>
      </c>
      <c r="U125" s="215">
        <v>0.5</v>
      </c>
      <c r="V125" s="215"/>
      <c r="W125" s="485"/>
      <c r="X125" s="215"/>
      <c r="Y125" s="43"/>
      <c r="Z125" s="46"/>
      <c r="AA125" s="43"/>
      <c r="AB125" s="43"/>
      <c r="AC125" s="46">
        <f>0.4+1.8</f>
        <v>2.2000000000000002</v>
      </c>
      <c r="AD125" s="17"/>
      <c r="AE125" s="48"/>
      <c r="AF125" s="37"/>
      <c r="AG125" s="47"/>
      <c r="AH125" s="49">
        <f>Table2[[#This Row],[Prix de vente ($)]]/Table2[[#This Row],[Superficie totale (ha)]]</f>
        <v>7288.0705792098197</v>
      </c>
      <c r="AI125" s="49"/>
    </row>
    <row r="126" spans="1:35" ht="39" customHeight="1">
      <c r="A126" s="187">
        <v>27646111</v>
      </c>
      <c r="B126" s="43"/>
      <c r="C126" s="148">
        <v>44799</v>
      </c>
      <c r="D126" s="37" t="s">
        <v>920</v>
      </c>
      <c r="E126" s="37" t="s">
        <v>921</v>
      </c>
      <c r="F126" s="45">
        <v>6133263</v>
      </c>
      <c r="G126" s="15">
        <v>91324</v>
      </c>
      <c r="H126" s="43"/>
      <c r="I126" s="43" t="s">
        <v>922</v>
      </c>
      <c r="J126" s="43" t="s">
        <v>923</v>
      </c>
      <c r="K126" s="43" t="s">
        <v>924</v>
      </c>
      <c r="L126" s="151" t="s">
        <v>925</v>
      </c>
      <c r="M126" s="155" t="s">
        <v>926</v>
      </c>
      <c r="N126" s="144">
        <v>5.63</v>
      </c>
      <c r="O126" s="43" t="s">
        <v>25</v>
      </c>
      <c r="P126" s="47" t="s">
        <v>165</v>
      </c>
      <c r="Q126" s="144">
        <v>5.63</v>
      </c>
      <c r="R126" s="43">
        <v>0</v>
      </c>
      <c r="S126" s="16" t="s">
        <v>20</v>
      </c>
      <c r="T126" s="215">
        <v>0.7</v>
      </c>
      <c r="U126" s="215">
        <v>0.3</v>
      </c>
      <c r="V126" s="215"/>
      <c r="W126" s="485"/>
      <c r="X126" s="215"/>
      <c r="Y126" s="43"/>
      <c r="Z126" s="46"/>
      <c r="AA126" s="43"/>
      <c r="AB126" s="43"/>
      <c r="AC126" s="46">
        <v>2.9</v>
      </c>
      <c r="AD126" s="17"/>
      <c r="AE126" s="48"/>
      <c r="AF126" s="37" t="s">
        <v>413</v>
      </c>
      <c r="AG126" s="47"/>
      <c r="AH126" s="49">
        <f>Table2[[#This Row],[Prix de vente ($)]]/Table2[[#This Row],[Superficie totale (ha)]]</f>
        <v>16220.959147424512</v>
      </c>
      <c r="AI126" s="49"/>
    </row>
    <row r="127" spans="1:35" ht="39" customHeight="1">
      <c r="A127" s="187">
        <v>27632433</v>
      </c>
      <c r="B127" s="43"/>
      <c r="C127" s="148">
        <v>44804</v>
      </c>
      <c r="D127" s="37" t="s">
        <v>927</v>
      </c>
      <c r="E127" s="37" t="s">
        <v>928</v>
      </c>
      <c r="F127" s="43">
        <v>5744447</v>
      </c>
      <c r="G127" s="15">
        <v>18000</v>
      </c>
      <c r="H127" s="43"/>
      <c r="I127" s="43" t="s">
        <v>747</v>
      </c>
      <c r="J127" s="43" t="s">
        <v>929</v>
      </c>
      <c r="K127" s="43" t="s">
        <v>930</v>
      </c>
      <c r="L127" s="151" t="s">
        <v>931</v>
      </c>
      <c r="M127" s="155" t="s">
        <v>932</v>
      </c>
      <c r="N127" s="144">
        <v>3.55</v>
      </c>
      <c r="O127" s="43" t="s">
        <v>18</v>
      </c>
      <c r="P127" s="47" t="s">
        <v>361</v>
      </c>
      <c r="Q127" s="139">
        <v>3.55</v>
      </c>
      <c r="R127" s="43"/>
      <c r="S127" s="16"/>
      <c r="T127" s="215"/>
      <c r="U127" s="215"/>
      <c r="V127" s="215"/>
      <c r="W127" s="485"/>
      <c r="X127" s="215"/>
      <c r="Y127" s="43"/>
      <c r="Z127" s="46"/>
      <c r="AA127" s="43"/>
      <c r="AB127" s="43"/>
      <c r="AC127" s="46"/>
      <c r="AD127" s="17"/>
      <c r="AE127" s="48"/>
      <c r="AF127" s="37" t="s">
        <v>933</v>
      </c>
      <c r="AG127" s="47"/>
      <c r="AH127" s="49">
        <f>Table2[[#This Row],[Prix de vente ($)]]/Table2[[#This Row],[Superficie totale (ha)]]</f>
        <v>5070.422535211268</v>
      </c>
      <c r="AI127" s="49" t="e">
        <f>G127/AD127</f>
        <v>#DIV/0!</v>
      </c>
    </row>
    <row r="128" spans="1:35" ht="39" customHeight="1">
      <c r="A128" s="187">
        <v>27551434</v>
      </c>
      <c r="B128" s="43"/>
      <c r="C128" s="148">
        <v>44816</v>
      </c>
      <c r="D128" s="37" t="s">
        <v>934</v>
      </c>
      <c r="E128" s="37" t="s">
        <v>935</v>
      </c>
      <c r="F128" s="43">
        <v>5883876</v>
      </c>
      <c r="G128" s="52">
        <v>85000</v>
      </c>
      <c r="H128" s="43"/>
      <c r="I128" s="43" t="s">
        <v>747</v>
      </c>
      <c r="J128" s="43" t="s">
        <v>936</v>
      </c>
      <c r="K128" s="43" t="s">
        <v>937</v>
      </c>
      <c r="L128" s="142" t="s">
        <v>938</v>
      </c>
      <c r="M128" s="142" t="s">
        <v>939</v>
      </c>
      <c r="N128" s="144">
        <v>6.32</v>
      </c>
      <c r="O128" s="43" t="s">
        <v>18</v>
      </c>
      <c r="P128" s="43" t="s">
        <v>206</v>
      </c>
      <c r="Q128" s="144">
        <f>Bois!$N32</f>
        <v>3.25</v>
      </c>
      <c r="R128" s="43"/>
      <c r="S128" s="1" t="s">
        <v>22</v>
      </c>
      <c r="T128" s="217">
        <v>0.6</v>
      </c>
      <c r="U128" s="217">
        <v>0.4</v>
      </c>
      <c r="V128" s="217"/>
      <c r="W128" s="487"/>
      <c r="X128" s="217"/>
      <c r="Y128" s="43"/>
      <c r="Z128" s="46"/>
      <c r="AA128" s="43"/>
      <c r="AB128" s="43"/>
      <c r="AC128" s="46">
        <v>1.4</v>
      </c>
      <c r="AD128" s="53"/>
      <c r="AE128" s="48"/>
      <c r="AF128" s="37"/>
      <c r="AG128" s="47"/>
      <c r="AH128" s="49">
        <f>Table2[[#This Row],[Prix de vente ($)]]/Table2[[#This Row],[Superficie totale (ha)]]</f>
        <v>13449.367088607594</v>
      </c>
      <c r="AI128" s="49" t="e">
        <f>Bois!$G32/Bois!$AD32</f>
        <v>#DIV/0!</v>
      </c>
    </row>
    <row r="129" spans="1:35" ht="39" customHeight="1">
      <c r="A129" s="196">
        <v>27553627</v>
      </c>
      <c r="C129" s="318">
        <v>44817</v>
      </c>
      <c r="D129" t="s">
        <v>940</v>
      </c>
      <c r="E129" t="s">
        <v>941</v>
      </c>
      <c r="F129" t="s">
        <v>942</v>
      </c>
      <c r="G129" s="134">
        <v>436000</v>
      </c>
      <c r="I129" t="s">
        <v>274</v>
      </c>
      <c r="J129" t="s">
        <v>860</v>
      </c>
      <c r="K129" t="s">
        <v>943</v>
      </c>
      <c r="L129" s="205">
        <v>45.692233000000002</v>
      </c>
      <c r="M129" s="205">
        <v>-72.04325</v>
      </c>
      <c r="N129" s="211">
        <v>88.16</v>
      </c>
      <c r="O129" t="s">
        <v>25</v>
      </c>
      <c r="P129" t="s">
        <v>173</v>
      </c>
      <c r="Q129" s="199">
        <v>88.16</v>
      </c>
      <c r="S129" s="94" t="s">
        <v>102</v>
      </c>
      <c r="T129" s="222">
        <v>0.4</v>
      </c>
      <c r="U129" s="222">
        <v>0.6</v>
      </c>
      <c r="V129" s="222">
        <v>0.8</v>
      </c>
      <c r="AF129" t="s">
        <v>944</v>
      </c>
      <c r="AH129" s="49">
        <f>Table2[[#This Row],[Prix de vente ($)]]/Table2[[#This Row],[Superficie totale (ha)]]</f>
        <v>4945.5535390199639</v>
      </c>
    </row>
    <row r="130" spans="1:35" ht="39" customHeight="1">
      <c r="A130" s="196">
        <v>27566402</v>
      </c>
      <c r="C130" s="318">
        <v>44823</v>
      </c>
      <c r="D130" t="s">
        <v>945</v>
      </c>
      <c r="E130" t="s">
        <v>946</v>
      </c>
      <c r="F130" s="269">
        <v>5405307</v>
      </c>
      <c r="G130" s="93">
        <v>120000</v>
      </c>
      <c r="I130" t="s">
        <v>53</v>
      </c>
      <c r="J130" t="s">
        <v>577</v>
      </c>
      <c r="K130" t="s">
        <v>578</v>
      </c>
      <c r="L130" s="205" t="s">
        <v>947</v>
      </c>
      <c r="M130" s="270" t="s">
        <v>948</v>
      </c>
      <c r="N130" s="211">
        <v>27.92</v>
      </c>
      <c r="O130" t="s">
        <v>25</v>
      </c>
      <c r="P130" t="s">
        <v>949</v>
      </c>
      <c r="S130" s="94" t="s">
        <v>20</v>
      </c>
      <c r="T130" s="222">
        <v>0.6</v>
      </c>
      <c r="U130" s="222">
        <v>0.4</v>
      </c>
      <c r="V130" s="222">
        <v>0.95</v>
      </c>
      <c r="AC130" s="63">
        <v>14.2</v>
      </c>
      <c r="AF130" t="s">
        <v>950</v>
      </c>
      <c r="AH130" s="49">
        <f>Table2[[#This Row],[Prix de vente ($)]]/Table2[[#This Row],[Superficie totale (ha)]]</f>
        <v>4297.9942693409739</v>
      </c>
    </row>
    <row r="131" spans="1:35" ht="39" customHeight="1">
      <c r="A131" s="196">
        <v>27569947</v>
      </c>
      <c r="C131" s="318">
        <v>44824</v>
      </c>
      <c r="D131" t="s">
        <v>951</v>
      </c>
      <c r="E131" t="s">
        <v>575</v>
      </c>
      <c r="F131" s="269">
        <v>5405671</v>
      </c>
      <c r="G131" s="93">
        <v>155000</v>
      </c>
      <c r="I131" t="s">
        <v>53</v>
      </c>
      <c r="J131" t="s">
        <v>577</v>
      </c>
      <c r="K131" t="s">
        <v>952</v>
      </c>
      <c r="L131" s="205" t="s">
        <v>953</v>
      </c>
      <c r="M131" s="270" t="s">
        <v>954</v>
      </c>
      <c r="N131" s="211">
        <v>42.27</v>
      </c>
      <c r="O131" t="s">
        <v>764</v>
      </c>
      <c r="P131" t="s">
        <v>317</v>
      </c>
      <c r="S131" s="94" t="s">
        <v>22</v>
      </c>
      <c r="T131" s="222">
        <v>0.5</v>
      </c>
      <c r="U131" s="222">
        <v>0.5</v>
      </c>
      <c r="V131" s="222">
        <v>0.9</v>
      </c>
      <c r="AC131" s="63">
        <v>12.3</v>
      </c>
      <c r="AF131" t="s">
        <v>955</v>
      </c>
      <c r="AH131" s="49">
        <f>Table2[[#This Row],[Prix de vente ($)]]/Table2[[#This Row],[Superficie totale (ha)]]</f>
        <v>3666.9032410693162</v>
      </c>
    </row>
    <row r="132" spans="1:35" ht="39" customHeight="1">
      <c r="A132" s="187">
        <v>27692298</v>
      </c>
      <c r="B132" s="43"/>
      <c r="C132" s="148">
        <v>44825</v>
      </c>
      <c r="D132" s="37" t="s">
        <v>956</v>
      </c>
      <c r="E132" s="37" t="s">
        <v>928</v>
      </c>
      <c r="F132" s="43" t="s">
        <v>957</v>
      </c>
      <c r="G132" s="15">
        <v>15000</v>
      </c>
      <c r="H132" s="43"/>
      <c r="I132" s="43" t="s">
        <v>747</v>
      </c>
      <c r="J132" s="43" t="s">
        <v>929</v>
      </c>
      <c r="K132" s="43" t="s">
        <v>930</v>
      </c>
      <c r="L132" s="151" t="s">
        <v>958</v>
      </c>
      <c r="M132" s="155" t="s">
        <v>959</v>
      </c>
      <c r="N132" s="144">
        <v>2.9</v>
      </c>
      <c r="O132" s="43" t="s">
        <v>18</v>
      </c>
      <c r="P132" s="47" t="s">
        <v>35</v>
      </c>
      <c r="Q132" s="139">
        <v>2.6</v>
      </c>
      <c r="R132" s="43"/>
      <c r="S132" s="16"/>
      <c r="T132" s="215"/>
      <c r="U132" s="215"/>
      <c r="V132" s="215"/>
      <c r="W132" s="485"/>
      <c r="X132" s="215"/>
      <c r="Y132" s="43"/>
      <c r="Z132" s="46"/>
      <c r="AA132" s="43"/>
      <c r="AB132" s="43"/>
      <c r="AC132" s="46"/>
      <c r="AD132" s="17"/>
      <c r="AE132" s="48"/>
      <c r="AF132" s="37" t="s">
        <v>933</v>
      </c>
      <c r="AG132" s="47"/>
      <c r="AH132" s="49">
        <f>Table2[[#This Row],[Prix de vente ($)]]/Table2[[#This Row],[Superficie totale (ha)]]</f>
        <v>5172.4137931034484</v>
      </c>
      <c r="AI132" s="43" t="e">
        <f>G132/AD132</f>
        <v>#DIV/0!</v>
      </c>
    </row>
    <row r="133" spans="1:35" ht="39" customHeight="1">
      <c r="A133" s="187">
        <v>27573616</v>
      </c>
      <c r="B133" s="43"/>
      <c r="C133" s="148">
        <v>44825</v>
      </c>
      <c r="D133" s="37" t="s">
        <v>960</v>
      </c>
      <c r="E133" s="37" t="s">
        <v>961</v>
      </c>
      <c r="F133" s="45">
        <v>6520508</v>
      </c>
      <c r="G133" s="15">
        <v>105000</v>
      </c>
      <c r="H133" s="43"/>
      <c r="I133" s="43" t="s">
        <v>328</v>
      </c>
      <c r="J133" s="43" t="s">
        <v>962</v>
      </c>
      <c r="K133" s="43" t="s">
        <v>963</v>
      </c>
      <c r="L133" s="151" t="s">
        <v>964</v>
      </c>
      <c r="M133" s="155" t="s">
        <v>965</v>
      </c>
      <c r="N133" s="144">
        <v>13.58</v>
      </c>
      <c r="O133" s="43" t="s">
        <v>25</v>
      </c>
      <c r="P133" s="47" t="s">
        <v>19</v>
      </c>
      <c r="Q133" s="144">
        <v>13.58</v>
      </c>
      <c r="R133" s="43">
        <v>0</v>
      </c>
      <c r="S133" s="16" t="s">
        <v>20</v>
      </c>
      <c r="T133" s="215">
        <v>1</v>
      </c>
      <c r="U133" s="215">
        <v>0</v>
      </c>
      <c r="V133" s="215"/>
      <c r="W133" s="485"/>
      <c r="X133" s="215"/>
      <c r="Y133" s="43"/>
      <c r="Z133" s="46"/>
      <c r="AA133" s="43"/>
      <c r="AB133" s="43"/>
      <c r="AC133" s="46">
        <v>3</v>
      </c>
      <c r="AD133" s="17"/>
      <c r="AE133" s="48"/>
      <c r="AF133" s="37" t="s">
        <v>126</v>
      </c>
      <c r="AG133" s="47"/>
      <c r="AH133" s="49">
        <f>Table2[[#This Row],[Prix de vente ($)]]/Table2[[#This Row],[Superficie totale (ha)]]</f>
        <v>7731.9587628865975</v>
      </c>
      <c r="AI133" s="49"/>
    </row>
    <row r="134" spans="1:35" ht="39" customHeight="1">
      <c r="A134" s="187">
        <v>27585507</v>
      </c>
      <c r="B134" s="43"/>
      <c r="C134" s="148">
        <v>44831</v>
      </c>
      <c r="D134" s="37" t="s">
        <v>966</v>
      </c>
      <c r="E134" s="37" t="s">
        <v>967</v>
      </c>
      <c r="F134" s="45">
        <v>5465021</v>
      </c>
      <c r="G134" s="15">
        <v>130000</v>
      </c>
      <c r="H134" s="43"/>
      <c r="I134" s="43" t="s">
        <v>476</v>
      </c>
      <c r="J134" s="43" t="s">
        <v>805</v>
      </c>
      <c r="K134" s="43" t="s">
        <v>968</v>
      </c>
      <c r="L134" s="151" t="s">
        <v>969</v>
      </c>
      <c r="M134" s="155" t="s">
        <v>970</v>
      </c>
      <c r="N134" s="144">
        <v>26.58</v>
      </c>
      <c r="O134" s="43" t="s">
        <v>18</v>
      </c>
      <c r="P134" s="47" t="s">
        <v>26</v>
      </c>
      <c r="Q134" s="144">
        <v>26.58</v>
      </c>
      <c r="R134" s="43">
        <v>0</v>
      </c>
      <c r="S134" s="16" t="s">
        <v>20</v>
      </c>
      <c r="T134" s="215">
        <v>1</v>
      </c>
      <c r="U134" s="215">
        <v>0</v>
      </c>
      <c r="V134" s="215"/>
      <c r="W134" s="485"/>
      <c r="X134" s="215"/>
      <c r="Y134" s="43"/>
      <c r="Z134" s="46"/>
      <c r="AA134" s="43"/>
      <c r="AB134" s="43"/>
      <c r="AC134" s="78">
        <v>12.6</v>
      </c>
      <c r="AD134" s="17"/>
      <c r="AE134" s="48"/>
      <c r="AF134" s="37"/>
      <c r="AG134" s="47"/>
      <c r="AH134" s="49">
        <f>Table2[[#This Row],[Prix de vente ($)]]/Table2[[#This Row],[Superficie totale (ha)]]</f>
        <v>4890.8954100827696</v>
      </c>
      <c r="AI134" s="43"/>
    </row>
    <row r="135" spans="1:35" ht="39" customHeight="1">
      <c r="A135" s="187">
        <v>27595313</v>
      </c>
      <c r="B135" s="43"/>
      <c r="C135" s="148">
        <v>44833</v>
      </c>
      <c r="D135" s="37" t="s">
        <v>971</v>
      </c>
      <c r="E135" s="37" t="s">
        <v>972</v>
      </c>
      <c r="F135" s="43">
        <v>5799459</v>
      </c>
      <c r="G135" s="15">
        <v>395000</v>
      </c>
      <c r="H135" s="43"/>
      <c r="I135" s="43" t="s">
        <v>97</v>
      </c>
      <c r="J135" s="43" t="s">
        <v>98</v>
      </c>
      <c r="K135" s="43" t="s">
        <v>358</v>
      </c>
      <c r="L135" s="151" t="s">
        <v>973</v>
      </c>
      <c r="M135" s="155" t="s">
        <v>974</v>
      </c>
      <c r="N135" s="144">
        <v>10.7</v>
      </c>
      <c r="O135" s="43" t="s">
        <v>25</v>
      </c>
      <c r="P135" s="47" t="s">
        <v>361</v>
      </c>
      <c r="Q135" s="144">
        <f>N135</f>
        <v>10.7</v>
      </c>
      <c r="R135" s="43"/>
      <c r="S135" s="16" t="s">
        <v>155</v>
      </c>
      <c r="T135" s="215">
        <v>0.9</v>
      </c>
      <c r="U135" s="215">
        <v>0.1</v>
      </c>
      <c r="V135" s="215" t="s">
        <v>362</v>
      </c>
      <c r="W135" s="485"/>
      <c r="X135" s="215"/>
      <c r="Y135" s="43"/>
      <c r="Z135" s="46"/>
      <c r="AA135" s="43"/>
      <c r="AB135" s="43"/>
      <c r="AC135" s="46">
        <v>3.8</v>
      </c>
      <c r="AD135" s="17"/>
      <c r="AE135" s="48"/>
      <c r="AF135" s="37" t="s">
        <v>975</v>
      </c>
      <c r="AG135" s="47"/>
      <c r="AH135" s="49">
        <f>Table2[[#This Row],[Prix de vente ($)]]/Table2[[#This Row],[Superficie totale (ha)]]</f>
        <v>36915.88785046729</v>
      </c>
      <c r="AI135" s="43" t="e">
        <v>#DIV/0!</v>
      </c>
    </row>
    <row r="136" spans="1:35" ht="39" customHeight="1">
      <c r="A136" s="187">
        <v>27610466</v>
      </c>
      <c r="B136" s="43"/>
      <c r="C136" s="148">
        <v>44840</v>
      </c>
      <c r="D136" s="37" t="s">
        <v>976</v>
      </c>
      <c r="E136" s="37" t="s">
        <v>977</v>
      </c>
      <c r="F136" s="43">
        <v>5883883</v>
      </c>
      <c r="G136" s="52">
        <v>40000</v>
      </c>
      <c r="H136" s="43"/>
      <c r="I136" s="43" t="s">
        <v>747</v>
      </c>
      <c r="J136" s="43" t="s">
        <v>936</v>
      </c>
      <c r="K136" s="43" t="s">
        <v>937</v>
      </c>
      <c r="L136" s="142" t="s">
        <v>978</v>
      </c>
      <c r="M136" s="142" t="s">
        <v>979</v>
      </c>
      <c r="N136" s="144">
        <v>4.1100000000000003</v>
      </c>
      <c r="O136" s="43" t="s">
        <v>18</v>
      </c>
      <c r="P136" s="43" t="s">
        <v>206</v>
      </c>
      <c r="Q136" s="144">
        <f>Bois!$N33</f>
        <v>16.93</v>
      </c>
      <c r="R136" s="43"/>
      <c r="S136" s="1" t="s">
        <v>20</v>
      </c>
      <c r="T136" s="217">
        <v>0.8</v>
      </c>
      <c r="U136" s="217">
        <v>0.2</v>
      </c>
      <c r="V136" s="217"/>
      <c r="W136" s="487"/>
      <c r="X136" s="217"/>
      <c r="Y136" s="43"/>
      <c r="Z136" s="46"/>
      <c r="AA136" s="43"/>
      <c r="AB136" s="43"/>
      <c r="AC136" s="46">
        <v>0.4</v>
      </c>
      <c r="AD136" s="53"/>
      <c r="AE136" s="48"/>
      <c r="AF136" s="37"/>
      <c r="AG136" s="47"/>
      <c r="AH136" s="49">
        <f>Table2[[#This Row],[Prix de vente ($)]]/Table2[[#This Row],[Superficie totale (ha)]]</f>
        <v>9732.3600973236007</v>
      </c>
      <c r="AI136" s="49" t="e">
        <f>Bois!$G33/Bois!$AD33</f>
        <v>#DIV/0!</v>
      </c>
    </row>
    <row r="137" spans="1:35" ht="39" customHeight="1">
      <c r="A137" s="187">
        <v>27612974</v>
      </c>
      <c r="B137" s="43"/>
      <c r="C137" s="148">
        <v>44841</v>
      </c>
      <c r="D137" s="37" t="s">
        <v>980</v>
      </c>
      <c r="E137" s="37" t="s">
        <v>981</v>
      </c>
      <c r="F137" s="45">
        <v>5728222</v>
      </c>
      <c r="G137" s="15">
        <v>65000</v>
      </c>
      <c r="H137" s="43"/>
      <c r="I137" s="43" t="s">
        <v>679</v>
      </c>
      <c r="J137" s="43" t="s">
        <v>812</v>
      </c>
      <c r="K137" s="43" t="s">
        <v>982</v>
      </c>
      <c r="L137" s="151" t="s">
        <v>983</v>
      </c>
      <c r="M137" s="155" t="s">
        <v>984</v>
      </c>
      <c r="N137" s="144">
        <v>30.64</v>
      </c>
      <c r="O137" s="43" t="s">
        <v>25</v>
      </c>
      <c r="P137" s="47" t="s">
        <v>19</v>
      </c>
      <c r="Q137" s="144">
        <v>30.64</v>
      </c>
      <c r="R137" s="43">
        <v>0</v>
      </c>
      <c r="S137" s="16" t="s">
        <v>20</v>
      </c>
      <c r="T137" s="215">
        <v>0.7</v>
      </c>
      <c r="U137" s="215">
        <v>0.3</v>
      </c>
      <c r="V137" s="215"/>
      <c r="W137" s="485"/>
      <c r="X137" s="215"/>
      <c r="Y137" s="43"/>
      <c r="Z137" s="46"/>
      <c r="AA137" s="43"/>
      <c r="AB137" s="43"/>
      <c r="AC137" s="46">
        <v>10</v>
      </c>
      <c r="AD137" s="17"/>
      <c r="AE137" s="48"/>
      <c r="AF137" s="37" t="s">
        <v>126</v>
      </c>
      <c r="AG137" s="47"/>
      <c r="AH137" s="49">
        <f>Table2[[#This Row],[Prix de vente ($)]]/Table2[[#This Row],[Superficie totale (ha)]]</f>
        <v>2121.4099216710183</v>
      </c>
      <c r="AI137" s="49"/>
    </row>
    <row r="138" spans="1:35" ht="39" customHeight="1">
      <c r="A138" s="187">
        <v>27860496</v>
      </c>
      <c r="B138" s="43"/>
      <c r="C138" s="148">
        <v>44845</v>
      </c>
      <c r="D138" s="37" t="s">
        <v>985</v>
      </c>
      <c r="E138" s="37" t="s">
        <v>986</v>
      </c>
      <c r="F138" s="45">
        <v>5674636</v>
      </c>
      <c r="G138" s="15">
        <v>72000</v>
      </c>
      <c r="H138" s="43"/>
      <c r="I138" s="43" t="s">
        <v>65</v>
      </c>
      <c r="J138" s="43" t="s">
        <v>987</v>
      </c>
      <c r="K138" s="43" t="s">
        <v>988</v>
      </c>
      <c r="L138" s="151" t="s">
        <v>989</v>
      </c>
      <c r="M138" s="155" t="s">
        <v>990</v>
      </c>
      <c r="N138" s="144">
        <v>63.29</v>
      </c>
      <c r="O138" s="43" t="s">
        <v>18</v>
      </c>
      <c r="P138" s="47" t="s">
        <v>26</v>
      </c>
      <c r="Q138" s="144">
        <v>63.29</v>
      </c>
      <c r="R138" s="43">
        <v>0</v>
      </c>
      <c r="S138" s="16" t="s">
        <v>20</v>
      </c>
      <c r="T138" s="215">
        <v>0.7</v>
      </c>
      <c r="U138" s="215">
        <v>0.3</v>
      </c>
      <c r="V138" s="215"/>
      <c r="W138" s="485"/>
      <c r="X138" s="215"/>
      <c r="Y138" s="43"/>
      <c r="Z138" s="46"/>
      <c r="AA138" s="43"/>
      <c r="AB138" s="43"/>
      <c r="AC138" s="46">
        <v>0</v>
      </c>
      <c r="AD138" s="17"/>
      <c r="AE138" s="48"/>
      <c r="AF138" s="37" t="s">
        <v>991</v>
      </c>
      <c r="AG138" s="47"/>
      <c r="AH138" s="49">
        <f>Table2[[#This Row],[Prix de vente ($)]]/Table2[[#This Row],[Superficie totale (ha)]]</f>
        <v>1137.6204771685891</v>
      </c>
      <c r="AI138" s="49"/>
    </row>
    <row r="139" spans="1:35" ht="39" customHeight="1">
      <c r="A139" s="187">
        <v>27621939</v>
      </c>
      <c r="B139" s="43"/>
      <c r="C139" s="148">
        <v>44847</v>
      </c>
      <c r="D139" s="37" t="s">
        <v>992</v>
      </c>
      <c r="E139" s="37" t="s">
        <v>993</v>
      </c>
      <c r="F139" s="43">
        <v>3590250</v>
      </c>
      <c r="G139" s="15">
        <v>125000</v>
      </c>
      <c r="H139" s="43"/>
      <c r="I139" s="43" t="s">
        <v>522</v>
      </c>
      <c r="J139" s="43" t="s">
        <v>564</v>
      </c>
      <c r="K139" s="16" t="s">
        <v>994</v>
      </c>
      <c r="L139" s="151"/>
      <c r="M139" s="151"/>
      <c r="N139" s="144">
        <v>4.09</v>
      </c>
      <c r="O139" s="43"/>
      <c r="P139" s="47"/>
      <c r="Q139" s="139"/>
      <c r="R139" s="43"/>
      <c r="S139" s="16"/>
      <c r="T139" s="215"/>
      <c r="U139" s="215"/>
      <c r="V139" s="215"/>
      <c r="W139" s="485"/>
      <c r="X139" s="215"/>
      <c r="Y139" s="43"/>
      <c r="Z139" s="46"/>
      <c r="AA139" s="43"/>
      <c r="AB139" s="43"/>
      <c r="AC139" s="46"/>
      <c r="AD139" s="17"/>
      <c r="AE139" s="48"/>
      <c r="AF139" s="37"/>
      <c r="AG139" s="47"/>
      <c r="AH139" s="49">
        <f>Table2[[#This Row],[Prix de vente ($)]]/Table2[[#This Row],[Superficie totale (ha)]]</f>
        <v>30562.347188264059</v>
      </c>
      <c r="AI139" s="43" t="e">
        <f>G139/AD139</f>
        <v>#DIV/0!</v>
      </c>
    </row>
    <row r="140" spans="1:35" ht="39" customHeight="1">
      <c r="A140" s="187">
        <v>27688875</v>
      </c>
      <c r="B140" s="43"/>
      <c r="C140" s="148">
        <v>44848</v>
      </c>
      <c r="D140" s="37" t="s">
        <v>995</v>
      </c>
      <c r="E140" s="37" t="s">
        <v>996</v>
      </c>
      <c r="F140" s="43">
        <v>6266864</v>
      </c>
      <c r="G140" s="52">
        <v>45000</v>
      </c>
      <c r="H140" s="43"/>
      <c r="I140" s="43" t="s">
        <v>337</v>
      </c>
      <c r="J140" s="43" t="s">
        <v>338</v>
      </c>
      <c r="K140" s="43" t="s">
        <v>997</v>
      </c>
      <c r="L140" s="142" t="s">
        <v>998</v>
      </c>
      <c r="M140" s="142" t="s">
        <v>999</v>
      </c>
      <c r="N140" s="144">
        <v>2.29</v>
      </c>
      <c r="O140" s="43" t="s">
        <v>25</v>
      </c>
      <c r="P140" s="47" t="s">
        <v>206</v>
      </c>
      <c r="Q140" s="139">
        <v>2.29</v>
      </c>
      <c r="R140" s="43"/>
      <c r="S140" s="1" t="s">
        <v>22</v>
      </c>
      <c r="T140" s="217">
        <v>0.5</v>
      </c>
      <c r="U140" s="217">
        <v>0.5</v>
      </c>
      <c r="V140" s="217"/>
      <c r="W140" s="487"/>
      <c r="X140" s="217"/>
      <c r="Y140" s="43"/>
      <c r="Z140" s="46"/>
      <c r="AA140" s="43"/>
      <c r="AB140" s="43"/>
      <c r="AC140" s="46"/>
      <c r="AD140" s="53"/>
      <c r="AE140" s="48"/>
      <c r="AF140" s="37" t="s">
        <v>370</v>
      </c>
      <c r="AG140" s="47"/>
      <c r="AH140" s="49">
        <f>Table2[[#This Row],[Prix de vente ($)]]/Table2[[#This Row],[Superficie totale (ha)]]</f>
        <v>19650.65502183406</v>
      </c>
      <c r="AI140" s="49" t="e">
        <f>Bois!$G34/Bois!$AD34</f>
        <v>#DIV/0!</v>
      </c>
    </row>
    <row r="141" spans="1:35" ht="39" customHeight="1">
      <c r="A141" s="187">
        <v>27690480</v>
      </c>
      <c r="B141" s="43"/>
      <c r="C141" s="148">
        <v>44850</v>
      </c>
      <c r="D141" s="37" t="s">
        <v>1000</v>
      </c>
      <c r="E141" s="37" t="s">
        <v>1001</v>
      </c>
      <c r="F141" s="45" t="s">
        <v>1002</v>
      </c>
      <c r="G141" s="15">
        <v>60000</v>
      </c>
      <c r="H141" s="43"/>
      <c r="I141" s="43" t="s">
        <v>65</v>
      </c>
      <c r="J141" s="43" t="s">
        <v>550</v>
      </c>
      <c r="K141" s="43" t="s">
        <v>1003</v>
      </c>
      <c r="L141" s="151" t="s">
        <v>1004</v>
      </c>
      <c r="M141" s="155" t="s">
        <v>1005</v>
      </c>
      <c r="N141" s="144">
        <f>28.72+1.77+1.3</f>
        <v>31.79</v>
      </c>
      <c r="O141" s="43" t="s">
        <v>18</v>
      </c>
      <c r="P141" s="47" t="s">
        <v>19</v>
      </c>
      <c r="Q141" s="144">
        <v>31.79</v>
      </c>
      <c r="R141" s="43">
        <v>0</v>
      </c>
      <c r="S141" s="16" t="s">
        <v>20</v>
      </c>
      <c r="T141" s="215">
        <v>0.6</v>
      </c>
      <c r="U141" s="215">
        <v>0.4</v>
      </c>
      <c r="V141" s="215"/>
      <c r="W141" s="485"/>
      <c r="X141" s="215"/>
      <c r="Y141" s="43"/>
      <c r="Z141" s="46"/>
      <c r="AA141" s="43"/>
      <c r="AB141" s="43"/>
      <c r="AC141" s="46">
        <f>2.2+0.5+0.9+0.1+0.3+0.5</f>
        <v>4.5</v>
      </c>
      <c r="AD141" s="17"/>
      <c r="AE141" s="48"/>
      <c r="AF141" s="37" t="s">
        <v>112</v>
      </c>
      <c r="AG141" s="47"/>
      <c r="AH141" s="49">
        <f>Table2[[#This Row],[Prix de vente ($)]]/Table2[[#This Row],[Superficie totale (ha)]]</f>
        <v>1887.3859704309532</v>
      </c>
      <c r="AI141" s="49"/>
    </row>
    <row r="142" spans="1:35" ht="39" customHeight="1">
      <c r="A142" s="187">
        <v>27833758</v>
      </c>
      <c r="B142" s="43"/>
      <c r="C142" s="148">
        <v>44861</v>
      </c>
      <c r="D142" s="37" t="s">
        <v>1006</v>
      </c>
      <c r="E142" s="37" t="s">
        <v>1007</v>
      </c>
      <c r="F142" s="45" t="s">
        <v>1008</v>
      </c>
      <c r="G142" s="52">
        <v>61500</v>
      </c>
      <c r="H142" s="43"/>
      <c r="I142" s="43" t="s">
        <v>16</v>
      </c>
      <c r="J142" s="43" t="s">
        <v>1009</v>
      </c>
      <c r="K142" s="43" t="s">
        <v>1010</v>
      </c>
      <c r="L142" s="142">
        <v>46.600133</v>
      </c>
      <c r="M142" s="142">
        <v>-70.731605999999999</v>
      </c>
      <c r="N142" s="144">
        <v>33.32</v>
      </c>
      <c r="O142" s="43" t="s">
        <v>36</v>
      </c>
      <c r="P142" s="47" t="s">
        <v>1011</v>
      </c>
      <c r="Q142" s="144">
        <f>N142</f>
        <v>33.32</v>
      </c>
      <c r="R142" s="43"/>
      <c r="S142" s="16"/>
      <c r="T142" s="215"/>
      <c r="U142" s="215"/>
      <c r="V142" s="215"/>
      <c r="W142" s="485"/>
      <c r="X142" s="215"/>
      <c r="Y142" s="43"/>
      <c r="Z142" s="46"/>
      <c r="AA142" s="43"/>
      <c r="AB142" s="43"/>
      <c r="AC142" s="46"/>
      <c r="AD142" s="17"/>
      <c r="AE142" s="48"/>
      <c r="AF142" s="37"/>
      <c r="AG142" s="47"/>
      <c r="AH142" s="49">
        <f>Table2[[#This Row],[Prix de vente ($)]]/Table2[[#This Row],[Superficie totale (ha)]]</f>
        <v>1845.7382953181273</v>
      </c>
      <c r="AI142" s="49" t="e">
        <v>#DIV/0!</v>
      </c>
    </row>
    <row r="143" spans="1:35" ht="39" customHeight="1">
      <c r="A143" s="187">
        <v>27657764</v>
      </c>
      <c r="B143" s="43"/>
      <c r="C143" s="148">
        <v>44862</v>
      </c>
      <c r="D143" s="37" t="s">
        <v>1012</v>
      </c>
      <c r="E143" s="37" t="s">
        <v>1013</v>
      </c>
      <c r="F143" s="43">
        <v>4542662</v>
      </c>
      <c r="G143" s="52">
        <v>15000</v>
      </c>
      <c r="H143" s="43"/>
      <c r="I143" s="43" t="s">
        <v>627</v>
      </c>
      <c r="J143" s="43" t="s">
        <v>628</v>
      </c>
      <c r="K143" s="43" t="s">
        <v>1014</v>
      </c>
      <c r="L143" s="142" t="s">
        <v>1015</v>
      </c>
      <c r="M143" s="142" t="s">
        <v>1016</v>
      </c>
      <c r="N143" s="144">
        <v>33.6</v>
      </c>
      <c r="O143" s="43" t="s">
        <v>25</v>
      </c>
      <c r="P143" s="47" t="s">
        <v>317</v>
      </c>
      <c r="Q143" s="144">
        <f>Bois!$N35</f>
        <v>82.84</v>
      </c>
      <c r="R143" s="43"/>
      <c r="S143" s="1" t="s">
        <v>20</v>
      </c>
      <c r="T143" s="217"/>
      <c r="U143" s="217"/>
      <c r="V143" s="217"/>
      <c r="W143" s="487"/>
      <c r="X143" s="217"/>
      <c r="Y143" s="43"/>
      <c r="Z143" s="46"/>
      <c r="AA143" s="43"/>
      <c r="AB143" s="43"/>
      <c r="AC143" s="46"/>
      <c r="AD143" s="53"/>
      <c r="AE143" s="48"/>
      <c r="AF143" s="37" t="s">
        <v>1017</v>
      </c>
      <c r="AG143" s="47"/>
      <c r="AH143" s="49">
        <f>Table2[[#This Row],[Prix de vente ($)]]/Table2[[#This Row],[Superficie totale (ha)]]</f>
        <v>446.42857142857139</v>
      </c>
      <c r="AI143" s="49" t="e">
        <f>Bois!$G35/Bois!$AD35</f>
        <v>#DIV/0!</v>
      </c>
    </row>
    <row r="144" spans="1:35" ht="39" customHeight="1">
      <c r="A144" s="187">
        <v>27666905</v>
      </c>
      <c r="B144" s="43"/>
      <c r="C144" s="148">
        <v>44867</v>
      </c>
      <c r="D144" s="37" t="s">
        <v>1018</v>
      </c>
      <c r="E144" s="37" t="s">
        <v>1019</v>
      </c>
      <c r="F144" s="45" t="s">
        <v>1020</v>
      </c>
      <c r="G144" s="15">
        <v>22500</v>
      </c>
      <c r="H144" s="43"/>
      <c r="I144" s="43" t="s">
        <v>602</v>
      </c>
      <c r="J144" s="43" t="s">
        <v>603</v>
      </c>
      <c r="K144" s="43" t="s">
        <v>1021</v>
      </c>
      <c r="L144" s="151" t="s">
        <v>1022</v>
      </c>
      <c r="M144" s="155" t="s">
        <v>1023</v>
      </c>
      <c r="N144" s="144">
        <f>5.61+6.18</f>
        <v>11.79</v>
      </c>
      <c r="O144" s="43" t="s">
        <v>18</v>
      </c>
      <c r="P144" s="47" t="s">
        <v>35</v>
      </c>
      <c r="Q144" s="144">
        <v>11.79</v>
      </c>
      <c r="R144" s="43">
        <v>0</v>
      </c>
      <c r="S144" s="16" t="s">
        <v>102</v>
      </c>
      <c r="T144" s="215">
        <v>0.4</v>
      </c>
      <c r="U144" s="215">
        <v>0.6</v>
      </c>
      <c r="V144" s="215"/>
      <c r="W144" s="485"/>
      <c r="X144" s="215"/>
      <c r="Y144" s="43"/>
      <c r="Z144" s="46"/>
      <c r="AA144" s="43"/>
      <c r="AB144" s="43"/>
      <c r="AC144" s="46">
        <v>0</v>
      </c>
      <c r="AD144" s="17"/>
      <c r="AE144" s="48"/>
      <c r="AF144" s="37" t="s">
        <v>126</v>
      </c>
      <c r="AG144" s="47"/>
      <c r="AH144" s="49">
        <f>Table2[[#This Row],[Prix de vente ($)]]/Table2[[#This Row],[Superficie totale (ha)]]</f>
        <v>1908.3969465648856</v>
      </c>
      <c r="AI144" s="49"/>
    </row>
    <row r="145" spans="1:36" ht="39" customHeight="1">
      <c r="A145" s="187">
        <v>27667982</v>
      </c>
      <c r="B145" s="43"/>
      <c r="C145" s="148">
        <v>44867</v>
      </c>
      <c r="D145" s="37" t="s">
        <v>1024</v>
      </c>
      <c r="E145" s="37" t="s">
        <v>1025</v>
      </c>
      <c r="F145" s="43">
        <v>4479808</v>
      </c>
      <c r="G145" s="15">
        <v>60000</v>
      </c>
      <c r="H145" s="43"/>
      <c r="I145" s="43" t="s">
        <v>223</v>
      </c>
      <c r="J145" s="43" t="s">
        <v>301</v>
      </c>
      <c r="K145" s="43" t="s">
        <v>1026</v>
      </c>
      <c r="L145" s="151" t="s">
        <v>1027</v>
      </c>
      <c r="M145" s="155" t="s">
        <v>1028</v>
      </c>
      <c r="N145" s="144">
        <v>10.91</v>
      </c>
      <c r="O145" s="43" t="s">
        <v>18</v>
      </c>
      <c r="P145" s="47" t="s">
        <v>63</v>
      </c>
      <c r="Q145" s="144">
        <f>N145</f>
        <v>10.91</v>
      </c>
      <c r="R145" s="43"/>
      <c r="S145" s="16"/>
      <c r="T145" s="215"/>
      <c r="U145" s="215"/>
      <c r="V145" s="215"/>
      <c r="W145" s="485"/>
      <c r="X145" s="215"/>
      <c r="Y145" s="43"/>
      <c r="Z145" s="46"/>
      <c r="AA145" s="43"/>
      <c r="AB145" s="43"/>
      <c r="AC145" s="46">
        <v>7.7</v>
      </c>
      <c r="AD145" s="17"/>
      <c r="AE145" s="48"/>
      <c r="AF145" s="37"/>
      <c r="AG145" s="47"/>
      <c r="AH145" s="49">
        <f>Table2[[#This Row],[Prix de vente ($)]]/Table2[[#This Row],[Superficie totale (ha)]]</f>
        <v>5499.5417048579284</v>
      </c>
      <c r="AI145" s="49" t="e">
        <f>G145/AD145</f>
        <v>#DIV/0!</v>
      </c>
    </row>
    <row r="146" spans="1:36" ht="39" customHeight="1">
      <c r="A146" s="190">
        <v>27840459</v>
      </c>
      <c r="B146" s="43"/>
      <c r="C146" s="148">
        <v>44874</v>
      </c>
      <c r="D146" s="37" t="s">
        <v>1029</v>
      </c>
      <c r="E146" s="37" t="s">
        <v>1030</v>
      </c>
      <c r="F146" s="47">
        <v>2639397</v>
      </c>
      <c r="G146" s="52">
        <v>190000</v>
      </c>
      <c r="H146" s="43"/>
      <c r="I146" s="43" t="s">
        <v>722</v>
      </c>
      <c r="J146" s="43" t="s">
        <v>1031</v>
      </c>
      <c r="K146" s="43" t="s">
        <v>1032</v>
      </c>
      <c r="L146" s="199" t="s">
        <v>1033</v>
      </c>
      <c r="M146" s="199" t="s">
        <v>1034</v>
      </c>
      <c r="N146" s="144">
        <v>18.059999999999999</v>
      </c>
      <c r="O146" s="43" t="s">
        <v>18</v>
      </c>
      <c r="P146" s="47" t="s">
        <v>206</v>
      </c>
      <c r="Q146" s="139">
        <v>18.059999999999999</v>
      </c>
      <c r="R146" s="43"/>
      <c r="S146" s="1" t="s">
        <v>310</v>
      </c>
      <c r="T146" s="217">
        <v>0.2</v>
      </c>
      <c r="U146" s="217">
        <v>0.8</v>
      </c>
      <c r="V146" s="217">
        <v>0.8</v>
      </c>
      <c r="W146" s="487"/>
      <c r="X146" s="217"/>
      <c r="Y146" s="43"/>
      <c r="Z146" s="46"/>
      <c r="AA146" s="43"/>
      <c r="AB146" s="43"/>
      <c r="AC146" s="46">
        <v>0</v>
      </c>
      <c r="AD146" s="53"/>
      <c r="AE146" s="48"/>
      <c r="AF146" s="47" t="s">
        <v>1035</v>
      </c>
      <c r="AG146" s="47"/>
      <c r="AH146" s="49">
        <f>Table2[[#This Row],[Prix de vente ($)]]/Table2[[#This Row],[Superficie totale (ha)]]</f>
        <v>10520.487264673311</v>
      </c>
      <c r="AI146" s="49" t="e">
        <f>Bois!$G36/Bois!$AD36</f>
        <v>#DIV/0!</v>
      </c>
    </row>
    <row r="147" spans="1:36" ht="39" customHeight="1">
      <c r="A147" s="190">
        <v>27873117</v>
      </c>
      <c r="B147" s="43"/>
      <c r="C147" s="148">
        <v>44879</v>
      </c>
      <c r="D147" s="37" t="s">
        <v>1036</v>
      </c>
      <c r="E147" s="37" t="s">
        <v>1037</v>
      </c>
      <c r="F147" s="43" t="s">
        <v>1038</v>
      </c>
      <c r="G147" s="52">
        <v>78000</v>
      </c>
      <c r="H147" s="43"/>
      <c r="I147" s="43" t="s">
        <v>722</v>
      </c>
      <c r="J147" s="43" t="s">
        <v>1039</v>
      </c>
      <c r="K147" s="43" t="s">
        <v>1040</v>
      </c>
      <c r="L147" s="142" t="s">
        <v>1041</v>
      </c>
      <c r="M147" s="142" t="s">
        <v>1042</v>
      </c>
      <c r="N147" s="144">
        <f>2.22+3.59</f>
        <v>5.8100000000000005</v>
      </c>
      <c r="O147" s="43" t="s">
        <v>18</v>
      </c>
      <c r="P147" s="47" t="s">
        <v>206</v>
      </c>
      <c r="Q147" s="139">
        <f>2.22+3.59</f>
        <v>5.8100000000000005</v>
      </c>
      <c r="R147" s="43"/>
      <c r="S147" s="1" t="s">
        <v>20</v>
      </c>
      <c r="T147" s="217">
        <v>0.95</v>
      </c>
      <c r="U147" s="217">
        <v>0.05</v>
      </c>
      <c r="V147" s="217">
        <v>0.75</v>
      </c>
      <c r="W147" s="487"/>
      <c r="X147" s="217"/>
      <c r="Y147" s="43"/>
      <c r="Z147" s="46"/>
      <c r="AA147" s="43"/>
      <c r="AB147" s="43"/>
      <c r="AC147" s="46">
        <f>2.22+3.59</f>
        <v>5.8100000000000005</v>
      </c>
      <c r="AD147" s="53"/>
      <c r="AE147" s="48"/>
      <c r="AF147" s="37" t="s">
        <v>126</v>
      </c>
      <c r="AG147" s="47"/>
      <c r="AH147" s="49">
        <f>Table2[[#This Row],[Prix de vente ($)]]/Table2[[#This Row],[Superficie totale (ha)]]</f>
        <v>13425.129087779689</v>
      </c>
      <c r="AI147" s="49" t="e">
        <f>Bois!$G37/Bois!$AD37</f>
        <v>#DIV/0!</v>
      </c>
    </row>
    <row r="148" spans="1:36" ht="39" customHeight="1">
      <c r="A148" s="187">
        <v>18096759</v>
      </c>
      <c r="B148" s="43"/>
      <c r="C148" s="148">
        <v>44880</v>
      </c>
      <c r="D148" s="37"/>
      <c r="E148" s="37"/>
      <c r="F148" s="43" t="s">
        <v>1043</v>
      </c>
      <c r="G148" s="15">
        <v>150000</v>
      </c>
      <c r="H148" s="43"/>
      <c r="I148" s="43" t="s">
        <v>321</v>
      </c>
      <c r="J148" s="43" t="s">
        <v>322</v>
      </c>
      <c r="K148" s="43" t="s">
        <v>1044</v>
      </c>
      <c r="L148" s="151" t="s">
        <v>1045</v>
      </c>
      <c r="M148" s="155" t="s">
        <v>1046</v>
      </c>
      <c r="N148" s="144">
        <f>219668/10000</f>
        <v>21.966799999999999</v>
      </c>
      <c r="O148" s="43" t="s">
        <v>18</v>
      </c>
      <c r="P148" s="47" t="s">
        <v>35</v>
      </c>
      <c r="Q148" s="144">
        <f>N148</f>
        <v>21.966799999999999</v>
      </c>
      <c r="R148" s="43"/>
      <c r="S148" s="16" t="s">
        <v>20</v>
      </c>
      <c r="T148" s="215">
        <v>0.7</v>
      </c>
      <c r="U148" s="215">
        <v>0.3</v>
      </c>
      <c r="V148" s="215"/>
      <c r="W148" s="485"/>
      <c r="X148" s="215"/>
      <c r="Y148" s="43"/>
      <c r="Z148" s="46"/>
      <c r="AA148" s="43"/>
      <c r="AB148" s="43"/>
      <c r="AC148" s="46">
        <v>2.8</v>
      </c>
      <c r="AD148" s="17"/>
      <c r="AE148" s="48"/>
      <c r="AF148" s="37"/>
      <c r="AG148" s="47"/>
      <c r="AH148" s="49">
        <f>Table2[[#This Row],[Prix de vente ($)]]/Table2[[#This Row],[Superficie totale (ha)]]</f>
        <v>6828.4866252708634</v>
      </c>
      <c r="AI148" s="49" t="e">
        <v>#DIV/0!</v>
      </c>
    </row>
    <row r="149" spans="1:36" ht="39" customHeight="1">
      <c r="A149" s="187">
        <v>27759416</v>
      </c>
      <c r="B149" s="43"/>
      <c r="C149" s="148">
        <v>44908</v>
      </c>
      <c r="D149" s="37" t="s">
        <v>1047</v>
      </c>
      <c r="E149" s="37" t="s">
        <v>1048</v>
      </c>
      <c r="F149" s="45" t="s">
        <v>1049</v>
      </c>
      <c r="G149" s="15">
        <v>200000</v>
      </c>
      <c r="H149" s="43"/>
      <c r="I149" s="43" t="s">
        <v>594</v>
      </c>
      <c r="J149" s="43" t="s">
        <v>1050</v>
      </c>
      <c r="K149" s="43"/>
      <c r="L149" s="155" t="s">
        <v>1051</v>
      </c>
      <c r="M149" s="155" t="s">
        <v>1052</v>
      </c>
      <c r="N149" s="144">
        <f>21.02</f>
        <v>21.02</v>
      </c>
      <c r="O149" s="43" t="s">
        <v>764</v>
      </c>
      <c r="P149" s="47" t="s">
        <v>35</v>
      </c>
      <c r="Q149" s="144">
        <f>18.3</f>
        <v>18.3</v>
      </c>
      <c r="R149" s="43">
        <v>0</v>
      </c>
      <c r="S149" s="16" t="s">
        <v>20</v>
      </c>
      <c r="T149" s="215">
        <v>0.9</v>
      </c>
      <c r="U149" s="215">
        <v>0.1</v>
      </c>
      <c r="V149" s="215" t="s">
        <v>243</v>
      </c>
      <c r="W149" s="485"/>
      <c r="X149" s="215"/>
      <c r="Y149" s="43"/>
      <c r="Z149" s="46"/>
      <c r="AA149" s="43"/>
      <c r="AB149" s="43"/>
      <c r="AC149" s="46">
        <f>5.3</f>
        <v>5.3</v>
      </c>
      <c r="AD149" s="17"/>
      <c r="AE149" s="48"/>
      <c r="AF149" s="37" t="s">
        <v>1053</v>
      </c>
      <c r="AG149" s="47">
        <v>404050</v>
      </c>
      <c r="AH149" s="49">
        <f>Table2[[#This Row],[Prix de vente ($)]]/Table2[[#This Row],[Superficie totale (ha)]]</f>
        <v>9514.7478591817326</v>
      </c>
      <c r="AI149" s="49"/>
    </row>
    <row r="150" spans="1:36" ht="39" customHeight="1">
      <c r="A150" s="187">
        <v>27767808</v>
      </c>
      <c r="B150" s="43"/>
      <c r="C150" s="148">
        <v>44910</v>
      </c>
      <c r="D150" s="37" t="s">
        <v>1054</v>
      </c>
      <c r="E150" s="37" t="s">
        <v>1055</v>
      </c>
      <c r="F150" s="43" t="s">
        <v>1056</v>
      </c>
      <c r="G150" s="15">
        <v>38000</v>
      </c>
      <c r="H150" s="43"/>
      <c r="I150" s="43" t="s">
        <v>75</v>
      </c>
      <c r="J150" s="43" t="s">
        <v>1057</v>
      </c>
      <c r="K150" s="43" t="s">
        <v>1057</v>
      </c>
      <c r="L150" s="151" t="s">
        <v>1058</v>
      </c>
      <c r="M150" s="155" t="s">
        <v>1059</v>
      </c>
      <c r="N150" s="144">
        <f>5.7+3.34</f>
        <v>9.0399999999999991</v>
      </c>
      <c r="O150" s="43" t="s">
        <v>18</v>
      </c>
      <c r="P150" s="47" t="s">
        <v>26</v>
      </c>
      <c r="Q150" s="144">
        <f>N150</f>
        <v>9.0399999999999991</v>
      </c>
      <c r="R150" s="43"/>
      <c r="S150" s="16" t="s">
        <v>20</v>
      </c>
      <c r="T150" s="215">
        <v>0.7</v>
      </c>
      <c r="U150" s="215">
        <v>0.3</v>
      </c>
      <c r="V150" s="215"/>
      <c r="W150" s="485"/>
      <c r="X150" s="215"/>
      <c r="Y150" s="43"/>
      <c r="Z150" s="46"/>
      <c r="AA150" s="43"/>
      <c r="AB150" s="43"/>
      <c r="AC150" s="46">
        <v>7.3</v>
      </c>
      <c r="AD150" s="17"/>
      <c r="AE150" s="48"/>
      <c r="AF150" s="37" t="s">
        <v>1060</v>
      </c>
      <c r="AG150" s="47" t="s">
        <v>1061</v>
      </c>
      <c r="AH150" s="49">
        <f>Table2[[#This Row],[Prix de vente ($)]]/Table2[[#This Row],[Superficie totale (ha)]]</f>
        <v>4203.5398230088504</v>
      </c>
      <c r="AI150" s="43"/>
    </row>
    <row r="151" spans="1:36" ht="39" customHeight="1">
      <c r="A151" s="187">
        <v>27765589</v>
      </c>
      <c r="B151" s="43"/>
      <c r="C151" s="148">
        <v>44910</v>
      </c>
      <c r="D151" s="37" t="s">
        <v>1062</v>
      </c>
      <c r="E151" s="37" t="s">
        <v>1063</v>
      </c>
      <c r="F151" s="43" t="s">
        <v>1064</v>
      </c>
      <c r="G151" s="15">
        <v>125000</v>
      </c>
      <c r="H151" s="43"/>
      <c r="I151" s="43" t="s">
        <v>223</v>
      </c>
      <c r="J151" s="43" t="s">
        <v>830</v>
      </c>
      <c r="K151" s="43" t="s">
        <v>831</v>
      </c>
      <c r="L151" s="151" t="s">
        <v>1065</v>
      </c>
      <c r="M151" s="155" t="s">
        <v>1066</v>
      </c>
      <c r="N151" s="144">
        <f>(437855.7+9763+10451.5)/10000</f>
        <v>45.807020000000001</v>
      </c>
      <c r="O151" s="43" t="s">
        <v>18</v>
      </c>
      <c r="P151" s="47" t="s">
        <v>63</v>
      </c>
      <c r="Q151" s="144">
        <f>N151</f>
        <v>45.807020000000001</v>
      </c>
      <c r="R151" s="43"/>
      <c r="S151" s="16"/>
      <c r="T151" s="215"/>
      <c r="U151" s="215"/>
      <c r="V151" s="215"/>
      <c r="W151" s="485"/>
      <c r="X151" s="215"/>
      <c r="Y151" s="43"/>
      <c r="Z151" s="46"/>
      <c r="AA151" s="43"/>
      <c r="AB151" s="43"/>
      <c r="AC151" s="46">
        <v>5.0999999999999996</v>
      </c>
      <c r="AD151" s="17"/>
      <c r="AE151" s="48"/>
      <c r="AF151" s="37"/>
      <c r="AG151" s="47"/>
      <c r="AH151" s="49">
        <f>Table2[[#This Row],[Prix de vente ($)]]/Table2[[#This Row],[Superficie totale (ha)]]</f>
        <v>2728.8393787677082</v>
      </c>
      <c r="AI151" s="43" t="e">
        <f>G151/AD151</f>
        <v>#DIV/0!</v>
      </c>
    </row>
    <row r="152" spans="1:36" ht="39" customHeight="1">
      <c r="A152" s="187">
        <v>28137642</v>
      </c>
      <c r="B152" s="43"/>
      <c r="C152" s="148">
        <v>44910</v>
      </c>
      <c r="D152" s="37" t="s">
        <v>1067</v>
      </c>
      <c r="E152" s="37" t="s">
        <v>1068</v>
      </c>
      <c r="F152" s="43">
        <v>4818200</v>
      </c>
      <c r="G152" s="15">
        <v>299800</v>
      </c>
      <c r="H152" s="43"/>
      <c r="I152" s="43" t="s">
        <v>97</v>
      </c>
      <c r="J152" s="43" t="s">
        <v>106</v>
      </c>
      <c r="K152" s="43" t="s">
        <v>1069</v>
      </c>
      <c r="L152" s="151" t="s">
        <v>1070</v>
      </c>
      <c r="M152" s="155" t="s">
        <v>1071</v>
      </c>
      <c r="N152" s="144">
        <v>39.46</v>
      </c>
      <c r="O152" s="43" t="s">
        <v>25</v>
      </c>
      <c r="P152" s="47" t="s">
        <v>361</v>
      </c>
      <c r="Q152" s="144">
        <f>N152</f>
        <v>39.46</v>
      </c>
      <c r="R152" s="43"/>
      <c r="S152" s="16" t="s">
        <v>155</v>
      </c>
      <c r="T152" s="215">
        <v>0.8</v>
      </c>
      <c r="U152" s="215">
        <v>0.2</v>
      </c>
      <c r="V152" s="215" t="s">
        <v>362</v>
      </c>
      <c r="W152" s="485"/>
      <c r="X152" s="215"/>
      <c r="Y152" s="43"/>
      <c r="Z152" s="46"/>
      <c r="AA152" s="43"/>
      <c r="AB152" s="43"/>
      <c r="AC152" s="46">
        <v>9.1999999999999993</v>
      </c>
      <c r="AD152" s="17"/>
      <c r="AE152" s="48"/>
      <c r="AF152" s="37" t="s">
        <v>1072</v>
      </c>
      <c r="AG152" s="47"/>
      <c r="AH152" s="49">
        <f>Table2[[#This Row],[Prix de vente ($)]]/Table2[[#This Row],[Superficie totale (ha)]]</f>
        <v>7597.5671566142928</v>
      </c>
      <c r="AI152" s="43" t="e">
        <v>#DIV/0!</v>
      </c>
    </row>
    <row r="153" spans="1:36" ht="39" customHeight="1">
      <c r="A153" s="187">
        <v>27861106</v>
      </c>
      <c r="B153" s="43"/>
      <c r="C153" s="148">
        <v>44911</v>
      </c>
      <c r="D153" s="37" t="s">
        <v>1073</v>
      </c>
      <c r="E153" s="37" t="s">
        <v>1074</v>
      </c>
      <c r="F153" s="45">
        <v>5310291</v>
      </c>
      <c r="G153" s="15">
        <v>103000</v>
      </c>
      <c r="H153" s="43"/>
      <c r="I153" s="43" t="s">
        <v>1075</v>
      </c>
      <c r="J153" s="43" t="s">
        <v>45</v>
      </c>
      <c r="K153" s="43" t="s">
        <v>1076</v>
      </c>
      <c r="L153" s="151" t="s">
        <v>1077</v>
      </c>
      <c r="M153" s="155" t="s">
        <v>1078</v>
      </c>
      <c r="N153" s="144">
        <v>11.61</v>
      </c>
      <c r="O153" s="43" t="s">
        <v>18</v>
      </c>
      <c r="P153" s="47" t="s">
        <v>26</v>
      </c>
      <c r="Q153" s="144">
        <v>11.61</v>
      </c>
      <c r="R153" s="43">
        <v>0</v>
      </c>
      <c r="S153" s="16" t="s">
        <v>20</v>
      </c>
      <c r="T153" s="215">
        <v>0.8</v>
      </c>
      <c r="U153" s="215">
        <v>0.2</v>
      </c>
      <c r="V153" s="215"/>
      <c r="W153" s="485"/>
      <c r="X153" s="215"/>
      <c r="Y153" s="43"/>
      <c r="Z153" s="46"/>
      <c r="AA153" s="43"/>
      <c r="AB153" s="43"/>
      <c r="AC153" s="46">
        <v>8.4</v>
      </c>
      <c r="AD153" s="17"/>
      <c r="AE153" s="48"/>
      <c r="AF153" s="37" t="s">
        <v>126</v>
      </c>
      <c r="AG153" s="47"/>
      <c r="AH153" s="49">
        <f>Table2[[#This Row],[Prix de vente ($)]]/Table2[[#This Row],[Superficie totale (ha)]]</f>
        <v>8871.6623600344537</v>
      </c>
      <c r="AI153" s="49"/>
      <c r="AJ153" s="47"/>
    </row>
    <row r="154" spans="1:36" ht="39" customHeight="1">
      <c r="A154" s="187">
        <v>27847646</v>
      </c>
      <c r="B154" s="43"/>
      <c r="C154" s="148">
        <v>44911</v>
      </c>
      <c r="D154" s="37" t="s">
        <v>1079</v>
      </c>
      <c r="E154" s="37" t="s">
        <v>1080</v>
      </c>
      <c r="F154" s="5">
        <v>4366379</v>
      </c>
      <c r="G154" s="162">
        <v>85000</v>
      </c>
      <c r="H154" s="43"/>
      <c r="I154" s="43" t="s">
        <v>909</v>
      </c>
      <c r="J154" s="43" t="s">
        <v>910</v>
      </c>
      <c r="K154" s="43" t="s">
        <v>910</v>
      </c>
      <c r="L154" s="151" t="s">
        <v>1081</v>
      </c>
      <c r="M154" s="151" t="s">
        <v>1082</v>
      </c>
      <c r="N154" s="144">
        <v>20.63</v>
      </c>
      <c r="O154" s="43" t="s">
        <v>25</v>
      </c>
      <c r="P154" s="47" t="s">
        <v>19</v>
      </c>
      <c r="Q154" s="139">
        <v>20.63</v>
      </c>
      <c r="R154" s="43"/>
      <c r="S154" s="16" t="s">
        <v>20</v>
      </c>
      <c r="T154" s="215">
        <v>1</v>
      </c>
      <c r="U154" s="215">
        <v>0</v>
      </c>
      <c r="V154" s="215">
        <v>0.75</v>
      </c>
      <c r="W154" s="485"/>
      <c r="X154" s="215"/>
      <c r="Y154" s="43"/>
      <c r="Z154" s="46"/>
      <c r="AA154" s="43"/>
      <c r="AB154" s="43"/>
      <c r="AC154" s="46"/>
      <c r="AD154" s="17"/>
      <c r="AE154" s="48"/>
      <c r="AF154" s="37" t="s">
        <v>1083</v>
      </c>
      <c r="AG154" s="47"/>
      <c r="AH154" s="49">
        <f>Table2[[#This Row],[Prix de vente ($)]]/Table2[[#This Row],[Superficie totale (ha)]]</f>
        <v>4120.2132816286967</v>
      </c>
      <c r="AI154" s="49" t="e">
        <f>Bois!$G38/Bois!$AD38</f>
        <v>#DIV/0!</v>
      </c>
    </row>
    <row r="155" spans="1:36" ht="39" customHeight="1">
      <c r="A155" s="187">
        <v>27770426</v>
      </c>
      <c r="B155" s="43"/>
      <c r="C155" s="148">
        <v>44914</v>
      </c>
      <c r="D155" s="37" t="s">
        <v>1084</v>
      </c>
      <c r="E155" s="37" t="s">
        <v>1085</v>
      </c>
      <c r="F155" s="43">
        <v>2151448</v>
      </c>
      <c r="G155" s="52">
        <v>60000</v>
      </c>
      <c r="H155" s="43"/>
      <c r="I155" s="43" t="s">
        <v>201</v>
      </c>
      <c r="J155" s="43" t="s">
        <v>201</v>
      </c>
      <c r="K155" s="43" t="s">
        <v>1086</v>
      </c>
      <c r="L155" s="142" t="s">
        <v>1087</v>
      </c>
      <c r="M155" s="142" t="s">
        <v>1088</v>
      </c>
      <c r="N155" s="144">
        <v>8.0299999999999994</v>
      </c>
      <c r="O155" s="43" t="s">
        <v>25</v>
      </c>
      <c r="P155" s="47" t="s">
        <v>19</v>
      </c>
      <c r="Q155" s="139">
        <v>8.0299999999999994</v>
      </c>
      <c r="R155" s="43"/>
      <c r="S155" s="1" t="s">
        <v>369</v>
      </c>
      <c r="T155" s="217">
        <v>1</v>
      </c>
      <c r="U155" s="217">
        <v>0</v>
      </c>
      <c r="V155" s="217">
        <v>0.7</v>
      </c>
      <c r="W155" s="487"/>
      <c r="X155" s="217"/>
      <c r="Y155" s="43"/>
      <c r="Z155" s="46"/>
      <c r="AA155" s="43"/>
      <c r="AB155" s="43"/>
      <c r="AC155" s="46">
        <v>3</v>
      </c>
      <c r="AD155" s="53"/>
      <c r="AE155" s="48"/>
      <c r="AF155" s="37" t="s">
        <v>1089</v>
      </c>
      <c r="AG155" s="47"/>
      <c r="AH155" s="49">
        <f>Table2[[#This Row],[Prix de vente ($)]]/Table2[[#This Row],[Superficie totale (ha)]]</f>
        <v>7471.9800747198015</v>
      </c>
      <c r="AI155" s="49" t="e">
        <f>Bois!$G39/Bois!$AD39</f>
        <v>#DIV/0!</v>
      </c>
    </row>
    <row r="156" spans="1:36" ht="39" customHeight="1">
      <c r="A156" s="187">
        <v>27769889</v>
      </c>
      <c r="B156" s="43"/>
      <c r="C156" s="148">
        <v>44914</v>
      </c>
      <c r="D156" s="37" t="s">
        <v>1090</v>
      </c>
      <c r="E156" s="37" t="s">
        <v>1091</v>
      </c>
      <c r="F156" s="43">
        <v>1827664</v>
      </c>
      <c r="G156" s="15">
        <v>136000</v>
      </c>
      <c r="H156" s="43"/>
      <c r="I156" s="43" t="s">
        <v>97</v>
      </c>
      <c r="J156" s="43" t="s">
        <v>98</v>
      </c>
      <c r="K156" s="43" t="s">
        <v>873</v>
      </c>
      <c r="L156" s="151" t="s">
        <v>1092</v>
      </c>
      <c r="M156" s="155" t="s">
        <v>1093</v>
      </c>
      <c r="N156" s="144">
        <v>18.66</v>
      </c>
      <c r="O156" s="43" t="s">
        <v>25</v>
      </c>
      <c r="P156" s="47" t="s">
        <v>361</v>
      </c>
      <c r="Q156" s="144">
        <f>N156</f>
        <v>18.66</v>
      </c>
      <c r="R156" s="43"/>
      <c r="S156" s="16" t="s">
        <v>155</v>
      </c>
      <c r="T156" s="215">
        <v>0.7</v>
      </c>
      <c r="U156" s="215">
        <v>0.3</v>
      </c>
      <c r="V156" s="215" t="s">
        <v>362</v>
      </c>
      <c r="W156" s="485"/>
      <c r="X156" s="215"/>
      <c r="Y156" s="43"/>
      <c r="Z156" s="46"/>
      <c r="AA156" s="43"/>
      <c r="AB156" s="43"/>
      <c r="AC156" s="46">
        <v>3</v>
      </c>
      <c r="AD156" s="17"/>
      <c r="AE156" s="48"/>
      <c r="AF156" s="37"/>
      <c r="AG156" s="47"/>
      <c r="AH156" s="49">
        <f>Table2[[#This Row],[Prix de vente ($)]]/Table2[[#This Row],[Superficie totale (ha)]]</f>
        <v>7288.3172561629153</v>
      </c>
      <c r="AI156" s="49" t="e">
        <v>#DIV/0!</v>
      </c>
    </row>
    <row r="157" spans="1:36" ht="39" customHeight="1">
      <c r="A157" s="187">
        <v>27777445</v>
      </c>
      <c r="B157" s="43"/>
      <c r="C157" s="148">
        <v>44916</v>
      </c>
      <c r="D157" s="37" t="s">
        <v>530</v>
      </c>
      <c r="E157" s="37" t="s">
        <v>1094</v>
      </c>
      <c r="F157" s="43">
        <v>3387510</v>
      </c>
      <c r="G157" s="52">
        <v>200000</v>
      </c>
      <c r="H157" s="43"/>
      <c r="I157" s="43" t="s">
        <v>321</v>
      </c>
      <c r="J157" s="43" t="s">
        <v>322</v>
      </c>
      <c r="K157" s="43" t="s">
        <v>429</v>
      </c>
      <c r="L157" s="142" t="s">
        <v>1095</v>
      </c>
      <c r="M157" s="142" t="s">
        <v>1096</v>
      </c>
      <c r="N157" s="144">
        <v>2.74</v>
      </c>
      <c r="O157" s="43" t="s">
        <v>18</v>
      </c>
      <c r="P157" s="47" t="s">
        <v>206</v>
      </c>
      <c r="Q157" s="139">
        <v>2.74</v>
      </c>
      <c r="R157" s="43"/>
      <c r="S157" s="1" t="s">
        <v>20</v>
      </c>
      <c r="T157" s="217">
        <v>0.8</v>
      </c>
      <c r="U157" s="217">
        <v>0.2</v>
      </c>
      <c r="V157" s="217">
        <v>0.8</v>
      </c>
      <c r="W157" s="487"/>
      <c r="X157" s="217"/>
      <c r="Y157" s="43"/>
      <c r="Z157" s="46"/>
      <c r="AA157" s="43"/>
      <c r="AB157" s="43"/>
      <c r="AC157" s="46"/>
      <c r="AD157" s="53"/>
      <c r="AE157" s="48"/>
      <c r="AF157" s="37"/>
      <c r="AG157" s="47"/>
      <c r="AH157" s="49">
        <f>Table2[[#This Row],[Prix de vente ($)]]/Table2[[#This Row],[Superficie totale (ha)]]</f>
        <v>72992.700729927004</v>
      </c>
      <c r="AI157" s="49" t="e">
        <f>Bois!$G41/Bois!$AD41</f>
        <v>#DIV/0!</v>
      </c>
    </row>
    <row r="158" spans="1:36" ht="39" customHeight="1">
      <c r="A158" s="187">
        <v>27780237</v>
      </c>
      <c r="B158" s="43"/>
      <c r="C158" s="148">
        <v>44916</v>
      </c>
      <c r="D158" s="37" t="s">
        <v>1097</v>
      </c>
      <c r="E158" s="37" t="s">
        <v>1098</v>
      </c>
      <c r="F158" s="43">
        <v>3831235</v>
      </c>
      <c r="G158" s="52">
        <v>75000</v>
      </c>
      <c r="H158" s="43"/>
      <c r="I158" s="43" t="s">
        <v>654</v>
      </c>
      <c r="J158" s="43" t="s">
        <v>883</v>
      </c>
      <c r="K158" s="43" t="s">
        <v>1099</v>
      </c>
      <c r="L158" s="142" t="s">
        <v>1100</v>
      </c>
      <c r="M158" s="142" t="s">
        <v>1101</v>
      </c>
      <c r="N158" s="144">
        <v>20.36</v>
      </c>
      <c r="O158" s="43" t="s">
        <v>18</v>
      </c>
      <c r="P158" s="47" t="s">
        <v>206</v>
      </c>
      <c r="Q158" s="139">
        <v>20.36</v>
      </c>
      <c r="R158" s="43"/>
      <c r="S158" s="1" t="s">
        <v>369</v>
      </c>
      <c r="T158" s="217">
        <v>0.65</v>
      </c>
      <c r="U158" s="217">
        <v>0.35</v>
      </c>
      <c r="V158" s="217">
        <v>0.75</v>
      </c>
      <c r="W158" s="487"/>
      <c r="X158" s="217"/>
      <c r="Y158" s="43"/>
      <c r="Z158" s="46"/>
      <c r="AA158" s="43"/>
      <c r="AB158" s="43"/>
      <c r="AC158" s="46">
        <v>2.8</v>
      </c>
      <c r="AD158" s="53"/>
      <c r="AE158" s="48"/>
      <c r="AF158" s="37" t="s">
        <v>1102</v>
      </c>
      <c r="AG158" s="47"/>
      <c r="AH158" s="49">
        <f>Table2[[#This Row],[Prix de vente ($)]]/Table2[[#This Row],[Superficie totale (ha)]]</f>
        <v>3683.6935166994108</v>
      </c>
      <c r="AI158" s="49" t="e">
        <f>Bois!$G40/Bois!$AD40</f>
        <v>#DIV/0!</v>
      </c>
    </row>
    <row r="159" spans="1:36" ht="39" customHeight="1">
      <c r="A159" s="187">
        <v>27875427</v>
      </c>
      <c r="B159" s="43"/>
      <c r="C159" s="148">
        <v>44925</v>
      </c>
      <c r="D159" s="37" t="s">
        <v>1103</v>
      </c>
      <c r="E159" s="37" t="s">
        <v>1104</v>
      </c>
      <c r="F159" s="45">
        <v>5426964</v>
      </c>
      <c r="G159" s="15">
        <v>40000</v>
      </c>
      <c r="H159" s="43"/>
      <c r="I159" s="43" t="s">
        <v>602</v>
      </c>
      <c r="J159" s="43" t="s">
        <v>603</v>
      </c>
      <c r="K159" s="43" t="s">
        <v>604</v>
      </c>
      <c r="L159" s="151" t="s">
        <v>1105</v>
      </c>
      <c r="M159" s="155" t="s">
        <v>1106</v>
      </c>
      <c r="N159" s="144">
        <v>13.35</v>
      </c>
      <c r="O159" s="43" t="s">
        <v>36</v>
      </c>
      <c r="P159" s="47" t="s">
        <v>165</v>
      </c>
      <c r="Q159" s="144">
        <v>12.75</v>
      </c>
      <c r="R159" s="43">
        <v>0</v>
      </c>
      <c r="S159" s="16" t="s">
        <v>22</v>
      </c>
      <c r="T159" s="215">
        <v>0.5</v>
      </c>
      <c r="U159" s="215">
        <v>0.5</v>
      </c>
      <c r="V159" s="215"/>
      <c r="W159" s="485"/>
      <c r="X159" s="215"/>
      <c r="Y159" s="43"/>
      <c r="Z159" s="46"/>
      <c r="AA159" s="43"/>
      <c r="AB159" s="43"/>
      <c r="AC159" s="46">
        <v>0</v>
      </c>
      <c r="AD159" s="17"/>
      <c r="AE159" s="48"/>
      <c r="AF159" s="37" t="s">
        <v>1107</v>
      </c>
      <c r="AG159" s="47"/>
      <c r="AH159" s="49">
        <f>Table2[[#This Row],[Prix de vente ($)]]/Table2[[#This Row],[Superficie totale (ha)]]</f>
        <v>2996.2546816479403</v>
      </c>
      <c r="AI159" s="49"/>
    </row>
    <row r="160" spans="1:36" ht="39" customHeight="1">
      <c r="A160" s="187">
        <v>27888863</v>
      </c>
      <c r="B160" s="43"/>
      <c r="C160" s="148">
        <v>44930</v>
      </c>
      <c r="D160" s="37" t="s">
        <v>1108</v>
      </c>
      <c r="E160" s="37" t="s">
        <v>1109</v>
      </c>
      <c r="F160" s="43" t="s">
        <v>1110</v>
      </c>
      <c r="G160" s="15">
        <v>100000</v>
      </c>
      <c r="H160" s="43"/>
      <c r="I160" s="43" t="s">
        <v>16</v>
      </c>
      <c r="J160" s="43" t="s">
        <v>402</v>
      </c>
      <c r="K160" s="43" t="s">
        <v>1111</v>
      </c>
      <c r="L160" s="151" t="s">
        <v>1112</v>
      </c>
      <c r="M160" s="155" t="s">
        <v>1113</v>
      </c>
      <c r="N160" s="144">
        <v>18</v>
      </c>
      <c r="O160" s="43" t="s">
        <v>18</v>
      </c>
      <c r="P160" s="47" t="s">
        <v>35</v>
      </c>
      <c r="Q160" s="144">
        <f>N160</f>
        <v>18</v>
      </c>
      <c r="R160" s="43"/>
      <c r="S160" s="16" t="s">
        <v>22</v>
      </c>
      <c r="T160" s="215">
        <v>0.5</v>
      </c>
      <c r="U160" s="215">
        <v>0.5</v>
      </c>
      <c r="V160" s="215"/>
      <c r="W160" s="485"/>
      <c r="X160" s="215"/>
      <c r="Y160" s="43"/>
      <c r="Z160" s="46"/>
      <c r="AA160" s="43"/>
      <c r="AB160" s="43"/>
      <c r="AC160" s="46">
        <v>1.1000000000000001</v>
      </c>
      <c r="AD160" s="17"/>
      <c r="AE160" s="48"/>
      <c r="AF160" s="37" t="s">
        <v>1114</v>
      </c>
      <c r="AG160" s="47"/>
      <c r="AH160" s="49">
        <f>Table2[[#This Row],[Prix de vente ($)]]/Table2[[#This Row],[Superficie totale (ha)]]</f>
        <v>5555.5555555555557</v>
      </c>
      <c r="AI160" s="43" t="e">
        <v>#DIV/0!</v>
      </c>
    </row>
    <row r="161" spans="1:36" ht="39" customHeight="1">
      <c r="A161" s="187">
        <v>27874021</v>
      </c>
      <c r="B161" s="43"/>
      <c r="C161" s="148">
        <v>44937</v>
      </c>
      <c r="D161" s="37" t="s">
        <v>1115</v>
      </c>
      <c r="E161" s="37" t="s">
        <v>1116</v>
      </c>
      <c r="F161" s="45" t="s">
        <v>1117</v>
      </c>
      <c r="G161" s="15">
        <v>350000</v>
      </c>
      <c r="H161" s="43"/>
      <c r="I161" s="43" t="s">
        <v>1075</v>
      </c>
      <c r="J161" s="43" t="s">
        <v>45</v>
      </c>
      <c r="K161" s="43" t="s">
        <v>1118</v>
      </c>
      <c r="L161" s="151" t="s">
        <v>1119</v>
      </c>
      <c r="M161" s="155" t="s">
        <v>1120</v>
      </c>
      <c r="N161" s="144">
        <f>6.41+6.29</f>
        <v>12.7</v>
      </c>
      <c r="O161" s="43" t="s">
        <v>18</v>
      </c>
      <c r="P161" s="47" t="s">
        <v>26</v>
      </c>
      <c r="Q161" s="144">
        <v>12.7</v>
      </c>
      <c r="R161" s="43">
        <v>0</v>
      </c>
      <c r="S161" s="16" t="s">
        <v>20</v>
      </c>
      <c r="T161" s="215">
        <v>0.8</v>
      </c>
      <c r="U161" s="215">
        <v>0.2</v>
      </c>
      <c r="V161" s="215"/>
      <c r="W161" s="485"/>
      <c r="X161" s="215"/>
      <c r="Y161" s="43"/>
      <c r="Z161" s="46"/>
      <c r="AA161" s="43"/>
      <c r="AB161" s="43"/>
      <c r="AC161" s="46">
        <f>2.5+2.3+1.4+1.4</f>
        <v>7.6</v>
      </c>
      <c r="AD161" s="17"/>
      <c r="AE161" s="48"/>
      <c r="AF161" s="37" t="s">
        <v>1121</v>
      </c>
      <c r="AG161" s="47"/>
      <c r="AH161" s="49">
        <f>Table2[[#This Row],[Prix de vente ($)]]/Table2[[#This Row],[Superficie totale (ha)]]</f>
        <v>27559.055118110238</v>
      </c>
      <c r="AI161" s="49"/>
    </row>
    <row r="162" spans="1:36" ht="39" customHeight="1">
      <c r="A162" s="187">
        <v>27813771</v>
      </c>
      <c r="B162" s="43"/>
      <c r="C162" s="148">
        <v>44939</v>
      </c>
      <c r="D162" s="37" t="s">
        <v>1122</v>
      </c>
      <c r="E162" s="37" t="s">
        <v>1123</v>
      </c>
      <c r="F162" s="43">
        <v>5757613</v>
      </c>
      <c r="G162" s="15">
        <v>280000</v>
      </c>
      <c r="H162" s="43"/>
      <c r="I162" s="43" t="s">
        <v>97</v>
      </c>
      <c r="J162" s="43" t="s">
        <v>98</v>
      </c>
      <c r="K162" s="43" t="s">
        <v>1124</v>
      </c>
      <c r="L162" s="151" t="s">
        <v>1125</v>
      </c>
      <c r="M162" s="155" t="s">
        <v>1126</v>
      </c>
      <c r="N162" s="144">
        <v>8.65</v>
      </c>
      <c r="O162" s="43" t="s">
        <v>25</v>
      </c>
      <c r="P162" s="47" t="s">
        <v>35</v>
      </c>
      <c r="Q162" s="144">
        <f>N162</f>
        <v>8.65</v>
      </c>
      <c r="R162" s="43"/>
      <c r="S162" s="16" t="s">
        <v>155</v>
      </c>
      <c r="T162" s="215">
        <v>0.9</v>
      </c>
      <c r="U162" s="215">
        <v>0.1</v>
      </c>
      <c r="V162" s="215" t="s">
        <v>243</v>
      </c>
      <c r="W162" s="485"/>
      <c r="X162" s="215"/>
      <c r="Y162" s="43"/>
      <c r="Z162" s="46"/>
      <c r="AA162" s="43"/>
      <c r="AB162" s="43"/>
      <c r="AC162" s="46">
        <v>0</v>
      </c>
      <c r="AD162" s="17"/>
      <c r="AE162" s="48"/>
      <c r="AF162" s="37" t="s">
        <v>1127</v>
      </c>
      <c r="AG162" s="47"/>
      <c r="AH162" s="49">
        <f>Table2[[#This Row],[Prix de vente ($)]]/Table2[[#This Row],[Superficie totale (ha)]]</f>
        <v>32369.942196531789</v>
      </c>
      <c r="AI162" s="43" t="e">
        <v>#DIV/0!</v>
      </c>
    </row>
    <row r="163" spans="1:36" ht="39" customHeight="1">
      <c r="A163" s="187">
        <v>27805870</v>
      </c>
      <c r="B163" s="5"/>
      <c r="C163" s="156">
        <v>44942</v>
      </c>
      <c r="D163" s="10" t="s">
        <v>1128</v>
      </c>
      <c r="E163" s="10" t="s">
        <v>1129</v>
      </c>
      <c r="F163" s="5">
        <v>3055932</v>
      </c>
      <c r="G163" s="56">
        <v>140000</v>
      </c>
      <c r="H163" s="5"/>
      <c r="I163" s="43" t="s">
        <v>201</v>
      </c>
      <c r="J163" s="43" t="s">
        <v>202</v>
      </c>
      <c r="K163" s="5" t="s">
        <v>203</v>
      </c>
      <c r="L163" s="201" t="s">
        <v>1130</v>
      </c>
      <c r="M163" s="201" t="s">
        <v>1131</v>
      </c>
      <c r="N163" s="157">
        <v>5.53</v>
      </c>
      <c r="O163" s="43" t="s">
        <v>18</v>
      </c>
      <c r="P163" s="47" t="s">
        <v>206</v>
      </c>
      <c r="Q163" s="149">
        <v>5.53</v>
      </c>
      <c r="R163" s="5"/>
      <c r="S163" s="6" t="s">
        <v>369</v>
      </c>
      <c r="T163" s="220">
        <v>0.85</v>
      </c>
      <c r="U163" s="220">
        <v>0.15</v>
      </c>
      <c r="V163" s="220">
        <v>0.75</v>
      </c>
      <c r="W163" s="491"/>
      <c r="X163" s="220"/>
      <c r="Y163" s="5"/>
      <c r="Z163" s="11"/>
      <c r="AA163" s="5"/>
      <c r="AB163" s="5"/>
      <c r="AC163" s="11">
        <v>1.6</v>
      </c>
      <c r="AD163" s="57"/>
      <c r="AE163" s="13"/>
      <c r="AF163" s="10" t="s">
        <v>1132</v>
      </c>
      <c r="AG163" s="12"/>
      <c r="AH163" s="49">
        <f>Table2[[#This Row],[Prix de vente ($)]]/Table2[[#This Row],[Superficie totale (ha)]]</f>
        <v>25316.455696202531</v>
      </c>
      <c r="AI163" s="14" t="e">
        <f>Bois!#REF!/Bois!#REF!</f>
        <v>#REF!</v>
      </c>
    </row>
    <row r="164" spans="1:36" ht="39" customHeight="1">
      <c r="A164" s="190">
        <v>27806449</v>
      </c>
      <c r="B164" s="43"/>
      <c r="C164" s="148">
        <v>44942</v>
      </c>
      <c r="D164" s="37" t="s">
        <v>1133</v>
      </c>
      <c r="E164" s="37" t="s">
        <v>1134</v>
      </c>
      <c r="F164" s="43">
        <v>2719911</v>
      </c>
      <c r="G164" s="52">
        <v>35000</v>
      </c>
      <c r="H164" s="43"/>
      <c r="I164" s="43" t="s">
        <v>722</v>
      </c>
      <c r="J164" s="43" t="s">
        <v>1039</v>
      </c>
      <c r="K164" s="43" t="s">
        <v>1135</v>
      </c>
      <c r="L164" s="142" t="s">
        <v>1136</v>
      </c>
      <c r="M164" s="142" t="s">
        <v>1137</v>
      </c>
      <c r="N164" s="144">
        <v>5.89</v>
      </c>
      <c r="O164" s="43" t="s">
        <v>18</v>
      </c>
      <c r="P164" s="47" t="s">
        <v>206</v>
      </c>
      <c r="Q164" s="139">
        <v>5.49</v>
      </c>
      <c r="R164" s="43"/>
      <c r="S164" s="1" t="s">
        <v>20</v>
      </c>
      <c r="T164" s="217">
        <v>0.85</v>
      </c>
      <c r="U164" s="217">
        <v>0.15</v>
      </c>
      <c r="V164" s="217">
        <v>0.7</v>
      </c>
      <c r="W164" s="487"/>
      <c r="X164" s="217"/>
      <c r="Y164" s="43"/>
      <c r="Z164" s="46"/>
      <c r="AA164" s="43"/>
      <c r="AB164" s="43"/>
      <c r="AC164" s="46">
        <v>5.89</v>
      </c>
      <c r="AD164" s="53"/>
      <c r="AE164" s="48"/>
      <c r="AF164" s="37" t="s">
        <v>271</v>
      </c>
      <c r="AG164" s="47"/>
      <c r="AH164" s="49">
        <f>Table2[[#This Row],[Prix de vente ($)]]/Table2[[#This Row],[Superficie totale (ha)]]</f>
        <v>5942.2750424448222</v>
      </c>
      <c r="AI164" s="49" t="e">
        <f>Bois!$G42/Bois!$AD42</f>
        <v>#DIV/0!</v>
      </c>
    </row>
    <row r="165" spans="1:36" ht="39" customHeight="1">
      <c r="A165" s="187">
        <v>27880372</v>
      </c>
      <c r="B165" s="43"/>
      <c r="C165" s="148">
        <v>44942</v>
      </c>
      <c r="D165" s="37" t="s">
        <v>1138</v>
      </c>
      <c r="E165" s="37" t="s">
        <v>1139</v>
      </c>
      <c r="F165" s="45" t="s">
        <v>1140</v>
      </c>
      <c r="G165" s="15">
        <v>235000</v>
      </c>
      <c r="H165" s="43"/>
      <c r="I165" s="43" t="s">
        <v>160</v>
      </c>
      <c r="J165" s="43" t="s">
        <v>161</v>
      </c>
      <c r="K165" s="43" t="s">
        <v>1141</v>
      </c>
      <c r="L165" s="151" t="s">
        <v>1142</v>
      </c>
      <c r="M165" s="155" t="s">
        <v>1143</v>
      </c>
      <c r="N165" s="144">
        <f>3.08+28.82</f>
        <v>31.9</v>
      </c>
      <c r="O165" s="43" t="s">
        <v>18</v>
      </c>
      <c r="P165" s="47" t="s">
        <v>165</v>
      </c>
      <c r="Q165" s="144">
        <v>31.9</v>
      </c>
      <c r="R165" s="43">
        <v>0</v>
      </c>
      <c r="S165" s="16" t="s">
        <v>20</v>
      </c>
      <c r="T165" s="215">
        <v>0.7</v>
      </c>
      <c r="U165" s="215">
        <v>0.3</v>
      </c>
      <c r="V165" s="215"/>
      <c r="W165" s="485"/>
      <c r="X165" s="215"/>
      <c r="Y165" s="43"/>
      <c r="Z165" s="46"/>
      <c r="AA165" s="43"/>
      <c r="AB165" s="43"/>
      <c r="AC165" s="46">
        <v>14.3</v>
      </c>
      <c r="AD165" s="17"/>
      <c r="AE165" s="48"/>
      <c r="AF165" s="37" t="s">
        <v>1144</v>
      </c>
      <c r="AG165" s="47"/>
      <c r="AH165" s="49">
        <f>Table2[[#This Row],[Prix de vente ($)]]/Table2[[#This Row],[Superficie totale (ha)]]</f>
        <v>7366.7711598746082</v>
      </c>
      <c r="AI165" s="49"/>
      <c r="AJ165" s="47"/>
    </row>
    <row r="166" spans="1:36" ht="39" customHeight="1">
      <c r="A166" s="188">
        <v>27811089</v>
      </c>
      <c r="B166" s="67"/>
      <c r="C166" s="361">
        <v>44943</v>
      </c>
      <c r="D166" s="68" t="s">
        <v>1145</v>
      </c>
      <c r="E166" s="68" t="s">
        <v>1146</v>
      </c>
      <c r="F166" s="67">
        <v>4176012</v>
      </c>
      <c r="G166" s="21">
        <v>60000</v>
      </c>
      <c r="H166" s="67"/>
      <c r="I166" s="67" t="s">
        <v>75</v>
      </c>
      <c r="J166" s="67" t="s">
        <v>585</v>
      </c>
      <c r="K166" s="67" t="s">
        <v>1147</v>
      </c>
      <c r="L166" s="208" t="s">
        <v>1148</v>
      </c>
      <c r="M166" s="200" t="s">
        <v>1149</v>
      </c>
      <c r="N166" s="153">
        <v>17.38</v>
      </c>
      <c r="O166" s="67" t="s">
        <v>36</v>
      </c>
      <c r="P166" s="71" t="s">
        <v>206</v>
      </c>
      <c r="Q166" s="147">
        <v>17.38</v>
      </c>
      <c r="R166" s="67">
        <v>0</v>
      </c>
      <c r="S166" s="22" t="s">
        <v>22</v>
      </c>
      <c r="T166" s="218">
        <v>0.5</v>
      </c>
      <c r="U166" s="218">
        <v>0.2</v>
      </c>
      <c r="V166" s="218"/>
      <c r="W166" s="490"/>
      <c r="X166" s="218"/>
      <c r="Y166" s="67"/>
      <c r="Z166" s="70"/>
      <c r="AA166" s="67"/>
      <c r="AB166" s="67"/>
      <c r="AC166" s="70">
        <v>0</v>
      </c>
      <c r="AD166" s="72"/>
      <c r="AE166" s="73"/>
      <c r="AF166" s="68"/>
      <c r="AG166" s="71" t="s">
        <v>1150</v>
      </c>
      <c r="AH166" s="49">
        <f>Table2[[#This Row],[Prix de vente ($)]]/Table2[[#This Row],[Superficie totale (ha)]]</f>
        <v>3452.2439585730726</v>
      </c>
      <c r="AI166" s="74" t="e">
        <v>#DIV/0!</v>
      </c>
    </row>
    <row r="167" spans="1:36" ht="39" customHeight="1">
      <c r="A167" s="191">
        <v>27814131</v>
      </c>
      <c r="B167" s="43"/>
      <c r="C167" s="148">
        <v>44946</v>
      </c>
      <c r="D167" s="37" t="s">
        <v>1151</v>
      </c>
      <c r="E167" s="37" t="s">
        <v>1152</v>
      </c>
      <c r="F167" s="34">
        <v>3489121</v>
      </c>
      <c r="G167" s="59">
        <v>17000</v>
      </c>
      <c r="H167" s="43"/>
      <c r="I167" s="34" t="s">
        <v>49</v>
      </c>
      <c r="J167" s="37" t="s">
        <v>1153</v>
      </c>
      <c r="K167" s="43" t="s">
        <v>1154</v>
      </c>
      <c r="L167" s="139" t="s">
        <v>1155</v>
      </c>
      <c r="M167" s="139" t="s">
        <v>1156</v>
      </c>
      <c r="N167" s="144">
        <v>1.32</v>
      </c>
      <c r="O167" s="43" t="s">
        <v>18</v>
      </c>
      <c r="P167" s="47"/>
      <c r="Q167" s="144">
        <v>1.32</v>
      </c>
      <c r="R167" s="46"/>
      <c r="S167" s="43"/>
      <c r="T167" s="217"/>
      <c r="U167" s="217"/>
      <c r="V167" s="217"/>
      <c r="W167" s="487"/>
      <c r="X167" s="217"/>
      <c r="Y167" s="43"/>
      <c r="Z167" s="46"/>
      <c r="AA167" s="43"/>
      <c r="AB167" s="43"/>
      <c r="AC167" s="46">
        <v>0</v>
      </c>
      <c r="AD167" s="53"/>
      <c r="AE167" s="48"/>
      <c r="AF167" s="37" t="s">
        <v>1157</v>
      </c>
      <c r="AG167" s="47"/>
      <c r="AH167" s="49">
        <f>Table2[[#This Row],[Prix de vente ($)]]/Table2[[#This Row],[Superficie totale (ha)]]</f>
        <v>12878.787878787878</v>
      </c>
      <c r="AI167" s="49" t="e">
        <f>Bois!$G43/Bois!$AD43</f>
        <v>#DIV/0!</v>
      </c>
    </row>
    <row r="168" spans="1:36" ht="39" customHeight="1">
      <c r="A168" s="187">
        <v>27896325</v>
      </c>
      <c r="B168" s="43"/>
      <c r="C168" s="148">
        <v>44947</v>
      </c>
      <c r="D168" s="37" t="s">
        <v>1158</v>
      </c>
      <c r="E168" s="37" t="s">
        <v>1159</v>
      </c>
      <c r="F168" s="43">
        <v>5286602</v>
      </c>
      <c r="G168" s="52">
        <v>90000</v>
      </c>
      <c r="H168" s="43"/>
      <c r="I168" s="43" t="s">
        <v>274</v>
      </c>
      <c r="J168" s="43" t="s">
        <v>275</v>
      </c>
      <c r="K168" s="43" t="s">
        <v>275</v>
      </c>
      <c r="L168" s="142" t="s">
        <v>1160</v>
      </c>
      <c r="M168" s="142" t="s">
        <v>1161</v>
      </c>
      <c r="N168" s="144">
        <v>10.79</v>
      </c>
      <c r="O168" s="43" t="s">
        <v>18</v>
      </c>
      <c r="P168" s="47" t="s">
        <v>206</v>
      </c>
      <c r="Q168" s="139">
        <v>10.79</v>
      </c>
      <c r="R168" s="43"/>
      <c r="S168" s="1" t="s">
        <v>20</v>
      </c>
      <c r="T168" s="217">
        <v>1</v>
      </c>
      <c r="U168" s="217">
        <v>0</v>
      </c>
      <c r="V168" s="217">
        <v>0.65</v>
      </c>
      <c r="W168" s="487"/>
      <c r="X168" s="217"/>
      <c r="Y168" s="43"/>
      <c r="Z168" s="46"/>
      <c r="AA168" s="43"/>
      <c r="AB168" s="43"/>
      <c r="AC168" s="46"/>
      <c r="AD168" s="53"/>
      <c r="AE168" s="48"/>
      <c r="AF168" s="37" t="s">
        <v>1162</v>
      </c>
      <c r="AG168" s="47"/>
      <c r="AH168" s="49">
        <f>Table2[[#This Row],[Prix de vente ($)]]/Table2[[#This Row],[Superficie totale (ha)]]</f>
        <v>8341.0565338276192</v>
      </c>
      <c r="AI168" s="49" t="e">
        <f>Bois!$G44/Bois!$AD44</f>
        <v>#DIV/0!</v>
      </c>
    </row>
    <row r="169" spans="1:36" ht="39" customHeight="1">
      <c r="A169" s="196">
        <v>27816601</v>
      </c>
      <c r="C169" s="318">
        <v>44949</v>
      </c>
      <c r="D169" s="248" t="s">
        <v>1163</v>
      </c>
      <c r="E169" s="247" t="s">
        <v>1164</v>
      </c>
      <c r="F169" s="247" t="s">
        <v>1165</v>
      </c>
      <c r="G169" s="134">
        <v>255000</v>
      </c>
      <c r="I169" t="s">
        <v>274</v>
      </c>
      <c r="J169" t="s">
        <v>860</v>
      </c>
      <c r="K169" s="247" t="s">
        <v>1166</v>
      </c>
      <c r="L169" s="205">
        <v>45.692034999999997</v>
      </c>
      <c r="M169" s="205">
        <v>-72.034610000000001</v>
      </c>
      <c r="N169" s="211">
        <v>36.89</v>
      </c>
      <c r="O169" t="s">
        <v>18</v>
      </c>
      <c r="P169" t="s">
        <v>173</v>
      </c>
      <c r="Q169" s="199">
        <v>36.89</v>
      </c>
      <c r="S169" s="94" t="s">
        <v>20</v>
      </c>
      <c r="T169" s="222">
        <v>0.6</v>
      </c>
      <c r="U169" s="222">
        <v>0.4</v>
      </c>
      <c r="V169" s="222">
        <v>0.65</v>
      </c>
      <c r="AF169" t="s">
        <v>1167</v>
      </c>
      <c r="AH169" s="49">
        <f>Table2[[#This Row],[Prix de vente ($)]]/Table2[[#This Row],[Superficie totale (ha)]]</f>
        <v>6912.442396313364</v>
      </c>
    </row>
    <row r="170" spans="1:36" ht="39" customHeight="1">
      <c r="A170" s="196">
        <v>27816856</v>
      </c>
      <c r="C170" s="318">
        <v>44949</v>
      </c>
      <c r="D170" t="s">
        <v>1168</v>
      </c>
      <c r="E170" t="s">
        <v>1169</v>
      </c>
      <c r="F170" t="s">
        <v>1170</v>
      </c>
      <c r="G170" s="134">
        <v>245000</v>
      </c>
      <c r="I170" t="s">
        <v>1171</v>
      </c>
      <c r="J170" t="s">
        <v>1172</v>
      </c>
      <c r="K170" t="s">
        <v>1173</v>
      </c>
      <c r="L170" s="205">
        <v>45.773274999999998</v>
      </c>
      <c r="M170" s="205">
        <v>-71.635620000000003</v>
      </c>
      <c r="N170" s="211">
        <v>42.82</v>
      </c>
      <c r="O170" t="s">
        <v>18</v>
      </c>
      <c r="P170" t="s">
        <v>19</v>
      </c>
      <c r="Q170" s="199">
        <v>42.82</v>
      </c>
      <c r="S170" s="94" t="s">
        <v>310</v>
      </c>
      <c r="T170" s="222">
        <v>0.15</v>
      </c>
      <c r="U170" s="222">
        <v>0.85</v>
      </c>
      <c r="V170" s="222">
        <v>0.7</v>
      </c>
      <c r="AH170" s="49">
        <f>Table2[[#This Row],[Prix de vente ($)]]/Table2[[#This Row],[Superficie totale (ha)]]</f>
        <v>5721.6254086875288</v>
      </c>
    </row>
    <row r="171" spans="1:36" ht="39" customHeight="1">
      <c r="A171" s="196">
        <v>27826717</v>
      </c>
      <c r="C171" s="318">
        <v>44953</v>
      </c>
      <c r="D171" s="247" t="s">
        <v>1174</v>
      </c>
      <c r="E171" s="247" t="s">
        <v>1175</v>
      </c>
      <c r="F171" s="247" t="s">
        <v>1176</v>
      </c>
      <c r="G171" s="134">
        <v>160000</v>
      </c>
      <c r="I171" t="s">
        <v>1177</v>
      </c>
      <c r="J171" t="s">
        <v>1178</v>
      </c>
      <c r="N171" s="211">
        <v>4.67</v>
      </c>
      <c r="O171" t="s">
        <v>18</v>
      </c>
      <c r="P171" t="s">
        <v>1179</v>
      </c>
      <c r="Q171" s="211">
        <v>4.67</v>
      </c>
      <c r="S171" s="94" t="s">
        <v>20</v>
      </c>
      <c r="T171" s="222">
        <v>0.9</v>
      </c>
      <c r="U171" s="222">
        <v>0.1</v>
      </c>
      <c r="V171" s="222">
        <v>0.85</v>
      </c>
      <c r="AC171" s="63">
        <v>3.7</v>
      </c>
      <c r="AH171" s="49">
        <f>Table2[[#This Row],[Prix de vente ($)]]/Table2[[#This Row],[Superficie totale (ha)]]</f>
        <v>34261.241970021416</v>
      </c>
    </row>
    <row r="172" spans="1:36" ht="39" customHeight="1">
      <c r="A172" s="190">
        <v>27832980</v>
      </c>
      <c r="B172" s="43"/>
      <c r="C172" s="148">
        <v>44953</v>
      </c>
      <c r="D172" s="55" t="s">
        <v>1180</v>
      </c>
      <c r="E172" s="54" t="s">
        <v>1181</v>
      </c>
      <c r="F172" s="54">
        <v>4219975</v>
      </c>
      <c r="G172" s="52">
        <v>50000</v>
      </c>
      <c r="H172" s="43"/>
      <c r="I172" s="43" t="s">
        <v>49</v>
      </c>
      <c r="J172" s="43" t="s">
        <v>1182</v>
      </c>
      <c r="K172" s="43" t="s">
        <v>1183</v>
      </c>
      <c r="L172" s="202" t="s">
        <v>1184</v>
      </c>
      <c r="M172" s="202" t="s">
        <v>1185</v>
      </c>
      <c r="N172" s="144">
        <v>7.08</v>
      </c>
      <c r="O172" s="43" t="s">
        <v>18</v>
      </c>
      <c r="P172" s="47"/>
      <c r="Q172" s="139">
        <v>7.08</v>
      </c>
      <c r="R172" s="43"/>
      <c r="S172" s="1"/>
      <c r="T172" s="217"/>
      <c r="U172" s="217"/>
      <c r="V172" s="217"/>
      <c r="W172" s="487"/>
      <c r="X172" s="217"/>
      <c r="Y172" s="43"/>
      <c r="Z172" s="46"/>
      <c r="AA172" s="43"/>
      <c r="AB172" s="43"/>
      <c r="AC172" s="46">
        <v>2.8</v>
      </c>
      <c r="AD172" s="53"/>
      <c r="AE172" s="48"/>
      <c r="AF172" s="37"/>
      <c r="AG172" s="47"/>
      <c r="AH172" s="49">
        <f>Table2[[#This Row],[Prix de vente ($)]]/Table2[[#This Row],[Superficie totale (ha)]]</f>
        <v>7062.1468926553671</v>
      </c>
      <c r="AI172" s="49" t="e">
        <f>Bois!$G45/Bois!$AD45</f>
        <v>#DIV/0!</v>
      </c>
    </row>
    <row r="173" spans="1:36" ht="39" customHeight="1">
      <c r="A173" s="187">
        <v>27839472</v>
      </c>
      <c r="B173" s="43"/>
      <c r="C173" s="148">
        <v>44953</v>
      </c>
      <c r="D173" s="37" t="s">
        <v>1186</v>
      </c>
      <c r="E173" s="37" t="s">
        <v>1187</v>
      </c>
      <c r="F173" s="45">
        <v>5745568</v>
      </c>
      <c r="G173" s="15">
        <v>5000</v>
      </c>
      <c r="H173" s="43"/>
      <c r="I173" s="43" t="s">
        <v>170</v>
      </c>
      <c r="J173" s="43" t="s">
        <v>171</v>
      </c>
      <c r="K173" s="43"/>
      <c r="L173" s="151">
        <v>49.0094584</v>
      </c>
      <c r="M173" s="155">
        <v>-68.489559999999997</v>
      </c>
      <c r="N173" s="144">
        <v>40</v>
      </c>
      <c r="O173" s="43" t="s">
        <v>25</v>
      </c>
      <c r="P173" s="47" t="s">
        <v>35</v>
      </c>
      <c r="Q173" s="144">
        <v>40</v>
      </c>
      <c r="R173" s="43">
        <v>0</v>
      </c>
      <c r="S173" s="16" t="s">
        <v>310</v>
      </c>
      <c r="T173" s="215">
        <v>0.1</v>
      </c>
      <c r="U173" s="215">
        <v>0.9</v>
      </c>
      <c r="V173" s="215"/>
      <c r="W173" s="485"/>
      <c r="X173" s="215"/>
      <c r="Y173" s="43"/>
      <c r="Z173" s="46"/>
      <c r="AA173" s="43"/>
      <c r="AB173" s="43"/>
      <c r="AC173" s="46">
        <v>0</v>
      </c>
      <c r="AD173" s="17"/>
      <c r="AE173" s="48"/>
      <c r="AF173" s="37" t="s">
        <v>1188</v>
      </c>
      <c r="AG173" s="47"/>
      <c r="AH173" s="49">
        <f>Table2[[#This Row],[Prix de vente ($)]]/Table2[[#This Row],[Superficie totale (ha)]]</f>
        <v>125</v>
      </c>
      <c r="AI173" s="49"/>
      <c r="AJ173" s="80"/>
    </row>
    <row r="174" spans="1:36" ht="39" customHeight="1">
      <c r="A174" s="187">
        <v>27908462</v>
      </c>
      <c r="B174" s="43"/>
      <c r="C174" s="148">
        <v>44954</v>
      </c>
      <c r="D174" s="37" t="s">
        <v>1189</v>
      </c>
      <c r="E174" s="37" t="s">
        <v>1190</v>
      </c>
      <c r="F174" s="43" t="s">
        <v>1191</v>
      </c>
      <c r="G174" s="15">
        <v>360000</v>
      </c>
      <c r="H174" s="43"/>
      <c r="I174" s="43" t="s">
        <v>1192</v>
      </c>
      <c r="J174" s="43" t="s">
        <v>48</v>
      </c>
      <c r="K174" s="43" t="s">
        <v>1193</v>
      </c>
      <c r="L174" s="151" t="s">
        <v>1194</v>
      </c>
      <c r="M174" s="155" t="s">
        <v>1195</v>
      </c>
      <c r="N174" s="144">
        <v>23.94</v>
      </c>
      <c r="O174" s="43" t="s">
        <v>18</v>
      </c>
      <c r="P174" s="47" t="s">
        <v>26</v>
      </c>
      <c r="Q174" s="144">
        <v>23.74</v>
      </c>
      <c r="R174" s="43"/>
      <c r="S174" s="16" t="s">
        <v>20</v>
      </c>
      <c r="T174" s="215">
        <v>0.8</v>
      </c>
      <c r="U174" s="215">
        <v>0.2</v>
      </c>
      <c r="V174" s="215"/>
      <c r="W174" s="485"/>
      <c r="X174" s="215"/>
      <c r="Y174" s="43"/>
      <c r="Z174" s="46"/>
      <c r="AA174" s="43"/>
      <c r="AB174" s="43"/>
      <c r="AC174" s="46">
        <v>20</v>
      </c>
      <c r="AD174" s="17"/>
      <c r="AE174" s="48"/>
      <c r="AF174" s="37"/>
      <c r="AG174" s="47"/>
      <c r="AH174" s="49">
        <f>Table2[[#This Row],[Prix de vente ($)]]/Table2[[#This Row],[Superficie totale (ha)]]</f>
        <v>15037.593984962405</v>
      </c>
      <c r="AI174" s="43"/>
    </row>
    <row r="175" spans="1:36" ht="39" customHeight="1">
      <c r="A175" s="196">
        <v>27833562</v>
      </c>
      <c r="C175" s="318">
        <v>44958</v>
      </c>
      <c r="D175" s="247" t="s">
        <v>1196</v>
      </c>
      <c r="E175" s="247" t="s">
        <v>1197</v>
      </c>
      <c r="F175" s="247" t="s">
        <v>1198</v>
      </c>
      <c r="G175" s="93">
        <v>20000</v>
      </c>
      <c r="I175" t="s">
        <v>408</v>
      </c>
      <c r="J175" t="s">
        <v>1199</v>
      </c>
      <c r="L175" s="205">
        <v>45.865122999999997</v>
      </c>
      <c r="M175" s="205">
        <v>-72.142948000000004</v>
      </c>
      <c r="N175" s="211">
        <v>3.16</v>
      </c>
      <c r="O175" t="s">
        <v>18</v>
      </c>
      <c r="P175" t="s">
        <v>35</v>
      </c>
      <c r="Q175" s="211">
        <v>3.16</v>
      </c>
      <c r="S175" s="94" t="s">
        <v>62</v>
      </c>
      <c r="T175" s="222">
        <v>0.75</v>
      </c>
      <c r="U175" s="222">
        <v>0.25</v>
      </c>
      <c r="V175" s="222">
        <v>0.85</v>
      </c>
      <c r="AC175" s="63">
        <v>1.5</v>
      </c>
      <c r="AF175" t="s">
        <v>1200</v>
      </c>
      <c r="AH175" s="49">
        <f>Table2[[#This Row],[Prix de vente ($)]]/Table2[[#This Row],[Superficie totale (ha)]]</f>
        <v>6329.1139240506327</v>
      </c>
    </row>
    <row r="176" spans="1:36" ht="39" customHeight="1">
      <c r="A176" s="187">
        <v>27853101</v>
      </c>
      <c r="C176" s="148">
        <v>44958</v>
      </c>
      <c r="D176" s="37" t="s">
        <v>1201</v>
      </c>
      <c r="E176" s="37" t="s">
        <v>1202</v>
      </c>
      <c r="F176" s="45" t="s">
        <v>1203</v>
      </c>
      <c r="G176" s="52">
        <v>250000</v>
      </c>
      <c r="H176" s="43"/>
      <c r="I176" s="43" t="s">
        <v>610</v>
      </c>
      <c r="J176" s="43" t="s">
        <v>611</v>
      </c>
      <c r="K176" s="43" t="s">
        <v>1204</v>
      </c>
      <c r="L176" s="143" t="s">
        <v>1205</v>
      </c>
      <c r="M176" s="143" t="s">
        <v>1206</v>
      </c>
      <c r="N176" s="144">
        <f>15.53</f>
        <v>15.53</v>
      </c>
      <c r="O176" s="43" t="s">
        <v>18</v>
      </c>
      <c r="P176" s="47" t="s">
        <v>206</v>
      </c>
      <c r="Q176" s="139">
        <f>12.4</f>
        <v>12.4</v>
      </c>
      <c r="R176" s="43">
        <f>3.1</f>
        <v>3.1</v>
      </c>
      <c r="S176" s="43" t="s">
        <v>20</v>
      </c>
      <c r="T176" s="215">
        <v>0.9</v>
      </c>
      <c r="U176" s="215">
        <v>0.1</v>
      </c>
      <c r="V176" s="144" t="s">
        <v>1207</v>
      </c>
      <c r="W176" s="139"/>
      <c r="X176" s="144"/>
      <c r="Y176" s="2"/>
      <c r="Z176" s="43"/>
      <c r="AA176" s="87"/>
      <c r="AB176" s="87"/>
      <c r="AC176" s="46">
        <f>10.7</f>
        <v>10.7</v>
      </c>
      <c r="AD176" s="3"/>
      <c r="AE176" s="46"/>
      <c r="AF176" s="1"/>
      <c r="AG176" s="43" t="s">
        <v>1208</v>
      </c>
      <c r="AH176" s="49">
        <f>Table2[[#This Row],[Prix de vente ($)]]/Table2[[#This Row],[Superficie totale (ha)]]</f>
        <v>16097.875080489375</v>
      </c>
      <c r="AI176" s="43"/>
      <c r="AJ176" s="43"/>
    </row>
    <row r="177" spans="1:36" ht="39" customHeight="1">
      <c r="A177" s="196">
        <v>27836684</v>
      </c>
      <c r="C177" s="318">
        <v>44959</v>
      </c>
      <c r="D177" t="s">
        <v>1209</v>
      </c>
      <c r="E177" t="s">
        <v>1210</v>
      </c>
      <c r="F177" s="269">
        <v>4765991</v>
      </c>
      <c r="G177" s="134">
        <v>116000</v>
      </c>
      <c r="I177" t="s">
        <v>53</v>
      </c>
      <c r="J177" t="s">
        <v>55</v>
      </c>
      <c r="K177" t="s">
        <v>1211</v>
      </c>
      <c r="L177" s="205" t="s">
        <v>1212</v>
      </c>
      <c r="M177" s="270" t="s">
        <v>1213</v>
      </c>
      <c r="N177" s="211">
        <v>46.84</v>
      </c>
      <c r="O177" t="s">
        <v>18</v>
      </c>
      <c r="P177" t="s">
        <v>63</v>
      </c>
      <c r="S177" s="94" t="s">
        <v>102</v>
      </c>
      <c r="T177" s="222">
        <v>0.4</v>
      </c>
      <c r="U177" s="222">
        <v>0.6</v>
      </c>
      <c r="V177" s="222" t="s">
        <v>1214</v>
      </c>
      <c r="AC177" s="63">
        <v>10.1</v>
      </c>
      <c r="AF177" t="s">
        <v>1215</v>
      </c>
      <c r="AH177" s="49">
        <f>Table2[[#This Row],[Prix de vente ($)]]/Table2[[#This Row],[Superficie totale (ha)]]</f>
        <v>2476.5157984628522</v>
      </c>
    </row>
    <row r="178" spans="1:36" ht="39" customHeight="1">
      <c r="A178" s="187">
        <v>27839820</v>
      </c>
      <c r="B178" s="43"/>
      <c r="C178" s="148">
        <v>44960</v>
      </c>
      <c r="D178" s="37" t="s">
        <v>892</v>
      </c>
      <c r="E178" s="37" t="s">
        <v>1216</v>
      </c>
      <c r="F178" s="43">
        <v>4542062</v>
      </c>
      <c r="G178" s="52">
        <v>40000</v>
      </c>
      <c r="H178" s="43"/>
      <c r="I178" s="43" t="s">
        <v>627</v>
      </c>
      <c r="J178" s="43" t="s">
        <v>628</v>
      </c>
      <c r="K178" s="43" t="s">
        <v>1217</v>
      </c>
      <c r="L178" s="142" t="s">
        <v>1218</v>
      </c>
      <c r="M178" s="142" t="s">
        <v>1219</v>
      </c>
      <c r="N178" s="144">
        <v>29.53</v>
      </c>
      <c r="O178" s="43" t="s">
        <v>25</v>
      </c>
      <c r="P178" s="47" t="s">
        <v>317</v>
      </c>
      <c r="Q178" s="144">
        <f>Bois!$N46</f>
        <v>19.02</v>
      </c>
      <c r="R178" s="43"/>
      <c r="S178" s="1" t="s">
        <v>1220</v>
      </c>
      <c r="T178" s="217"/>
      <c r="U178" s="217"/>
      <c r="V178" s="217"/>
      <c r="W178" s="487"/>
      <c r="X178" s="217"/>
      <c r="Y178" s="43"/>
      <c r="Z178" s="46"/>
      <c r="AA178" s="43"/>
      <c r="AB178" s="43"/>
      <c r="AC178" s="46"/>
      <c r="AD178" s="53"/>
      <c r="AE178" s="48"/>
      <c r="AF178" s="37"/>
      <c r="AG178" s="47"/>
      <c r="AH178" s="49">
        <f>Table2[[#This Row],[Prix de vente ($)]]/Table2[[#This Row],[Superficie totale (ha)]]</f>
        <v>1354.5546901456146</v>
      </c>
      <c r="AI178" s="49" t="e">
        <f>Bois!$G46/Bois!$AD46</f>
        <v>#DIV/0!</v>
      </c>
    </row>
    <row r="179" spans="1:36" ht="39" customHeight="1">
      <c r="A179" s="196">
        <v>27843955</v>
      </c>
      <c r="C179" s="318">
        <v>44964</v>
      </c>
      <c r="D179" s="265" t="s">
        <v>1221</v>
      </c>
      <c r="E179" s="265" t="s">
        <v>1222</v>
      </c>
      <c r="F179" s="265" t="s">
        <v>1223</v>
      </c>
      <c r="G179" s="134">
        <v>300000</v>
      </c>
      <c r="I179" t="s">
        <v>1177</v>
      </c>
      <c r="J179" t="s">
        <v>1224</v>
      </c>
      <c r="L179" s="205">
        <v>45.451338</v>
      </c>
      <c r="M179" s="205">
        <v>-74.301494000000005</v>
      </c>
      <c r="N179" s="211">
        <v>20.23</v>
      </c>
      <c r="O179" t="s">
        <v>25</v>
      </c>
      <c r="P179" t="s">
        <v>384</v>
      </c>
      <c r="Q179" s="211">
        <v>20.23</v>
      </c>
      <c r="S179" s="94" t="s">
        <v>20</v>
      </c>
      <c r="T179" s="222">
        <v>1</v>
      </c>
      <c r="U179" s="222">
        <v>0</v>
      </c>
      <c r="V179" s="222">
        <v>0.95</v>
      </c>
      <c r="AC179" s="63">
        <v>14.5</v>
      </c>
      <c r="AF179" t="s">
        <v>1225</v>
      </c>
      <c r="AH179" s="49">
        <f>Table2[[#This Row],[Prix de vente ($)]]/Table2[[#This Row],[Superficie totale (ha)]]</f>
        <v>14829.461196243203</v>
      </c>
    </row>
    <row r="180" spans="1:36" ht="39" customHeight="1">
      <c r="A180" s="187">
        <v>27847804</v>
      </c>
      <c r="B180" s="43"/>
      <c r="C180" s="148">
        <v>44966</v>
      </c>
      <c r="D180" s="37" t="s">
        <v>1226</v>
      </c>
      <c r="E180" s="37" t="s">
        <v>1227</v>
      </c>
      <c r="F180" s="43">
        <v>6478692</v>
      </c>
      <c r="G180" s="15">
        <v>40600</v>
      </c>
      <c r="H180" s="43"/>
      <c r="I180" s="43" t="s">
        <v>627</v>
      </c>
      <c r="J180" s="43" t="s">
        <v>628</v>
      </c>
      <c r="K180" s="43" t="s">
        <v>1228</v>
      </c>
      <c r="L180" s="151" t="s">
        <v>1229</v>
      </c>
      <c r="M180" s="151" t="s">
        <v>1230</v>
      </c>
      <c r="N180" s="144">
        <v>18.02</v>
      </c>
      <c r="O180" s="43" t="s">
        <v>25</v>
      </c>
      <c r="P180" s="47" t="s">
        <v>63</v>
      </c>
      <c r="Q180" s="144">
        <v>18.02</v>
      </c>
      <c r="R180" s="43"/>
      <c r="S180" s="16" t="s">
        <v>20</v>
      </c>
      <c r="T180" s="215"/>
      <c r="U180" s="215"/>
      <c r="V180" s="215"/>
      <c r="W180" s="485"/>
      <c r="X180" s="215"/>
      <c r="Y180" s="43"/>
      <c r="Z180" s="46"/>
      <c r="AA180" s="43"/>
      <c r="AB180" s="43"/>
      <c r="AC180" s="46"/>
      <c r="AD180" s="17"/>
      <c r="AE180" s="48"/>
      <c r="AF180" s="37"/>
      <c r="AG180" s="47"/>
      <c r="AH180" s="49">
        <f>Table2[[#This Row],[Prix de vente ($)]]/Table2[[#This Row],[Superficie totale (ha)]]</f>
        <v>2253.0521642619315</v>
      </c>
      <c r="AI180" s="49" t="e">
        <f>Bois!$G47/Bois!$AD47</f>
        <v>#DIV/0!</v>
      </c>
    </row>
    <row r="181" spans="1:36" ht="39" customHeight="1">
      <c r="A181" s="187">
        <v>27862379</v>
      </c>
      <c r="B181" s="43"/>
      <c r="C181" s="148">
        <v>44974</v>
      </c>
      <c r="D181" s="37" t="s">
        <v>1231</v>
      </c>
      <c r="E181" s="37" t="s">
        <v>1232</v>
      </c>
      <c r="F181" s="45" t="s">
        <v>1233</v>
      </c>
      <c r="G181" s="15">
        <v>80000</v>
      </c>
      <c r="H181" s="43"/>
      <c r="I181" s="43" t="s">
        <v>230</v>
      </c>
      <c r="J181" s="43" t="s">
        <v>1234</v>
      </c>
      <c r="K181" s="43" t="s">
        <v>1235</v>
      </c>
      <c r="L181" s="151" t="s">
        <v>1236</v>
      </c>
      <c r="M181" s="155" t="s">
        <v>1237</v>
      </c>
      <c r="N181" s="144">
        <v>7.75</v>
      </c>
      <c r="O181" s="43" t="s">
        <v>25</v>
      </c>
      <c r="P181" s="47" t="s">
        <v>26</v>
      </c>
      <c r="Q181" s="144">
        <v>7.75</v>
      </c>
      <c r="R181" s="43">
        <v>0</v>
      </c>
      <c r="S181" s="16" t="s">
        <v>20</v>
      </c>
      <c r="T181" s="215">
        <v>0.9</v>
      </c>
      <c r="U181" s="215">
        <v>0.1</v>
      </c>
      <c r="V181" s="215"/>
      <c r="W181" s="485"/>
      <c r="X181" s="215"/>
      <c r="Y181" s="43"/>
      <c r="Z181" s="46"/>
      <c r="AA181" s="43"/>
      <c r="AB181" s="43"/>
      <c r="AC181" s="46">
        <v>5.08</v>
      </c>
      <c r="AD181" s="17"/>
      <c r="AE181" s="48"/>
      <c r="AF181" s="37" t="s">
        <v>561</v>
      </c>
      <c r="AG181" s="47"/>
      <c r="AH181" s="49">
        <f>Table2[[#This Row],[Prix de vente ($)]]/Table2[[#This Row],[Superficie totale (ha)]]</f>
        <v>10322.58064516129</v>
      </c>
      <c r="AI181" s="49"/>
    </row>
    <row r="182" spans="1:36" ht="39" customHeight="1">
      <c r="A182" s="191">
        <v>27862932</v>
      </c>
      <c r="B182" s="43"/>
      <c r="C182" s="148">
        <v>44974</v>
      </c>
      <c r="D182" s="37" t="s">
        <v>1238</v>
      </c>
      <c r="E182" s="37" t="s">
        <v>1239</v>
      </c>
      <c r="F182" s="34" t="s">
        <v>1240</v>
      </c>
      <c r="G182" s="52">
        <v>25000</v>
      </c>
      <c r="H182" s="43"/>
      <c r="I182" s="34" t="s">
        <v>258</v>
      </c>
      <c r="J182" s="43" t="s">
        <v>1241</v>
      </c>
      <c r="K182" s="43" t="s">
        <v>1242</v>
      </c>
      <c r="L182" s="142" t="s">
        <v>1243</v>
      </c>
      <c r="M182" s="142" t="s">
        <v>1244</v>
      </c>
      <c r="N182" s="144">
        <f>(147487.406+13184.7)/10000</f>
        <v>16.067210599999999</v>
      </c>
      <c r="O182" s="43" t="s">
        <v>25</v>
      </c>
      <c r="P182" s="47" t="s">
        <v>19</v>
      </c>
      <c r="Q182" s="144">
        <f>Bois!$N48</f>
        <v>124.24000000000001</v>
      </c>
      <c r="R182" s="43"/>
      <c r="S182" s="1" t="s">
        <v>212</v>
      </c>
      <c r="T182" s="217"/>
      <c r="U182" s="217"/>
      <c r="V182" s="217"/>
      <c r="W182" s="487"/>
      <c r="X182" s="217"/>
      <c r="Y182" s="43"/>
      <c r="Z182" s="46"/>
      <c r="AA182" s="43"/>
      <c r="AB182" s="43"/>
      <c r="AC182" s="46"/>
      <c r="AD182" s="53"/>
      <c r="AE182" s="48"/>
      <c r="AF182" s="37" t="s">
        <v>1245</v>
      </c>
      <c r="AG182" s="47"/>
      <c r="AH182" s="49">
        <f>Table2[[#This Row],[Prix de vente ($)]]/Table2[[#This Row],[Superficie totale (ha)]]</f>
        <v>1555.9639207069335</v>
      </c>
      <c r="AI182" s="49" t="e">
        <f>Bois!$G48/Bois!$AD48</f>
        <v>#DIV/0!</v>
      </c>
      <c r="AJ182" s="47"/>
    </row>
    <row r="183" spans="1:36" ht="39" customHeight="1">
      <c r="A183" s="196">
        <v>27862730</v>
      </c>
      <c r="C183" s="318">
        <v>44974</v>
      </c>
      <c r="D183" s="265" t="s">
        <v>1246</v>
      </c>
      <c r="E183" s="265" t="s">
        <v>1247</v>
      </c>
      <c r="F183" s="272" t="s">
        <v>1248</v>
      </c>
      <c r="G183" s="93">
        <v>330000</v>
      </c>
      <c r="I183" t="s">
        <v>29</v>
      </c>
      <c r="J183" t="s">
        <v>1249</v>
      </c>
      <c r="L183" s="205">
        <v>46.842061000000001</v>
      </c>
      <c r="M183" s="270" t="s">
        <v>1250</v>
      </c>
      <c r="N183" s="211">
        <v>101.48</v>
      </c>
      <c r="O183" t="s">
        <v>25</v>
      </c>
      <c r="P183" t="s">
        <v>317</v>
      </c>
      <c r="Q183" s="211">
        <v>101.48</v>
      </c>
      <c r="S183" s="94" t="s">
        <v>62</v>
      </c>
      <c r="T183" s="222">
        <v>0.6</v>
      </c>
      <c r="U183" s="222">
        <v>0.4</v>
      </c>
      <c r="V183" s="222">
        <v>0.75</v>
      </c>
      <c r="AC183" s="63">
        <v>1.1000000000000001</v>
      </c>
      <c r="AF183" t="s">
        <v>1251</v>
      </c>
      <c r="AH183" s="49">
        <f>Table2[[#This Row],[Prix de vente ($)]]/Table2[[#This Row],[Superficie totale (ha)]]</f>
        <v>3251.8722901064248</v>
      </c>
    </row>
    <row r="184" spans="1:36" ht="39" customHeight="1">
      <c r="A184" s="187">
        <v>27951068</v>
      </c>
      <c r="B184" s="43"/>
      <c r="C184" s="148">
        <v>44976</v>
      </c>
      <c r="D184" s="37" t="s">
        <v>1252</v>
      </c>
      <c r="E184" s="37" t="s">
        <v>1253</v>
      </c>
      <c r="F184" s="43">
        <v>5286661</v>
      </c>
      <c r="G184" s="52">
        <v>165000</v>
      </c>
      <c r="H184" s="43"/>
      <c r="I184" s="43" t="s">
        <v>274</v>
      </c>
      <c r="J184" s="43" t="s">
        <v>275</v>
      </c>
      <c r="K184" s="43" t="s">
        <v>1254</v>
      </c>
      <c r="L184" s="142" t="s">
        <v>1255</v>
      </c>
      <c r="M184" s="142" t="s">
        <v>1256</v>
      </c>
      <c r="N184" s="144">
        <v>22.2</v>
      </c>
      <c r="O184" s="43" t="s">
        <v>18</v>
      </c>
      <c r="P184" s="47" t="s">
        <v>63</v>
      </c>
      <c r="Q184" s="139">
        <v>22.2</v>
      </c>
      <c r="R184" s="43"/>
      <c r="S184" s="1" t="s">
        <v>20</v>
      </c>
      <c r="T184" s="217">
        <v>1</v>
      </c>
      <c r="U184" s="217">
        <v>0</v>
      </c>
      <c r="V184" s="217">
        <v>0.85</v>
      </c>
      <c r="W184" s="487"/>
      <c r="X184" s="217"/>
      <c r="Y184" s="43"/>
      <c r="Z184" s="46"/>
      <c r="AA184" s="43"/>
      <c r="AB184" s="43"/>
      <c r="AC184" s="46"/>
      <c r="AD184" s="53"/>
      <c r="AE184" s="48"/>
      <c r="AF184" s="37" t="s">
        <v>445</v>
      </c>
      <c r="AG184" s="47"/>
      <c r="AH184" s="49">
        <f>Table2[[#This Row],[Prix de vente ($)]]/Table2[[#This Row],[Superficie totale (ha)]]</f>
        <v>7432.4324324324325</v>
      </c>
      <c r="AI184" s="49" t="e">
        <f>Bois!$G49/Bois!$AD49</f>
        <v>#DIV/0!</v>
      </c>
    </row>
    <row r="185" spans="1:36" ht="39" customHeight="1">
      <c r="A185" s="196">
        <v>27863867</v>
      </c>
      <c r="C185" s="318">
        <v>44977</v>
      </c>
      <c r="D185" s="249" t="s">
        <v>1257</v>
      </c>
      <c r="E185" t="s">
        <v>1258</v>
      </c>
      <c r="F185" s="249" t="s">
        <v>1259</v>
      </c>
      <c r="G185" s="134">
        <v>100000</v>
      </c>
      <c r="I185" t="s">
        <v>1177</v>
      </c>
      <c r="J185" t="s">
        <v>1260</v>
      </c>
      <c r="L185" s="205">
        <v>45.402405999999999</v>
      </c>
      <c r="M185" s="205">
        <v>-74.176689999999994</v>
      </c>
      <c r="N185" s="211">
        <v>19.96</v>
      </c>
      <c r="O185" t="s">
        <v>25</v>
      </c>
      <c r="P185" t="s">
        <v>384</v>
      </c>
      <c r="Q185" s="211">
        <v>19.96</v>
      </c>
      <c r="S185" s="94" t="s">
        <v>310</v>
      </c>
      <c r="T185" s="222">
        <v>35</v>
      </c>
      <c r="U185" s="222">
        <v>0.65</v>
      </c>
      <c r="V185" s="222">
        <v>0.85</v>
      </c>
      <c r="AC185" s="63">
        <v>9.1999999999999993</v>
      </c>
      <c r="AH185" s="49">
        <f>Table2[[#This Row],[Prix de vente ($)]]/Table2[[#This Row],[Superficie totale (ha)]]</f>
        <v>5010.0200400801605</v>
      </c>
      <c r="AJ185" s="47"/>
    </row>
    <row r="186" spans="1:36" ht="39" customHeight="1">
      <c r="A186" s="196">
        <v>27984011</v>
      </c>
      <c r="C186" s="318">
        <v>44979</v>
      </c>
      <c r="D186" t="s">
        <v>1261</v>
      </c>
      <c r="E186" t="s">
        <v>1262</v>
      </c>
      <c r="F186" t="s">
        <v>1263</v>
      </c>
      <c r="G186" s="134">
        <v>200000</v>
      </c>
      <c r="I186" t="s">
        <v>1264</v>
      </c>
      <c r="J186" t="s">
        <v>1265</v>
      </c>
      <c r="K186" s="20" t="s">
        <v>1266</v>
      </c>
      <c r="L186" s="205">
        <v>45.691701000000002</v>
      </c>
      <c r="M186" s="205">
        <v>-74.180080000000004</v>
      </c>
      <c r="N186" s="211">
        <v>30.17</v>
      </c>
      <c r="O186" t="s">
        <v>25</v>
      </c>
      <c r="P186" t="s">
        <v>173</v>
      </c>
      <c r="Q186" s="199">
        <v>30.17</v>
      </c>
      <c r="S186" s="94" t="s">
        <v>20</v>
      </c>
      <c r="T186" s="222">
        <v>0.95</v>
      </c>
      <c r="U186" s="222">
        <v>0.05</v>
      </c>
      <c r="V186" s="222">
        <v>0.85</v>
      </c>
      <c r="AF186" t="s">
        <v>1267</v>
      </c>
      <c r="AH186" s="49">
        <f>Table2[[#This Row],[Prix de vente ($)]]/Table2[[#This Row],[Superficie totale (ha)]]</f>
        <v>6629.1017567119652</v>
      </c>
      <c r="AJ186" s="47"/>
    </row>
    <row r="187" spans="1:36" ht="39" customHeight="1">
      <c r="A187" s="196" t="s">
        <v>1268</v>
      </c>
      <c r="C187" s="318">
        <v>44981</v>
      </c>
      <c r="F187" t="s">
        <v>1269</v>
      </c>
      <c r="G187" s="93">
        <v>40000</v>
      </c>
      <c r="I187" t="s">
        <v>50</v>
      </c>
      <c r="N187" s="369">
        <v>9.89</v>
      </c>
      <c r="AC187" s="50">
        <v>3.7</v>
      </c>
      <c r="AH187" s="49"/>
    </row>
    <row r="188" spans="1:36" ht="39" customHeight="1">
      <c r="A188" s="187">
        <v>27881692</v>
      </c>
      <c r="B188" s="43"/>
      <c r="C188" s="148">
        <v>44986</v>
      </c>
      <c r="D188" s="37" t="s">
        <v>1270</v>
      </c>
      <c r="E188" s="37" t="s">
        <v>1271</v>
      </c>
      <c r="F188" s="45" t="s">
        <v>1272</v>
      </c>
      <c r="G188" s="15">
        <v>50000</v>
      </c>
      <c r="H188" s="43"/>
      <c r="I188" s="43" t="s">
        <v>74</v>
      </c>
      <c r="J188" s="43" t="s">
        <v>1273</v>
      </c>
      <c r="K188" s="43" t="s">
        <v>1274</v>
      </c>
      <c r="L188" s="151" t="s">
        <v>1275</v>
      </c>
      <c r="M188" s="155" t="s">
        <v>1276</v>
      </c>
      <c r="N188" s="144">
        <v>10.94</v>
      </c>
      <c r="O188" s="43" t="s">
        <v>18</v>
      </c>
      <c r="P188" s="47" t="s">
        <v>19</v>
      </c>
      <c r="Q188" s="144">
        <v>10.94</v>
      </c>
      <c r="R188" s="43">
        <v>0</v>
      </c>
      <c r="S188" s="16" t="s">
        <v>20</v>
      </c>
      <c r="T188" s="215">
        <v>0.9</v>
      </c>
      <c r="U188" s="215">
        <v>0.1</v>
      </c>
      <c r="V188" s="215"/>
      <c r="W188" s="485"/>
      <c r="X188" s="215"/>
      <c r="Y188" s="43"/>
      <c r="Z188" s="46"/>
      <c r="AA188" s="43"/>
      <c r="AB188" s="43"/>
      <c r="AC188" s="46">
        <v>9.6</v>
      </c>
      <c r="AD188" s="17"/>
      <c r="AE188" s="48"/>
      <c r="AF188" s="37" t="s">
        <v>126</v>
      </c>
      <c r="AG188" s="47"/>
      <c r="AH188" s="49">
        <f>Table2[[#This Row],[Prix de vente ($)]]/Table2[[#This Row],[Superficie totale (ha)]]</f>
        <v>4570.3839122486288</v>
      </c>
      <c r="AI188" s="43"/>
    </row>
    <row r="189" spans="1:36" ht="39" customHeight="1">
      <c r="A189" s="187">
        <v>27840800</v>
      </c>
      <c r="B189" s="45"/>
      <c r="C189" s="148">
        <v>44987</v>
      </c>
      <c r="D189" s="37" t="s">
        <v>1277</v>
      </c>
      <c r="E189" s="37" t="s">
        <v>1278</v>
      </c>
      <c r="F189" s="45">
        <v>3259838</v>
      </c>
      <c r="G189" s="15">
        <v>19000</v>
      </c>
      <c r="H189" s="43"/>
      <c r="I189" s="43" t="s">
        <v>16</v>
      </c>
      <c r="J189" s="43" t="s">
        <v>1279</v>
      </c>
      <c r="K189" s="43" t="s">
        <v>1280</v>
      </c>
      <c r="L189" s="151" t="s">
        <v>1281</v>
      </c>
      <c r="M189" s="155" t="s">
        <v>1282</v>
      </c>
      <c r="N189" s="144">
        <v>4.83</v>
      </c>
      <c r="O189" s="43" t="s">
        <v>18</v>
      </c>
      <c r="P189" s="47" t="s">
        <v>35</v>
      </c>
      <c r="Q189" s="139">
        <v>4.83</v>
      </c>
      <c r="R189" s="43"/>
      <c r="S189" s="16" t="s">
        <v>20</v>
      </c>
      <c r="T189" s="215">
        <v>0.7</v>
      </c>
      <c r="U189" s="215">
        <v>0.3</v>
      </c>
      <c r="V189" s="215"/>
      <c r="W189" s="485"/>
      <c r="X189" s="215"/>
      <c r="Y189" s="43"/>
      <c r="Z189" s="46"/>
      <c r="AA189" s="43"/>
      <c r="AB189" s="43"/>
      <c r="AC189" s="46">
        <v>0.8</v>
      </c>
      <c r="AD189" s="17"/>
      <c r="AE189" s="48"/>
      <c r="AF189" s="37"/>
      <c r="AG189" s="47"/>
      <c r="AH189" s="49">
        <f>Table2[[#This Row],[Prix de vente ($)]]/Table2[[#This Row],[Superficie totale (ha)]]</f>
        <v>3933.7474120082816</v>
      </c>
      <c r="AI189" s="43" t="e">
        <v>#DIV/0!</v>
      </c>
    </row>
    <row r="190" spans="1:36" ht="39" customHeight="1">
      <c r="A190" s="196">
        <v>27895360</v>
      </c>
      <c r="C190" s="318">
        <v>44994</v>
      </c>
      <c r="D190" t="s">
        <v>1283</v>
      </c>
      <c r="E190" t="s">
        <v>1284</v>
      </c>
      <c r="F190" s="247" t="s">
        <v>1285</v>
      </c>
      <c r="G190" s="134">
        <v>350000</v>
      </c>
      <c r="I190" t="s">
        <v>1171</v>
      </c>
      <c r="J190" t="s">
        <v>1172</v>
      </c>
      <c r="K190" t="s">
        <v>1173</v>
      </c>
      <c r="L190" s="205">
        <v>45.760604999999998</v>
      </c>
      <c r="M190" s="205">
        <v>-71.675368000000006</v>
      </c>
      <c r="N190" s="211">
        <v>86.24</v>
      </c>
      <c r="O190" t="s">
        <v>25</v>
      </c>
      <c r="P190" t="s">
        <v>173</v>
      </c>
      <c r="Q190" s="199">
        <v>86.24</v>
      </c>
      <c r="S190" s="94" t="s">
        <v>22</v>
      </c>
      <c r="T190" s="222">
        <v>0.5</v>
      </c>
      <c r="U190" s="222">
        <v>0.5</v>
      </c>
      <c r="V190" s="222">
        <v>0.6</v>
      </c>
      <c r="AF190" t="s">
        <v>1286</v>
      </c>
      <c r="AH190" s="49">
        <f>Table2[[#This Row],[Prix de vente ($)]]/Table2[[#This Row],[Superficie totale (ha)]]</f>
        <v>4058.4415584415588</v>
      </c>
    </row>
    <row r="191" spans="1:36" ht="39" customHeight="1">
      <c r="A191" s="307">
        <v>27897314</v>
      </c>
      <c r="C191" s="318">
        <v>44995</v>
      </c>
      <c r="D191" t="s">
        <v>1287</v>
      </c>
      <c r="E191" t="s">
        <v>1288</v>
      </c>
      <c r="F191" s="269" t="s">
        <v>1289</v>
      </c>
      <c r="I191" t="s">
        <v>69</v>
      </c>
      <c r="J191" t="s">
        <v>1290</v>
      </c>
      <c r="K191" t="s">
        <v>1291</v>
      </c>
      <c r="AF191" s="293" t="s">
        <v>1292</v>
      </c>
      <c r="AH191" s="49" t="e">
        <f>Table2[[#This Row],[Prix de vente ($)]]/Table2[[#This Row],[Superficie totale (ha)]]</f>
        <v>#DIV/0!</v>
      </c>
    </row>
    <row r="192" spans="1:36" ht="39" customHeight="1">
      <c r="A192" s="307" t="s">
        <v>1293</v>
      </c>
      <c r="B192" s="293"/>
      <c r="C192" s="413">
        <v>44995</v>
      </c>
      <c r="D192" s="293" t="s">
        <v>1287</v>
      </c>
      <c r="E192" s="293" t="s">
        <v>1288</v>
      </c>
      <c r="F192" s="293" t="s">
        <v>1294</v>
      </c>
      <c r="G192" s="414"/>
      <c r="H192" s="293"/>
      <c r="I192" s="293" t="s">
        <v>1295</v>
      </c>
      <c r="J192" s="293" t="s">
        <v>1290</v>
      </c>
      <c r="K192" s="293" t="s">
        <v>1296</v>
      </c>
      <c r="L192" s="415">
        <v>48.639781999999997</v>
      </c>
      <c r="M192" s="420" t="s">
        <v>1297</v>
      </c>
      <c r="N192" s="411">
        <f>41.79+42.27+42.58+42.33</f>
        <v>168.97</v>
      </c>
      <c r="O192" t="s">
        <v>71</v>
      </c>
      <c r="P192" t="s">
        <v>384</v>
      </c>
      <c r="Q192" s="416"/>
      <c r="R192" s="293"/>
      <c r="S192" s="94" t="s">
        <v>33</v>
      </c>
      <c r="T192" s="417">
        <v>0.3</v>
      </c>
      <c r="U192" s="417">
        <v>0.7</v>
      </c>
      <c r="V192" s="417">
        <v>0.8</v>
      </c>
      <c r="W192" s="492"/>
      <c r="X192" s="417"/>
      <c r="Y192" s="293" t="s">
        <v>1298</v>
      </c>
      <c r="Z192" s="412"/>
      <c r="AA192" s="293"/>
      <c r="AB192" s="293" t="s">
        <v>1299</v>
      </c>
      <c r="AC192" s="412">
        <v>13.4</v>
      </c>
      <c r="AD192" s="418"/>
      <c r="AE192" s="412" t="s">
        <v>1300</v>
      </c>
      <c r="AF192" s="293"/>
      <c r="AG192" s="293"/>
      <c r="AH192" s="419"/>
      <c r="AI192" s="293"/>
    </row>
    <row r="193" spans="1:36" ht="39" customHeight="1">
      <c r="A193" s="196">
        <v>27901303</v>
      </c>
      <c r="C193" s="318">
        <v>44999</v>
      </c>
      <c r="D193" t="s">
        <v>1301</v>
      </c>
      <c r="E193" t="s">
        <v>1302</v>
      </c>
      <c r="F193" s="269">
        <v>5006096</v>
      </c>
      <c r="G193" s="93">
        <v>100000</v>
      </c>
      <c r="I193" t="s">
        <v>65</v>
      </c>
      <c r="J193" t="s">
        <v>700</v>
      </c>
      <c r="K193" t="s">
        <v>1303</v>
      </c>
      <c r="L193" s="205" t="s">
        <v>1304</v>
      </c>
      <c r="M193" s="270" t="s">
        <v>1305</v>
      </c>
      <c r="N193" s="211">
        <v>41.93</v>
      </c>
      <c r="O193" t="s">
        <v>18</v>
      </c>
      <c r="P193" t="s">
        <v>63</v>
      </c>
      <c r="S193" s="94" t="s">
        <v>20</v>
      </c>
      <c r="T193" s="222">
        <v>0.7</v>
      </c>
      <c r="U193" s="222">
        <v>0.3</v>
      </c>
      <c r="V193" s="222">
        <v>0.85</v>
      </c>
      <c r="AC193" s="63">
        <f>9.9+8.6</f>
        <v>18.5</v>
      </c>
      <c r="AF193" s="20" t="s">
        <v>1306</v>
      </c>
      <c r="AH193" s="49">
        <f>Table2[[#This Row],[Prix de vente ($)]]/Table2[[#This Row],[Superficie totale (ha)]]</f>
        <v>2384.9272597185786</v>
      </c>
    </row>
    <row r="194" spans="1:36" ht="39" customHeight="1">
      <c r="A194" s="187">
        <v>27907582</v>
      </c>
      <c r="B194" s="43"/>
      <c r="C194" s="148">
        <v>45001</v>
      </c>
      <c r="D194" s="37" t="s">
        <v>1307</v>
      </c>
      <c r="E194" s="37" t="s">
        <v>1308</v>
      </c>
      <c r="F194" s="45">
        <v>5310733</v>
      </c>
      <c r="G194" s="15">
        <v>575000</v>
      </c>
      <c r="H194" s="43"/>
      <c r="I194" s="43" t="s">
        <v>1075</v>
      </c>
      <c r="J194" s="43" t="s">
        <v>45</v>
      </c>
      <c r="K194" s="43" t="s">
        <v>1309</v>
      </c>
      <c r="L194" s="151" t="s">
        <v>1310</v>
      </c>
      <c r="M194" s="155" t="s">
        <v>1311</v>
      </c>
      <c r="N194" s="144">
        <v>13.5</v>
      </c>
      <c r="O194" s="43" t="s">
        <v>18</v>
      </c>
      <c r="P194" s="47" t="s">
        <v>26</v>
      </c>
      <c r="Q194" s="144">
        <v>13.5</v>
      </c>
      <c r="R194" s="43">
        <v>0</v>
      </c>
      <c r="S194" s="16" t="s">
        <v>20</v>
      </c>
      <c r="T194" s="215">
        <v>0.7</v>
      </c>
      <c r="U194" s="215">
        <v>0.3</v>
      </c>
      <c r="V194" s="215"/>
      <c r="W194" s="485"/>
      <c r="X194" s="215"/>
      <c r="Y194" s="43"/>
      <c r="Z194" s="46"/>
      <c r="AA194" s="43"/>
      <c r="AB194" s="43"/>
      <c r="AC194" s="46">
        <v>9.6</v>
      </c>
      <c r="AD194" s="17"/>
      <c r="AE194" s="48"/>
      <c r="AF194" s="37" t="s">
        <v>1312</v>
      </c>
      <c r="AG194" s="47"/>
      <c r="AH194" s="49">
        <f>Table2[[#This Row],[Prix de vente ($)]]/Table2[[#This Row],[Superficie totale (ha)]]</f>
        <v>42592.592592592591</v>
      </c>
      <c r="AI194" s="49"/>
    </row>
    <row r="195" spans="1:36" ht="39" customHeight="1">
      <c r="A195" s="187">
        <v>27909619</v>
      </c>
      <c r="B195" s="43"/>
      <c r="C195" s="148">
        <v>45002</v>
      </c>
      <c r="D195" s="37" t="s">
        <v>1313</v>
      </c>
      <c r="E195" s="37" t="s">
        <v>1314</v>
      </c>
      <c r="F195" s="45">
        <v>5457434</v>
      </c>
      <c r="G195" s="15">
        <v>109000</v>
      </c>
      <c r="H195" s="43"/>
      <c r="I195" s="43" t="s">
        <v>258</v>
      </c>
      <c r="J195" s="43" t="s">
        <v>1315</v>
      </c>
      <c r="K195" s="43" t="s">
        <v>1316</v>
      </c>
      <c r="L195" s="151" t="s">
        <v>1317</v>
      </c>
      <c r="M195" s="155" t="s">
        <v>1318</v>
      </c>
      <c r="N195" s="144">
        <v>13.35</v>
      </c>
      <c r="O195" s="43" t="s">
        <v>25</v>
      </c>
      <c r="P195" s="47" t="s">
        <v>19</v>
      </c>
      <c r="Q195" s="144">
        <v>13.35</v>
      </c>
      <c r="R195" s="43">
        <v>0</v>
      </c>
      <c r="S195" s="16" t="s">
        <v>20</v>
      </c>
      <c r="T195" s="215">
        <v>0.7</v>
      </c>
      <c r="U195" s="215">
        <v>0.3</v>
      </c>
      <c r="V195" s="215"/>
      <c r="W195" s="485"/>
      <c r="X195" s="215"/>
      <c r="Y195" s="43"/>
      <c r="Z195" s="46"/>
      <c r="AA195" s="43"/>
      <c r="AB195" s="43"/>
      <c r="AC195" s="46">
        <v>0.8</v>
      </c>
      <c r="AD195" s="17"/>
      <c r="AE195" s="48"/>
      <c r="AF195" s="37" t="s">
        <v>1319</v>
      </c>
      <c r="AG195" s="47"/>
      <c r="AH195" s="49">
        <f>Table2[[#This Row],[Prix de vente ($)]]/Table2[[#This Row],[Superficie totale (ha)]]</f>
        <v>8164.7940074906373</v>
      </c>
      <c r="AI195" s="49"/>
    </row>
    <row r="196" spans="1:36" ht="39" customHeight="1">
      <c r="A196" s="196">
        <v>27909622</v>
      </c>
      <c r="C196" s="318">
        <v>45002</v>
      </c>
      <c r="D196" t="s">
        <v>1320</v>
      </c>
      <c r="E196" t="s">
        <v>1321</v>
      </c>
      <c r="F196" s="352" t="s">
        <v>1322</v>
      </c>
      <c r="G196" s="93" t="s">
        <v>1323</v>
      </c>
      <c r="I196" t="s">
        <v>75</v>
      </c>
      <c r="J196" t="s">
        <v>1324</v>
      </c>
      <c r="K196" t="s">
        <v>1325</v>
      </c>
      <c r="L196" s="205">
        <v>46.707484999999998</v>
      </c>
      <c r="M196" s="270" t="s">
        <v>1326</v>
      </c>
      <c r="N196" s="144" t="s">
        <v>1327</v>
      </c>
      <c r="P196" t="s">
        <v>384</v>
      </c>
      <c r="S196" s="94" t="s">
        <v>20</v>
      </c>
      <c r="T196" s="222">
        <v>0.6</v>
      </c>
      <c r="U196" s="222">
        <v>0.4</v>
      </c>
      <c r="V196" s="222">
        <v>0.85</v>
      </c>
      <c r="AC196" s="63">
        <v>2.2999999999999998</v>
      </c>
      <c r="AF196" t="s">
        <v>1328</v>
      </c>
      <c r="AH196" s="49" t="e">
        <f>Table2[[#This Row],[Prix de vente ($)]]/Table2[[#This Row],[Superficie totale (ha)]]</f>
        <v>#VALUE!</v>
      </c>
    </row>
    <row r="197" spans="1:36" ht="39" customHeight="1">
      <c r="A197" s="187">
        <v>28022093</v>
      </c>
      <c r="B197" s="43"/>
      <c r="C197" s="148">
        <v>45005</v>
      </c>
      <c r="D197" s="37" t="s">
        <v>1329</v>
      </c>
      <c r="E197" s="37" t="s">
        <v>1330</v>
      </c>
      <c r="F197" s="45">
        <v>5883951</v>
      </c>
      <c r="G197" s="15">
        <v>50000</v>
      </c>
      <c r="H197" s="43"/>
      <c r="I197" s="43" t="s">
        <v>747</v>
      </c>
      <c r="J197" s="43" t="s">
        <v>1331</v>
      </c>
      <c r="K197" s="43" t="s">
        <v>1332</v>
      </c>
      <c r="L197" s="151" t="s">
        <v>1333</v>
      </c>
      <c r="M197" s="155" t="s">
        <v>1334</v>
      </c>
      <c r="N197" s="144">
        <v>6.24</v>
      </c>
      <c r="O197" s="43" t="s">
        <v>18</v>
      </c>
      <c r="P197" s="47" t="s">
        <v>35</v>
      </c>
      <c r="Q197" s="144">
        <v>6.24</v>
      </c>
      <c r="R197" s="43">
        <v>0</v>
      </c>
      <c r="S197" s="16" t="s">
        <v>102</v>
      </c>
      <c r="T197" s="215">
        <v>0.25</v>
      </c>
      <c r="U197" s="215">
        <v>0.25</v>
      </c>
      <c r="V197" s="215"/>
      <c r="W197" s="485"/>
      <c r="X197" s="215"/>
      <c r="Y197" s="43"/>
      <c r="Z197" s="46"/>
      <c r="AA197" s="43"/>
      <c r="AB197" s="43"/>
      <c r="AC197" s="46">
        <v>0</v>
      </c>
      <c r="AD197" s="17"/>
      <c r="AE197" s="48"/>
      <c r="AF197" s="37" t="s">
        <v>235</v>
      </c>
      <c r="AG197" s="47"/>
      <c r="AH197" s="49">
        <f>Table2[[#This Row],[Prix de vente ($)]]/Table2[[#This Row],[Superficie totale (ha)]]</f>
        <v>8012.8205128205127</v>
      </c>
      <c r="AI197" s="49"/>
    </row>
    <row r="198" spans="1:36" ht="39" customHeight="1">
      <c r="A198" s="187">
        <v>28283507</v>
      </c>
      <c r="B198" s="43"/>
      <c r="C198" s="148">
        <v>45005</v>
      </c>
      <c r="D198" s="37" t="s">
        <v>1335</v>
      </c>
      <c r="E198" s="37" t="s">
        <v>1336</v>
      </c>
      <c r="F198" s="45" t="s">
        <v>1337</v>
      </c>
      <c r="G198" s="15">
        <v>600000</v>
      </c>
      <c r="H198" s="43"/>
      <c r="I198" s="43" t="s">
        <v>74</v>
      </c>
      <c r="J198" s="43" t="s">
        <v>1338</v>
      </c>
      <c r="K198" s="43" t="s">
        <v>1339</v>
      </c>
      <c r="L198" s="151" t="s">
        <v>1340</v>
      </c>
      <c r="M198" s="155" t="s">
        <v>1341</v>
      </c>
      <c r="N198" s="144">
        <v>20.23</v>
      </c>
      <c r="O198" s="43" t="s">
        <v>25</v>
      </c>
      <c r="P198" s="47" t="s">
        <v>19</v>
      </c>
      <c r="Q198" s="144">
        <v>20.23</v>
      </c>
      <c r="R198" s="43">
        <v>0</v>
      </c>
      <c r="S198" s="16" t="s">
        <v>20</v>
      </c>
      <c r="T198" s="215">
        <v>0.85</v>
      </c>
      <c r="U198" s="215">
        <v>0.15</v>
      </c>
      <c r="V198" s="215"/>
      <c r="W198" s="485"/>
      <c r="X198" s="215"/>
      <c r="Y198" s="43"/>
      <c r="Z198" s="46"/>
      <c r="AA198" s="43"/>
      <c r="AB198" s="43"/>
      <c r="AC198" s="46">
        <v>16.2</v>
      </c>
      <c r="AD198" s="17"/>
      <c r="AE198" s="48"/>
      <c r="AF198" s="37" t="s">
        <v>1342</v>
      </c>
      <c r="AG198" s="47"/>
      <c r="AH198" s="49">
        <f>Table2[[#This Row],[Prix de vente ($)]]/Table2[[#This Row],[Superficie totale (ha)]]</f>
        <v>29658.922392486405</v>
      </c>
      <c r="AI198" s="49"/>
    </row>
    <row r="199" spans="1:36" ht="39" customHeight="1">
      <c r="A199" s="187">
        <v>28352588</v>
      </c>
      <c r="B199" s="43"/>
      <c r="C199" s="148">
        <v>45006</v>
      </c>
      <c r="D199" s="37" t="s">
        <v>1343</v>
      </c>
      <c r="E199" s="37" t="s">
        <v>1344</v>
      </c>
      <c r="F199" s="45">
        <v>6578210</v>
      </c>
      <c r="G199" s="15">
        <v>85000</v>
      </c>
      <c r="H199" s="43"/>
      <c r="I199" s="43" t="s">
        <v>408</v>
      </c>
      <c r="J199" s="43" t="s">
        <v>1345</v>
      </c>
      <c r="K199" s="43" t="s">
        <v>1346</v>
      </c>
      <c r="L199" s="151" t="s">
        <v>1347</v>
      </c>
      <c r="M199" s="155" t="s">
        <v>1348</v>
      </c>
      <c r="N199" s="144">
        <v>7.44</v>
      </c>
      <c r="O199" s="43" t="s">
        <v>18</v>
      </c>
      <c r="P199" s="47" t="s">
        <v>165</v>
      </c>
      <c r="Q199" s="144">
        <v>7.44</v>
      </c>
      <c r="R199" s="43">
        <v>0</v>
      </c>
      <c r="S199" s="16" t="s">
        <v>20</v>
      </c>
      <c r="T199" s="215">
        <v>1</v>
      </c>
      <c r="U199" s="215">
        <v>0</v>
      </c>
      <c r="V199" s="215"/>
      <c r="W199" s="485"/>
      <c r="X199" s="215"/>
      <c r="Y199" s="43"/>
      <c r="Z199" s="46"/>
      <c r="AA199" s="43"/>
      <c r="AB199" s="43"/>
      <c r="AC199" s="46">
        <v>0</v>
      </c>
      <c r="AD199" s="17"/>
      <c r="AE199" s="48"/>
      <c r="AF199" s="37" t="s">
        <v>235</v>
      </c>
      <c r="AG199" s="47"/>
      <c r="AH199" s="49">
        <f>Table2[[#This Row],[Prix de vente ($)]]/Table2[[#This Row],[Superficie totale (ha)]]</f>
        <v>11424.731182795698</v>
      </c>
      <c r="AI199" s="49"/>
    </row>
    <row r="200" spans="1:36" ht="39" customHeight="1">
      <c r="A200" s="196">
        <v>27914374</v>
      </c>
      <c r="C200" s="318">
        <v>45006</v>
      </c>
      <c r="D200" t="s">
        <v>1349</v>
      </c>
      <c r="E200" t="s">
        <v>1350</v>
      </c>
      <c r="F200" t="s">
        <v>1351</v>
      </c>
      <c r="G200" s="134">
        <v>500000</v>
      </c>
      <c r="I200" t="s">
        <v>1352</v>
      </c>
      <c r="J200" t="s">
        <v>1353</v>
      </c>
      <c r="K200" t="s">
        <v>1353</v>
      </c>
      <c r="L200" s="204" t="s">
        <v>1354</v>
      </c>
      <c r="M200" s="277" t="s">
        <v>1355</v>
      </c>
      <c r="N200" s="211">
        <f>43.86+21.71+21.82+21.89+10.95+10.96+44.42+43.98+44.51+43.72</f>
        <v>307.82000000000005</v>
      </c>
      <c r="O200" t="s">
        <v>25</v>
      </c>
      <c r="P200" t="s">
        <v>173</v>
      </c>
      <c r="Q200" s="211">
        <f>Table2[[#This Row],[Superficie totale (ha)]]</f>
        <v>307.82000000000005</v>
      </c>
      <c r="S200" s="284" t="s">
        <v>20</v>
      </c>
      <c r="T200" s="219">
        <v>0.6</v>
      </c>
      <c r="U200" s="219">
        <v>0.4</v>
      </c>
      <c r="V200" s="219" t="s">
        <v>362</v>
      </c>
      <c r="W200" s="489"/>
      <c r="X200" s="219"/>
      <c r="AC200" s="63">
        <f>38.9+6.7+4.3+17.9+6.5+41.1+3.9</f>
        <v>119.30000000000001</v>
      </c>
      <c r="AD200" s="273"/>
      <c r="AF200" t="s">
        <v>1356</v>
      </c>
      <c r="AH200" s="49">
        <f>Table2[[#This Row],[Prix de vente ($)]]/Table2[[#This Row],[Superficie totale (ha)]]</f>
        <v>1624.3259047495287</v>
      </c>
      <c r="AJ200" s="66"/>
    </row>
    <row r="201" spans="1:36" ht="39" customHeight="1">
      <c r="A201" s="196">
        <v>27915218</v>
      </c>
      <c r="C201" s="318">
        <v>45007</v>
      </c>
      <c r="F201" s="269">
        <v>4188749</v>
      </c>
      <c r="G201" s="134">
        <v>120000</v>
      </c>
      <c r="I201" t="s">
        <v>58</v>
      </c>
      <c r="J201" t="s">
        <v>1357</v>
      </c>
      <c r="K201" t="s">
        <v>1358</v>
      </c>
      <c r="L201" s="205" t="s">
        <v>1359</v>
      </c>
      <c r="M201" s="270" t="s">
        <v>1360</v>
      </c>
      <c r="N201" s="211">
        <v>42.55</v>
      </c>
      <c r="O201" t="s">
        <v>18</v>
      </c>
      <c r="P201" t="s">
        <v>110</v>
      </c>
      <c r="S201" s="94" t="s">
        <v>62</v>
      </c>
      <c r="T201" s="222">
        <v>0.6</v>
      </c>
      <c r="U201" s="222">
        <v>0.4</v>
      </c>
      <c r="V201" s="222" t="s">
        <v>362</v>
      </c>
      <c r="AH201" s="49">
        <f>Table2[[#This Row],[Prix de vente ($)]]/Table2[[#This Row],[Superficie totale (ha)]]</f>
        <v>2820.2115158636898</v>
      </c>
      <c r="AJ201" s="77"/>
    </row>
    <row r="202" spans="1:36" ht="39" customHeight="1">
      <c r="A202" s="196" t="s">
        <v>1361</v>
      </c>
      <c r="C202" s="318">
        <v>45007</v>
      </c>
      <c r="F202" t="s">
        <v>1362</v>
      </c>
      <c r="G202" s="93">
        <v>325000</v>
      </c>
      <c r="I202" t="s">
        <v>1363</v>
      </c>
      <c r="AH202" s="49"/>
    </row>
    <row r="203" spans="1:36" ht="39" customHeight="1">
      <c r="A203" s="187">
        <v>27924767</v>
      </c>
      <c r="B203" s="43"/>
      <c r="C203" s="148">
        <v>45012</v>
      </c>
      <c r="D203" s="37" t="s">
        <v>1364</v>
      </c>
      <c r="E203" s="37" t="s">
        <v>1365</v>
      </c>
      <c r="F203" s="45">
        <v>2326092</v>
      </c>
      <c r="G203" s="15">
        <v>220000</v>
      </c>
      <c r="H203" s="43"/>
      <c r="I203" s="43" t="s">
        <v>1366</v>
      </c>
      <c r="J203" s="43" t="s">
        <v>1367</v>
      </c>
      <c r="K203" s="43" t="s">
        <v>1368</v>
      </c>
      <c r="L203" s="151" t="s">
        <v>1369</v>
      </c>
      <c r="M203" s="155" t="s">
        <v>1370</v>
      </c>
      <c r="N203" s="144">
        <v>21.79</v>
      </c>
      <c r="O203" s="43" t="s">
        <v>18</v>
      </c>
      <c r="P203" s="47" t="s">
        <v>26</v>
      </c>
      <c r="Q203" s="144">
        <v>21.79</v>
      </c>
      <c r="R203" s="43"/>
      <c r="S203" s="16" t="s">
        <v>20</v>
      </c>
      <c r="T203" s="215">
        <v>0.8</v>
      </c>
      <c r="U203" s="215">
        <v>0.2</v>
      </c>
      <c r="V203" s="215"/>
      <c r="W203" s="485"/>
      <c r="X203" s="215"/>
      <c r="Y203" s="43"/>
      <c r="Z203" s="46"/>
      <c r="AA203" s="43"/>
      <c r="AB203" s="43"/>
      <c r="AC203" s="46">
        <v>13.99</v>
      </c>
      <c r="AD203" s="17"/>
      <c r="AE203" s="48"/>
      <c r="AF203" s="37"/>
      <c r="AG203" s="47"/>
      <c r="AH203" s="49">
        <f>Table2[[#This Row],[Prix de vente ($)]]/Table2[[#This Row],[Superficie totale (ha)]]</f>
        <v>10096.374483708123</v>
      </c>
      <c r="AI203" s="49"/>
    </row>
    <row r="204" spans="1:36" ht="39" customHeight="1">
      <c r="A204" s="187"/>
      <c r="B204" s="43">
        <v>19511791</v>
      </c>
      <c r="C204" s="148">
        <v>45012</v>
      </c>
      <c r="D204" s="37"/>
      <c r="E204" s="37"/>
      <c r="F204" s="43">
        <v>4577228</v>
      </c>
      <c r="G204" s="15">
        <v>235000</v>
      </c>
      <c r="H204" s="43"/>
      <c r="I204" s="43" t="s">
        <v>522</v>
      </c>
      <c r="J204" s="43" t="s">
        <v>1371</v>
      </c>
      <c r="K204" s="43" t="s">
        <v>1372</v>
      </c>
      <c r="L204" s="151" t="s">
        <v>1373</v>
      </c>
      <c r="M204" s="155" t="s">
        <v>1374</v>
      </c>
      <c r="N204" s="144">
        <v>46.02</v>
      </c>
      <c r="O204" s="43" t="s">
        <v>18</v>
      </c>
      <c r="P204" s="47" t="s">
        <v>361</v>
      </c>
      <c r="Q204" s="144">
        <f>N204</f>
        <v>46.02</v>
      </c>
      <c r="R204" s="43"/>
      <c r="S204" s="16"/>
      <c r="T204" s="215"/>
      <c r="U204" s="215"/>
      <c r="V204" s="215"/>
      <c r="W204" s="485"/>
      <c r="X204" s="215"/>
      <c r="Y204" s="43"/>
      <c r="Z204" s="46"/>
      <c r="AA204" s="43"/>
      <c r="AB204" s="43"/>
      <c r="AC204" s="46">
        <v>10.5</v>
      </c>
      <c r="AD204" s="17">
        <v>2318</v>
      </c>
      <c r="AE204" s="48"/>
      <c r="AF204" s="37" t="s">
        <v>56</v>
      </c>
      <c r="AG204" s="47"/>
      <c r="AH204" s="49">
        <f>Table2[[#This Row],[Prix de vente ($)]]/Table2[[#This Row],[Superficie totale (ha)]]</f>
        <v>5106.4754454584963</v>
      </c>
      <c r="AI204" s="49">
        <f>G204/AD204</f>
        <v>101.38050043140639</v>
      </c>
    </row>
    <row r="205" spans="1:36" ht="39" customHeight="1">
      <c r="A205" s="187">
        <v>27928355</v>
      </c>
      <c r="B205" s="43"/>
      <c r="C205" s="148">
        <v>45013</v>
      </c>
      <c r="D205" s="37" t="s">
        <v>1375</v>
      </c>
      <c r="E205" s="37" t="s">
        <v>1376</v>
      </c>
      <c r="F205" s="34">
        <v>3622633</v>
      </c>
      <c r="G205" s="59">
        <v>105000</v>
      </c>
      <c r="H205" s="43"/>
      <c r="I205" s="34" t="s">
        <v>258</v>
      </c>
      <c r="J205" s="43" t="s">
        <v>1377</v>
      </c>
      <c r="K205" s="43" t="s">
        <v>1378</v>
      </c>
      <c r="L205" s="139" t="s">
        <v>1379</v>
      </c>
      <c r="M205" s="139" t="s">
        <v>1380</v>
      </c>
      <c r="N205" s="144">
        <v>26.011980000000001</v>
      </c>
      <c r="O205" s="43" t="s">
        <v>1381</v>
      </c>
      <c r="P205" s="47" t="s">
        <v>19</v>
      </c>
      <c r="Q205" s="144">
        <f>Bois!$N50</f>
        <v>3.5100000000000002</v>
      </c>
      <c r="R205" s="46"/>
      <c r="S205" s="43" t="s">
        <v>20</v>
      </c>
      <c r="T205" s="217"/>
      <c r="U205" s="217"/>
      <c r="V205" s="217"/>
      <c r="W205" s="487"/>
      <c r="X205" s="217"/>
      <c r="Y205" s="43"/>
      <c r="Z205" s="46"/>
      <c r="AA205" s="43"/>
      <c r="AB205" s="43"/>
      <c r="AC205" s="46"/>
      <c r="AD205" s="53"/>
      <c r="AE205" s="48"/>
      <c r="AF205" s="60" t="s">
        <v>1382</v>
      </c>
      <c r="AG205" s="47" t="s">
        <v>1383</v>
      </c>
      <c r="AH205" s="49">
        <f>Table2[[#This Row],[Prix de vente ($)]]/Table2[[#This Row],[Superficie totale (ha)]]</f>
        <v>4036.6015966489285</v>
      </c>
      <c r="AI205" s="49" t="e">
        <f>Bois!$G50/Bois!$AD50</f>
        <v>#DIV/0!</v>
      </c>
    </row>
    <row r="206" spans="1:36" ht="39" customHeight="1">
      <c r="A206" s="187">
        <v>28063582</v>
      </c>
      <c r="B206" s="43"/>
      <c r="C206" s="148">
        <v>45015</v>
      </c>
      <c r="D206" s="37" t="s">
        <v>685</v>
      </c>
      <c r="E206" s="37" t="s">
        <v>1384</v>
      </c>
      <c r="F206" s="45">
        <v>5400765</v>
      </c>
      <c r="G206" s="15">
        <v>65000</v>
      </c>
      <c r="H206" s="43"/>
      <c r="I206" s="43" t="s">
        <v>679</v>
      </c>
      <c r="J206" s="43" t="s">
        <v>680</v>
      </c>
      <c r="K206" s="43" t="s">
        <v>688</v>
      </c>
      <c r="L206" s="151" t="s">
        <v>1385</v>
      </c>
      <c r="M206" s="155" t="s">
        <v>1386</v>
      </c>
      <c r="N206" s="144">
        <v>18.260000000000002</v>
      </c>
      <c r="O206" s="43" t="s">
        <v>25</v>
      </c>
      <c r="P206" s="47" t="s">
        <v>19</v>
      </c>
      <c r="Q206" s="144">
        <v>18.260000000000002</v>
      </c>
      <c r="R206" s="43">
        <v>0</v>
      </c>
      <c r="S206" s="16" t="s">
        <v>20</v>
      </c>
      <c r="T206" s="215">
        <v>0.75</v>
      </c>
      <c r="U206" s="215">
        <v>0.25</v>
      </c>
      <c r="V206" s="215"/>
      <c r="W206" s="485"/>
      <c r="X206" s="215"/>
      <c r="Y206" s="43"/>
      <c r="Z206" s="46"/>
      <c r="AA206" s="43"/>
      <c r="AB206" s="43"/>
      <c r="AC206" s="46">
        <v>0</v>
      </c>
      <c r="AD206" s="17"/>
      <c r="AE206" s="48"/>
      <c r="AF206" s="37" t="s">
        <v>1387</v>
      </c>
      <c r="AG206" s="47"/>
      <c r="AH206" s="49">
        <f>Table2[[#This Row],[Prix de vente ($)]]/Table2[[#This Row],[Superficie totale (ha)]]</f>
        <v>3559.693318729463</v>
      </c>
      <c r="AI206" s="49"/>
    </row>
    <row r="207" spans="1:36" ht="39" customHeight="1">
      <c r="A207" s="187">
        <v>27936510</v>
      </c>
      <c r="B207" s="43"/>
      <c r="C207" s="148">
        <v>45016</v>
      </c>
      <c r="D207" s="37" t="s">
        <v>1388</v>
      </c>
      <c r="E207" s="37" t="s">
        <v>1389</v>
      </c>
      <c r="F207" s="43">
        <v>5433845</v>
      </c>
      <c r="G207" s="52">
        <v>31000</v>
      </c>
      <c r="H207" s="43"/>
      <c r="I207" s="43" t="s">
        <v>747</v>
      </c>
      <c r="J207" s="43" t="s">
        <v>1390</v>
      </c>
      <c r="K207" s="43" t="s">
        <v>1391</v>
      </c>
      <c r="L207" s="142" t="s">
        <v>1392</v>
      </c>
      <c r="M207" s="142" t="s">
        <v>1393</v>
      </c>
      <c r="N207" s="144">
        <v>2.74</v>
      </c>
      <c r="O207" s="43" t="s">
        <v>18</v>
      </c>
      <c r="P207" s="47" t="s">
        <v>206</v>
      </c>
      <c r="Q207" s="144">
        <f>Bois!$N52</f>
        <v>0.49</v>
      </c>
      <c r="R207" s="43"/>
      <c r="S207" s="1" t="s">
        <v>20</v>
      </c>
      <c r="T207" s="217">
        <v>0.9</v>
      </c>
      <c r="U207" s="217">
        <v>0.1</v>
      </c>
      <c r="V207" s="217"/>
      <c r="W207" s="487"/>
      <c r="X207" s="217"/>
      <c r="Y207" s="43"/>
      <c r="Z207" s="46"/>
      <c r="AA207" s="43"/>
      <c r="AB207" s="43"/>
      <c r="AC207" s="46">
        <f>Bois!$N52</f>
        <v>0.49</v>
      </c>
      <c r="AD207" s="53"/>
      <c r="AE207" s="48"/>
      <c r="AF207" s="37"/>
      <c r="AG207" s="47"/>
      <c r="AH207" s="49">
        <f>Table2[[#This Row],[Prix de vente ($)]]/Table2[[#This Row],[Superficie totale (ha)]]</f>
        <v>11313.868613138686</v>
      </c>
      <c r="AI207" s="49" t="e">
        <f>Bois!$G52/Bois!$AD52</f>
        <v>#DIV/0!</v>
      </c>
    </row>
    <row r="208" spans="1:36" ht="39" customHeight="1">
      <c r="A208" s="190">
        <v>27985022</v>
      </c>
      <c r="B208" s="43"/>
      <c r="C208" s="148">
        <v>45016</v>
      </c>
      <c r="D208" s="54" t="s">
        <v>1394</v>
      </c>
      <c r="E208" s="54" t="s">
        <v>1395</v>
      </c>
      <c r="F208" s="54">
        <v>2960337</v>
      </c>
      <c r="G208" s="52">
        <v>128000</v>
      </c>
      <c r="H208" s="43"/>
      <c r="I208" s="43" t="s">
        <v>722</v>
      </c>
      <c r="J208" s="43" t="s">
        <v>1396</v>
      </c>
      <c r="K208" s="43" t="s">
        <v>1397</v>
      </c>
      <c r="L208" s="142" t="s">
        <v>1398</v>
      </c>
      <c r="M208" s="142" t="s">
        <v>1399</v>
      </c>
      <c r="N208" s="144">
        <v>6.54</v>
      </c>
      <c r="O208" s="43" t="s">
        <v>18</v>
      </c>
      <c r="P208" s="47" t="s">
        <v>110</v>
      </c>
      <c r="Q208" s="139">
        <v>6.54</v>
      </c>
      <c r="R208" s="43"/>
      <c r="S208" s="1" t="s">
        <v>20</v>
      </c>
      <c r="T208" s="217">
        <v>0.95</v>
      </c>
      <c r="U208" s="217">
        <v>0.05</v>
      </c>
      <c r="V208" s="217">
        <v>0.7</v>
      </c>
      <c r="W208" s="487"/>
      <c r="X208" s="217"/>
      <c r="Y208" s="43"/>
      <c r="Z208" s="46"/>
      <c r="AA208" s="43"/>
      <c r="AB208" s="43"/>
      <c r="AC208" s="46">
        <v>6.54</v>
      </c>
      <c r="AD208" s="53"/>
      <c r="AE208" s="48"/>
      <c r="AF208" s="55" t="s">
        <v>1400</v>
      </c>
      <c r="AG208" s="47"/>
      <c r="AH208" s="49">
        <f>Table2[[#This Row],[Prix de vente ($)]]/Table2[[#This Row],[Superficie totale (ha)]]</f>
        <v>19571.865443425075</v>
      </c>
      <c r="AI208" s="49" t="e">
        <f>Bois!$G51/Bois!$AD51</f>
        <v>#DIV/0!</v>
      </c>
    </row>
    <row r="209" spans="1:36" ht="39" customHeight="1">
      <c r="A209" s="191">
        <v>28025028</v>
      </c>
      <c r="B209" s="43"/>
      <c r="C209" s="148">
        <v>45019</v>
      </c>
      <c r="D209" s="37" t="s">
        <v>1401</v>
      </c>
      <c r="E209" s="37" t="s">
        <v>1402</v>
      </c>
      <c r="F209" s="34">
        <v>4392594</v>
      </c>
      <c r="G209" s="52">
        <v>83000</v>
      </c>
      <c r="H209" s="43"/>
      <c r="I209" s="43" t="s">
        <v>258</v>
      </c>
      <c r="J209" s="43" t="s">
        <v>1377</v>
      </c>
      <c r="K209" s="43" t="s">
        <v>1403</v>
      </c>
      <c r="L209" s="142" t="s">
        <v>1404</v>
      </c>
      <c r="M209" s="142" t="s">
        <v>1405</v>
      </c>
      <c r="N209" s="144">
        <v>16.2896</v>
      </c>
      <c r="O209" s="43" t="s">
        <v>18</v>
      </c>
      <c r="P209" s="47" t="s">
        <v>19</v>
      </c>
      <c r="Q209" s="144">
        <f>Bois!$N53</f>
        <v>7.46</v>
      </c>
      <c r="R209" s="43"/>
      <c r="S209" s="1" t="s">
        <v>369</v>
      </c>
      <c r="T209" s="217"/>
      <c r="U209" s="217"/>
      <c r="V209" s="217"/>
      <c r="W209" s="487"/>
      <c r="X209" s="217"/>
      <c r="Y209" s="43"/>
      <c r="Z209" s="46"/>
      <c r="AA209" s="43"/>
      <c r="AB209" s="43"/>
      <c r="AC209" s="46"/>
      <c r="AD209" s="53"/>
      <c r="AE209" s="48"/>
      <c r="AF209" s="37" t="s">
        <v>1406</v>
      </c>
      <c r="AG209" s="47"/>
      <c r="AH209" s="49">
        <f>Table2[[#This Row],[Prix de vente ($)]]/Table2[[#This Row],[Superficie totale (ha)]]</f>
        <v>5095.2755132108832</v>
      </c>
      <c r="AI209" s="49" t="e">
        <f>Bois!$G53/Bois!$AD53</f>
        <v>#DIV/0!</v>
      </c>
      <c r="AJ209" s="37"/>
    </row>
    <row r="210" spans="1:36" ht="39" customHeight="1">
      <c r="A210" s="187">
        <v>27994501</v>
      </c>
      <c r="B210" s="43"/>
      <c r="C210" s="148">
        <v>45019</v>
      </c>
      <c r="D210" s="37" t="s">
        <v>685</v>
      </c>
      <c r="E210" s="37" t="s">
        <v>1407</v>
      </c>
      <c r="F210" s="45">
        <v>5400735</v>
      </c>
      <c r="G210" s="15">
        <v>83500</v>
      </c>
      <c r="H210" s="43"/>
      <c r="I210" s="43" t="s">
        <v>679</v>
      </c>
      <c r="J210" s="43" t="s">
        <v>680</v>
      </c>
      <c r="K210" s="43" t="s">
        <v>688</v>
      </c>
      <c r="L210" s="151" t="s">
        <v>1408</v>
      </c>
      <c r="M210" s="155" t="s">
        <v>1409</v>
      </c>
      <c r="N210" s="144">
        <v>30.99</v>
      </c>
      <c r="O210" s="43" t="s">
        <v>25</v>
      </c>
      <c r="P210" s="47" t="s">
        <v>165</v>
      </c>
      <c r="Q210" s="144">
        <v>26.99</v>
      </c>
      <c r="R210" s="43">
        <v>0</v>
      </c>
      <c r="S210" s="16" t="s">
        <v>102</v>
      </c>
      <c r="T210" s="215">
        <v>0.4</v>
      </c>
      <c r="U210" s="215">
        <v>0.6</v>
      </c>
      <c r="V210" s="215"/>
      <c r="W210" s="485"/>
      <c r="X210" s="215"/>
      <c r="Y210" s="43"/>
      <c r="Z210" s="46"/>
      <c r="AA210" s="43"/>
      <c r="AB210" s="43"/>
      <c r="AC210" s="46">
        <v>3.1</v>
      </c>
      <c r="AD210" s="17"/>
      <c r="AE210" s="48"/>
      <c r="AF210" s="37" t="s">
        <v>684</v>
      </c>
      <c r="AG210" s="47"/>
      <c r="AH210" s="49">
        <f>Table2[[#This Row],[Prix de vente ($)]]/Table2[[#This Row],[Superficie totale (ha)]]</f>
        <v>2694.4175540496935</v>
      </c>
      <c r="AI210" s="49"/>
    </row>
    <row r="211" spans="1:36" ht="39" customHeight="1">
      <c r="A211" s="187">
        <v>27981199</v>
      </c>
      <c r="B211" s="43"/>
      <c r="C211" s="148">
        <v>45020</v>
      </c>
      <c r="D211" s="37" t="s">
        <v>1410</v>
      </c>
      <c r="E211" s="37" t="s">
        <v>1411</v>
      </c>
      <c r="F211" s="43" t="s">
        <v>1412</v>
      </c>
      <c r="G211" s="15">
        <v>125000</v>
      </c>
      <c r="H211" s="43"/>
      <c r="I211" s="43" t="s">
        <v>230</v>
      </c>
      <c r="J211" s="43" t="s">
        <v>1413</v>
      </c>
      <c r="K211" s="43" t="s">
        <v>1414</v>
      </c>
      <c r="L211" s="151" t="s">
        <v>1415</v>
      </c>
      <c r="M211" s="155" t="s">
        <v>1416</v>
      </c>
      <c r="N211" s="144">
        <v>13.33</v>
      </c>
      <c r="O211" s="43" t="s">
        <v>18</v>
      </c>
      <c r="P211" s="47" t="s">
        <v>19</v>
      </c>
      <c r="Q211" s="144">
        <v>13.33</v>
      </c>
      <c r="R211" s="43">
        <v>0</v>
      </c>
      <c r="S211" s="16" t="s">
        <v>20</v>
      </c>
      <c r="T211" s="215">
        <v>0.8</v>
      </c>
      <c r="U211" s="215">
        <v>0.2</v>
      </c>
      <c r="V211" s="215"/>
      <c r="W211" s="485"/>
      <c r="X211" s="215"/>
      <c r="Y211" s="43"/>
      <c r="Z211" s="46"/>
      <c r="AA211" s="43"/>
      <c r="AB211" s="43"/>
      <c r="AC211" s="46">
        <v>6.87</v>
      </c>
      <c r="AD211" s="17"/>
      <c r="AE211" s="48"/>
      <c r="AF211" s="37" t="s">
        <v>1417</v>
      </c>
      <c r="AG211" s="47"/>
      <c r="AH211" s="49">
        <f>Table2[[#This Row],[Prix de vente ($)]]/Table2[[#This Row],[Superficie totale (ha)]]</f>
        <v>9377.3443360840211</v>
      </c>
      <c r="AI211" s="43"/>
    </row>
    <row r="212" spans="1:36" ht="39" customHeight="1">
      <c r="A212" s="187">
        <v>27944333</v>
      </c>
      <c r="B212" s="43"/>
      <c r="C212" s="148">
        <v>45020</v>
      </c>
      <c r="D212" s="37" t="s">
        <v>1418</v>
      </c>
      <c r="E212" s="37" t="s">
        <v>1419</v>
      </c>
      <c r="F212" s="43" t="s">
        <v>1420</v>
      </c>
      <c r="G212" s="52">
        <v>120000</v>
      </c>
      <c r="H212" s="43"/>
      <c r="I212" s="43" t="s">
        <v>201</v>
      </c>
      <c r="J212" s="43" t="s">
        <v>202</v>
      </c>
      <c r="K212" s="43" t="s">
        <v>1421</v>
      </c>
      <c r="L212" s="142" t="s">
        <v>1422</v>
      </c>
      <c r="M212" s="142" t="s">
        <v>1423</v>
      </c>
      <c r="N212" s="144">
        <f>3.49+14.35</f>
        <v>17.84</v>
      </c>
      <c r="O212" s="43" t="s">
        <v>18</v>
      </c>
      <c r="P212" s="47" t="s">
        <v>206</v>
      </c>
      <c r="Q212" s="144">
        <f>3.49+14.35</f>
        <v>17.84</v>
      </c>
      <c r="R212" s="43"/>
      <c r="S212" s="1" t="s">
        <v>212</v>
      </c>
      <c r="T212" s="217">
        <v>0.28000000000000003</v>
      </c>
      <c r="U212" s="217">
        <v>0.72</v>
      </c>
      <c r="V212" s="217">
        <v>0.75</v>
      </c>
      <c r="W212" s="487"/>
      <c r="X212" s="217"/>
      <c r="Y212" s="43"/>
      <c r="Z212" s="46"/>
      <c r="AA212" s="43"/>
      <c r="AB212" s="43"/>
      <c r="AC212" s="46">
        <v>2.5</v>
      </c>
      <c r="AD212" s="53"/>
      <c r="AE212" s="48"/>
      <c r="AF212" s="37" t="s">
        <v>1424</v>
      </c>
      <c r="AG212" s="47" t="s">
        <v>1425</v>
      </c>
      <c r="AH212" s="49">
        <f>Table2[[#This Row],[Prix de vente ($)]]/Table2[[#This Row],[Superficie totale (ha)]]</f>
        <v>6726.4573991031393</v>
      </c>
      <c r="AI212" s="49" t="e">
        <f>Bois!$G54/Bois!$AD54</f>
        <v>#DIV/0!</v>
      </c>
    </row>
    <row r="213" spans="1:36" ht="39" customHeight="1">
      <c r="A213" s="187">
        <v>27944384</v>
      </c>
      <c r="B213" s="43"/>
      <c r="C213" s="148">
        <v>45021</v>
      </c>
      <c r="D213" s="37" t="s">
        <v>1426</v>
      </c>
      <c r="E213" s="37" t="s">
        <v>1427</v>
      </c>
      <c r="F213" s="45">
        <v>5773874</v>
      </c>
      <c r="G213" s="15">
        <v>25000</v>
      </c>
      <c r="H213" s="43"/>
      <c r="I213" s="43" t="s">
        <v>476</v>
      </c>
      <c r="J213" s="43" t="s">
        <v>1428</v>
      </c>
      <c r="K213" s="43" t="s">
        <v>1429</v>
      </c>
      <c r="L213" s="151" t="s">
        <v>1430</v>
      </c>
      <c r="M213" s="155" t="s">
        <v>1431</v>
      </c>
      <c r="N213" s="144">
        <v>5.55</v>
      </c>
      <c r="O213" s="43" t="s">
        <v>18</v>
      </c>
      <c r="P213" s="47" t="s">
        <v>35</v>
      </c>
      <c r="Q213" s="144">
        <v>5.55</v>
      </c>
      <c r="R213" s="43">
        <v>0</v>
      </c>
      <c r="S213" s="16" t="s">
        <v>20</v>
      </c>
      <c r="T213" s="215">
        <v>0.9</v>
      </c>
      <c r="U213" s="215">
        <v>0.1</v>
      </c>
      <c r="V213" s="215"/>
      <c r="W213" s="485"/>
      <c r="X213" s="215"/>
      <c r="Y213" s="43"/>
      <c r="Z213" s="46"/>
      <c r="AA213" s="43"/>
      <c r="AB213" s="43"/>
      <c r="AC213" s="46">
        <v>5.55</v>
      </c>
      <c r="AD213" s="17"/>
      <c r="AE213" s="48"/>
      <c r="AF213" s="37"/>
      <c r="AG213" s="47"/>
      <c r="AH213" s="49">
        <f>Table2[[#This Row],[Prix de vente ($)]]/Table2[[#This Row],[Superficie totale (ha)]]</f>
        <v>4504.5045045045044</v>
      </c>
      <c r="AI213" s="43"/>
    </row>
    <row r="214" spans="1:36" ht="39" customHeight="1">
      <c r="A214" s="187">
        <v>28258794</v>
      </c>
      <c r="B214" s="43"/>
      <c r="C214" s="148">
        <v>45023</v>
      </c>
      <c r="D214" s="37" t="s">
        <v>1432</v>
      </c>
      <c r="E214" s="37" t="s">
        <v>1433</v>
      </c>
      <c r="F214" s="45" t="s">
        <v>1434</v>
      </c>
      <c r="G214" s="15">
        <v>315000</v>
      </c>
      <c r="H214" s="43"/>
      <c r="I214" s="43" t="s">
        <v>160</v>
      </c>
      <c r="J214" s="43" t="s">
        <v>161</v>
      </c>
      <c r="K214" s="43" t="s">
        <v>1435</v>
      </c>
      <c r="L214" s="151" t="s">
        <v>1436</v>
      </c>
      <c r="M214" s="155" t="s">
        <v>1437</v>
      </c>
      <c r="N214" s="144">
        <v>20.260000000000002</v>
      </c>
      <c r="O214" s="43" t="s">
        <v>25</v>
      </c>
      <c r="P214" s="47" t="s">
        <v>35</v>
      </c>
      <c r="Q214" s="144">
        <v>16.36</v>
      </c>
      <c r="R214" s="43">
        <v>0</v>
      </c>
      <c r="S214" s="16" t="s">
        <v>102</v>
      </c>
      <c r="T214" s="215">
        <v>0.2</v>
      </c>
      <c r="U214" s="215">
        <v>0.8</v>
      </c>
      <c r="V214" s="215"/>
      <c r="W214" s="485"/>
      <c r="X214" s="215"/>
      <c r="Y214" s="43"/>
      <c r="Z214" s="46"/>
      <c r="AA214" s="43"/>
      <c r="AB214" s="43"/>
      <c r="AC214" s="46">
        <v>0.7</v>
      </c>
      <c r="AD214" s="17"/>
      <c r="AE214" s="48"/>
      <c r="AF214" s="37" t="s">
        <v>1438</v>
      </c>
      <c r="AG214" s="47"/>
      <c r="AH214" s="49">
        <f>Table2[[#This Row],[Prix de vente ($)]]/Table2[[#This Row],[Superficie totale (ha)]]</f>
        <v>15547.87759131293</v>
      </c>
      <c r="AI214" s="49"/>
    </row>
    <row r="215" spans="1:36" ht="39" customHeight="1">
      <c r="A215" s="187">
        <v>28047970</v>
      </c>
      <c r="B215" s="43"/>
      <c r="C215" s="148">
        <v>45025</v>
      </c>
      <c r="D215" s="37" t="s">
        <v>1439</v>
      </c>
      <c r="E215" s="37" t="s">
        <v>1440</v>
      </c>
      <c r="F215" s="45">
        <v>5883822</v>
      </c>
      <c r="G215" s="15">
        <v>15000</v>
      </c>
      <c r="H215" s="43"/>
      <c r="I215" s="43" t="s">
        <v>747</v>
      </c>
      <c r="J215" s="43" t="s">
        <v>1331</v>
      </c>
      <c r="K215" s="43" t="s">
        <v>1441</v>
      </c>
      <c r="L215" s="151" t="s">
        <v>1442</v>
      </c>
      <c r="M215" s="155" t="s">
        <v>1443</v>
      </c>
      <c r="N215" s="144">
        <v>5.37</v>
      </c>
      <c r="O215" s="43" t="s">
        <v>18</v>
      </c>
      <c r="P215" s="47" t="s">
        <v>35</v>
      </c>
      <c r="Q215" s="144">
        <v>5.37</v>
      </c>
      <c r="R215" s="43">
        <v>0</v>
      </c>
      <c r="S215" s="16" t="s">
        <v>20</v>
      </c>
      <c r="T215" s="215">
        <v>0.85</v>
      </c>
      <c r="U215" s="215">
        <v>0.15</v>
      </c>
      <c r="V215" s="215"/>
      <c r="W215" s="485"/>
      <c r="X215" s="215"/>
      <c r="Y215" s="43"/>
      <c r="Z215" s="46"/>
      <c r="AA215" s="43"/>
      <c r="AB215" s="43"/>
      <c r="AC215" s="46">
        <v>0.3</v>
      </c>
      <c r="AD215" s="17"/>
      <c r="AE215" s="48"/>
      <c r="AF215" s="37" t="s">
        <v>1444</v>
      </c>
      <c r="AG215" s="47"/>
      <c r="AH215" s="49">
        <f>Table2[[#This Row],[Prix de vente ($)]]/Table2[[#This Row],[Superficie totale (ha)]]</f>
        <v>2793.2960893854747</v>
      </c>
      <c r="AI215" s="49"/>
    </row>
    <row r="216" spans="1:36" ht="39" customHeight="1">
      <c r="A216" s="196">
        <v>27952424</v>
      </c>
      <c r="C216" s="318">
        <v>45028</v>
      </c>
      <c r="D216" s="247" t="s">
        <v>1445</v>
      </c>
      <c r="E216" s="247" t="s">
        <v>1446</v>
      </c>
      <c r="F216" s="247" t="s">
        <v>1447</v>
      </c>
      <c r="G216" s="93">
        <v>63000</v>
      </c>
      <c r="I216" t="s">
        <v>654</v>
      </c>
      <c r="J216" t="s">
        <v>1448</v>
      </c>
      <c r="L216" s="205">
        <v>46.761132000000003</v>
      </c>
      <c r="M216" s="205">
        <v>-46.761132000000003</v>
      </c>
      <c r="N216" s="211">
        <v>5.9</v>
      </c>
      <c r="O216" s="43" t="s">
        <v>18</v>
      </c>
      <c r="P216" s="47" t="s">
        <v>63</v>
      </c>
      <c r="Q216" s="199">
        <v>5.9</v>
      </c>
      <c r="S216" s="94" t="s">
        <v>20</v>
      </c>
      <c r="T216" s="222">
        <v>0.9</v>
      </c>
      <c r="U216" s="222">
        <v>0.1</v>
      </c>
      <c r="V216" s="222">
        <v>0.85</v>
      </c>
      <c r="AC216" s="63">
        <v>5</v>
      </c>
      <c r="AF216" t="s">
        <v>1449</v>
      </c>
      <c r="AH216" s="49">
        <f>Table2[[#This Row],[Prix de vente ($)]]/Table2[[#This Row],[Superficie totale (ha)]]</f>
        <v>10677.966101694914</v>
      </c>
    </row>
    <row r="217" spans="1:36" ht="39" customHeight="1">
      <c r="A217" s="187">
        <v>27952147</v>
      </c>
      <c r="B217" s="43"/>
      <c r="C217" s="148">
        <v>45028</v>
      </c>
      <c r="D217" s="37" t="s">
        <v>1450</v>
      </c>
      <c r="E217" s="37" t="s">
        <v>1451</v>
      </c>
      <c r="F217" s="45">
        <v>5728270</v>
      </c>
      <c r="G217" s="15">
        <v>170000</v>
      </c>
      <c r="H217" s="43"/>
      <c r="I217" s="43" t="s">
        <v>679</v>
      </c>
      <c r="J217" s="43" t="s">
        <v>812</v>
      </c>
      <c r="K217" s="43" t="s">
        <v>813</v>
      </c>
      <c r="L217" s="151" t="s">
        <v>1452</v>
      </c>
      <c r="M217" s="155" t="s">
        <v>1453</v>
      </c>
      <c r="N217" s="144">
        <v>40.130000000000003</v>
      </c>
      <c r="O217" s="43" t="s">
        <v>25</v>
      </c>
      <c r="P217" s="47" t="s">
        <v>19</v>
      </c>
      <c r="Q217" s="144">
        <v>40.130000000000003</v>
      </c>
      <c r="R217" s="43">
        <v>0</v>
      </c>
      <c r="S217" s="16" t="s">
        <v>20</v>
      </c>
      <c r="T217" s="215">
        <v>0.7</v>
      </c>
      <c r="U217" s="215">
        <v>0.3</v>
      </c>
      <c r="V217" s="215"/>
      <c r="W217" s="485"/>
      <c r="X217" s="215"/>
      <c r="Y217" s="43"/>
      <c r="Z217" s="46"/>
      <c r="AA217" s="43"/>
      <c r="AB217" s="43"/>
      <c r="AC217" s="46">
        <v>2</v>
      </c>
      <c r="AD217" s="17"/>
      <c r="AE217" s="48"/>
      <c r="AF217" s="37" t="s">
        <v>816</v>
      </c>
      <c r="AG217" s="47"/>
      <c r="AH217" s="49">
        <f>Table2[[#This Row],[Prix de vente ($)]]/Table2[[#This Row],[Superficie totale (ha)]]</f>
        <v>4236.2322452030894</v>
      </c>
      <c r="AI217" s="49"/>
    </row>
    <row r="218" spans="1:36" ht="39" customHeight="1">
      <c r="A218" s="196" t="s">
        <v>1454</v>
      </c>
      <c r="C218" s="318">
        <v>45028</v>
      </c>
      <c r="F218" t="s">
        <v>1455</v>
      </c>
      <c r="G218" s="93">
        <v>235000</v>
      </c>
      <c r="I218" t="s">
        <v>50</v>
      </c>
      <c r="N218" s="50"/>
      <c r="AH218" s="49"/>
      <c r="AJ218" s="66"/>
    </row>
    <row r="219" spans="1:36" ht="39" customHeight="1">
      <c r="A219" s="187">
        <v>27955196</v>
      </c>
      <c r="B219" s="43"/>
      <c r="C219" s="148">
        <v>45029</v>
      </c>
      <c r="D219" s="37" t="s">
        <v>1456</v>
      </c>
      <c r="E219" s="37" t="s">
        <v>1457</v>
      </c>
      <c r="F219" s="45">
        <v>5660846</v>
      </c>
      <c r="G219" s="15">
        <v>70000</v>
      </c>
      <c r="H219" s="43"/>
      <c r="I219" s="43" t="s">
        <v>160</v>
      </c>
      <c r="J219" s="43" t="s">
        <v>1458</v>
      </c>
      <c r="K219" s="43" t="s">
        <v>1459</v>
      </c>
      <c r="L219" s="151" t="s">
        <v>1460</v>
      </c>
      <c r="M219" s="155" t="s">
        <v>1461</v>
      </c>
      <c r="N219" s="144">
        <v>10.15</v>
      </c>
      <c r="O219" s="43" t="s">
        <v>18</v>
      </c>
      <c r="P219" s="47" t="s">
        <v>35</v>
      </c>
      <c r="Q219" s="144">
        <v>10.15</v>
      </c>
      <c r="R219" s="43">
        <v>0</v>
      </c>
      <c r="S219" s="16" t="s">
        <v>20</v>
      </c>
      <c r="T219" s="215">
        <v>0.8</v>
      </c>
      <c r="U219" s="215">
        <v>0.2</v>
      </c>
      <c r="V219" s="215"/>
      <c r="W219" s="485"/>
      <c r="X219" s="215"/>
      <c r="Y219" s="43"/>
      <c r="Z219" s="46"/>
      <c r="AA219" s="43"/>
      <c r="AB219" s="43"/>
      <c r="AC219" s="46">
        <v>6.9</v>
      </c>
      <c r="AD219" s="17"/>
      <c r="AE219" s="48"/>
      <c r="AF219" s="37" t="s">
        <v>1462</v>
      </c>
      <c r="AG219" s="47"/>
      <c r="AH219" s="49">
        <f>Table2[[#This Row],[Prix de vente ($)]]/Table2[[#This Row],[Superficie totale (ha)]]</f>
        <v>6896.5517241379312</v>
      </c>
      <c r="AI219" s="49"/>
      <c r="AJ219" s="66"/>
    </row>
    <row r="220" spans="1:36" ht="39" customHeight="1">
      <c r="A220" s="196">
        <v>27956552</v>
      </c>
      <c r="C220" s="318">
        <v>45030</v>
      </c>
      <c r="D220" s="247" t="s">
        <v>1463</v>
      </c>
      <c r="E220" s="247" t="s">
        <v>1464</v>
      </c>
      <c r="F220" s="247" t="s">
        <v>1465</v>
      </c>
      <c r="G220" s="93">
        <v>560000</v>
      </c>
      <c r="I220" t="s">
        <v>408</v>
      </c>
      <c r="J220" t="s">
        <v>1466</v>
      </c>
      <c r="L220" s="205">
        <v>45.991083000000003</v>
      </c>
      <c r="M220" s="205">
        <v>-71.998073000000005</v>
      </c>
      <c r="N220" s="211">
        <v>20.99</v>
      </c>
      <c r="O220" t="s">
        <v>18</v>
      </c>
      <c r="P220" t="s">
        <v>35</v>
      </c>
      <c r="Q220" s="199">
        <v>19.100000000000001</v>
      </c>
      <c r="R220">
        <v>1</v>
      </c>
      <c r="S220" s="94" t="s">
        <v>175</v>
      </c>
      <c r="T220" s="222">
        <v>0.5</v>
      </c>
      <c r="U220" s="222">
        <v>0.5</v>
      </c>
      <c r="V220" s="222">
        <v>0.85</v>
      </c>
      <c r="AC220" s="63">
        <v>2.6</v>
      </c>
      <c r="AF220" t="s">
        <v>1467</v>
      </c>
      <c r="AH220" s="49">
        <f>Table2[[#This Row],[Prix de vente ($)]]/Table2[[#This Row],[Superficie totale (ha)]]</f>
        <v>26679.371129109102</v>
      </c>
    </row>
    <row r="221" spans="1:36" ht="39" customHeight="1">
      <c r="A221" s="187">
        <v>27958613</v>
      </c>
      <c r="B221" s="43"/>
      <c r="C221" s="148">
        <v>45033</v>
      </c>
      <c r="D221" s="37" t="s">
        <v>1468</v>
      </c>
      <c r="E221" s="37" t="s">
        <v>1469</v>
      </c>
      <c r="F221" s="43">
        <v>5286269</v>
      </c>
      <c r="G221" s="52">
        <v>70000</v>
      </c>
      <c r="H221" s="43"/>
      <c r="I221" s="43" t="s">
        <v>274</v>
      </c>
      <c r="J221" s="43" t="s">
        <v>275</v>
      </c>
      <c r="K221" s="43" t="s">
        <v>1470</v>
      </c>
      <c r="L221" s="142" t="s">
        <v>1471</v>
      </c>
      <c r="M221" s="142" t="s">
        <v>1472</v>
      </c>
      <c r="N221" s="144">
        <v>13.81</v>
      </c>
      <c r="O221" s="43" t="s">
        <v>25</v>
      </c>
      <c r="P221" s="47" t="s">
        <v>63</v>
      </c>
      <c r="Q221" s="139">
        <v>13.81</v>
      </c>
      <c r="R221" s="43"/>
      <c r="S221" s="1" t="s">
        <v>1220</v>
      </c>
      <c r="T221" s="217">
        <v>0.7</v>
      </c>
      <c r="U221" s="217">
        <v>0.3</v>
      </c>
      <c r="V221" s="217">
        <v>0.35</v>
      </c>
      <c r="W221" s="487"/>
      <c r="X221" s="217"/>
      <c r="Y221" s="43"/>
      <c r="Z221" s="46"/>
      <c r="AA221" s="43"/>
      <c r="AB221" s="43"/>
      <c r="AC221" s="46"/>
      <c r="AD221" s="53"/>
      <c r="AE221" s="48"/>
      <c r="AF221" s="37" t="s">
        <v>1473</v>
      </c>
      <c r="AG221" s="47"/>
      <c r="AH221" s="49">
        <f>Table2[[#This Row],[Prix de vente ($)]]/Table2[[#This Row],[Superficie totale (ha)]]</f>
        <v>5068.7907313540909</v>
      </c>
      <c r="AI221" s="49" t="e">
        <f>Bois!$G55/Bois!$AD55</f>
        <v>#DIV/0!</v>
      </c>
    </row>
    <row r="222" spans="1:36" ht="39" customHeight="1">
      <c r="A222" s="196">
        <v>27961588</v>
      </c>
      <c r="C222" s="318">
        <v>45034</v>
      </c>
      <c r="D222" s="247" t="s">
        <v>1474</v>
      </c>
      <c r="E222" s="247" t="s">
        <v>1475</v>
      </c>
      <c r="F222" s="247" t="s">
        <v>1476</v>
      </c>
      <c r="G222" s="134">
        <v>215000</v>
      </c>
      <c r="I222" t="s">
        <v>1477</v>
      </c>
      <c r="J222" t="s">
        <v>1478</v>
      </c>
      <c r="N222" s="211">
        <v>22.66</v>
      </c>
      <c r="O222" t="s">
        <v>18</v>
      </c>
      <c r="P222" s="47" t="s">
        <v>35</v>
      </c>
      <c r="Q222" s="211">
        <v>22.66</v>
      </c>
      <c r="S222" s="181" t="s">
        <v>20</v>
      </c>
      <c r="T222" s="222">
        <v>1</v>
      </c>
      <c r="U222" s="222">
        <v>0</v>
      </c>
      <c r="V222" s="222">
        <v>0.75</v>
      </c>
      <c r="AC222" s="63">
        <v>0</v>
      </c>
      <c r="AF222" t="s">
        <v>1479</v>
      </c>
      <c r="AH222" s="49">
        <f>Table2[[#This Row],[Prix de vente ($)]]/Table2[[#This Row],[Superficie totale (ha)]]</f>
        <v>9488.0847308031771</v>
      </c>
    </row>
    <row r="223" spans="1:36" ht="39" customHeight="1">
      <c r="A223" s="187">
        <v>28198419</v>
      </c>
      <c r="B223" s="43"/>
      <c r="C223" s="148">
        <v>45034</v>
      </c>
      <c r="D223" s="37" t="s">
        <v>1480</v>
      </c>
      <c r="E223" s="37" t="s">
        <v>1481</v>
      </c>
      <c r="F223" s="43" t="s">
        <v>1482</v>
      </c>
      <c r="G223" s="15">
        <v>560000</v>
      </c>
      <c r="H223" s="43"/>
      <c r="I223" s="43" t="s">
        <v>97</v>
      </c>
      <c r="J223" s="43" t="s">
        <v>106</v>
      </c>
      <c r="K223" s="43" t="s">
        <v>1483</v>
      </c>
      <c r="L223" s="151" t="s">
        <v>1484</v>
      </c>
      <c r="M223" s="155" t="s">
        <v>1485</v>
      </c>
      <c r="N223" s="139">
        <f>10.96+19.64+19.67+13.2+2.44</f>
        <v>65.91</v>
      </c>
      <c r="O223" s="43" t="s">
        <v>25</v>
      </c>
      <c r="P223" s="47" t="s">
        <v>425</v>
      </c>
      <c r="Q223" s="139">
        <f>10.96+19.64+19.67+13.2+2.44</f>
        <v>65.91</v>
      </c>
      <c r="R223" s="43"/>
      <c r="S223" s="16" t="s">
        <v>155</v>
      </c>
      <c r="T223" s="215">
        <v>0.9</v>
      </c>
      <c r="U223" s="215">
        <v>0.1</v>
      </c>
      <c r="V223" s="215" t="s">
        <v>1486</v>
      </c>
      <c r="W223" s="485"/>
      <c r="X223" s="215"/>
      <c r="Y223" s="43"/>
      <c r="Z223" s="46"/>
      <c r="AA223" s="43"/>
      <c r="AB223" s="43"/>
      <c r="AC223" s="46">
        <v>41</v>
      </c>
      <c r="AD223" s="17"/>
      <c r="AE223" s="48"/>
      <c r="AF223" s="37" t="s">
        <v>31</v>
      </c>
      <c r="AG223" s="47"/>
      <c r="AH223" s="49">
        <f>Table2[[#This Row],[Prix de vente ($)]]/Table2[[#This Row],[Superficie totale (ha)]]</f>
        <v>8496.4345319374916</v>
      </c>
      <c r="AI223" s="49" t="e">
        <v>#DIV/0!</v>
      </c>
    </row>
    <row r="224" spans="1:36" ht="39" customHeight="1">
      <c r="A224" s="189">
        <v>27961457</v>
      </c>
      <c r="B224" s="80"/>
      <c r="C224" s="318">
        <v>45034</v>
      </c>
      <c r="D224" s="80" t="s">
        <v>1487</v>
      </c>
      <c r="E224" s="80" t="s">
        <v>1488</v>
      </c>
      <c r="F224" s="43" t="s">
        <v>1489</v>
      </c>
      <c r="G224" s="134">
        <v>35000</v>
      </c>
      <c r="H224" s="80"/>
      <c r="I224" s="80" t="s">
        <v>29</v>
      </c>
      <c r="J224" s="20" t="s">
        <v>1490</v>
      </c>
      <c r="K224" s="43" t="s">
        <v>1491</v>
      </c>
      <c r="L224" s="199">
        <v>46.832304000000001</v>
      </c>
      <c r="M224" s="199">
        <v>-70.692488999999995</v>
      </c>
      <c r="N224" s="199">
        <v>13.88</v>
      </c>
      <c r="O224" s="80" t="s">
        <v>18</v>
      </c>
      <c r="P224" s="80" t="s">
        <v>1179</v>
      </c>
      <c r="Q224" s="199">
        <v>13.88</v>
      </c>
      <c r="R224" s="80"/>
      <c r="S224" s="80" t="s">
        <v>62</v>
      </c>
      <c r="T224" s="216">
        <v>0.8</v>
      </c>
      <c r="U224" s="216">
        <v>0.2</v>
      </c>
      <c r="V224" s="216">
        <v>0.75</v>
      </c>
      <c r="W224" s="199"/>
      <c r="X224" s="216"/>
      <c r="Y224" s="80"/>
      <c r="Z224" s="80"/>
      <c r="AA224" s="80"/>
      <c r="AB224" s="80"/>
      <c r="AC224" s="80"/>
      <c r="AD224" s="80"/>
      <c r="AE224" s="80"/>
      <c r="AF224" s="80"/>
      <c r="AG224" s="80"/>
      <c r="AH224" s="49">
        <f>Table2[[#This Row],[Prix de vente ($)]]/Table2[[#This Row],[Superficie totale (ha)]]</f>
        <v>2521.613832853026</v>
      </c>
      <c r="AI224" s="80"/>
    </row>
    <row r="225" spans="1:36" ht="39" customHeight="1">
      <c r="A225" s="187">
        <v>27966022</v>
      </c>
      <c r="B225" s="43"/>
      <c r="C225" s="148">
        <v>45035</v>
      </c>
      <c r="D225" s="37" t="s">
        <v>1492</v>
      </c>
      <c r="E225" s="37" t="s">
        <v>1493</v>
      </c>
      <c r="F225" s="43">
        <v>5433187</v>
      </c>
      <c r="G225" s="52">
        <v>40000</v>
      </c>
      <c r="H225" s="43"/>
      <c r="I225" s="43" t="s">
        <v>747</v>
      </c>
      <c r="J225" s="43" t="s">
        <v>1494</v>
      </c>
      <c r="K225" s="43" t="s">
        <v>1494</v>
      </c>
      <c r="L225" s="142" t="s">
        <v>1495</v>
      </c>
      <c r="M225" s="142" t="s">
        <v>1496</v>
      </c>
      <c r="N225" s="144">
        <v>4.58</v>
      </c>
      <c r="O225" s="43" t="s">
        <v>18</v>
      </c>
      <c r="P225" s="43" t="s">
        <v>206</v>
      </c>
      <c r="Q225" s="144">
        <f>Bois!$N56</f>
        <v>5.4925929263556883</v>
      </c>
      <c r="R225" s="43"/>
      <c r="S225" s="1" t="s">
        <v>1220</v>
      </c>
      <c r="T225" s="217">
        <v>0.7</v>
      </c>
      <c r="U225" s="217">
        <v>0.3</v>
      </c>
      <c r="V225" s="217"/>
      <c r="W225" s="487"/>
      <c r="X225" s="217"/>
      <c r="Y225" s="43"/>
      <c r="Z225" s="46"/>
      <c r="AA225" s="43"/>
      <c r="AB225" s="43"/>
      <c r="AC225" s="46">
        <v>1</v>
      </c>
      <c r="AD225" s="53"/>
      <c r="AE225" s="48"/>
      <c r="AF225" s="37"/>
      <c r="AG225" s="47"/>
      <c r="AH225" s="49">
        <f>Table2[[#This Row],[Prix de vente ($)]]/Table2[[#This Row],[Superficie totale (ha)]]</f>
        <v>8733.6244541484721</v>
      </c>
      <c r="AI225" s="49">
        <f>Bois!$G56/Bois!$AD56</f>
        <v>110</v>
      </c>
    </row>
    <row r="226" spans="1:36" ht="39" customHeight="1">
      <c r="A226" s="195">
        <v>27969924</v>
      </c>
      <c r="C226" s="148">
        <v>45036</v>
      </c>
      <c r="D226" s="37" t="s">
        <v>1497</v>
      </c>
      <c r="E226" s="37" t="s">
        <v>1498</v>
      </c>
      <c r="F226" s="43" t="s">
        <v>1499</v>
      </c>
      <c r="G226" s="15">
        <v>175000</v>
      </c>
      <c r="H226" s="43"/>
      <c r="I226" s="34" t="s">
        <v>258</v>
      </c>
      <c r="J226" s="43" t="s">
        <v>1377</v>
      </c>
      <c r="K226" s="43" t="s">
        <v>1500</v>
      </c>
      <c r="L226" s="151" t="s">
        <v>1501</v>
      </c>
      <c r="M226" s="151" t="s">
        <v>1502</v>
      </c>
      <c r="N226" s="144">
        <f>38.9108</f>
        <v>38.910800000000002</v>
      </c>
      <c r="O226" s="43" t="s">
        <v>25</v>
      </c>
      <c r="P226" s="47" t="s">
        <v>19</v>
      </c>
      <c r="Q226" s="144">
        <f>Bois!$N57</f>
        <v>6.51</v>
      </c>
      <c r="R226" s="43"/>
      <c r="S226" s="16" t="s">
        <v>369</v>
      </c>
      <c r="T226" s="215"/>
      <c r="U226" s="215"/>
      <c r="V226" s="215"/>
      <c r="W226" s="485"/>
      <c r="X226" s="215"/>
      <c r="Y226" s="43"/>
      <c r="Z226" s="46"/>
      <c r="AA226" s="43"/>
      <c r="AB226" s="43"/>
      <c r="AC226" s="46"/>
      <c r="AD226" s="17"/>
      <c r="AE226" s="48"/>
      <c r="AF226" s="37" t="s">
        <v>1503</v>
      </c>
      <c r="AG226" s="47"/>
      <c r="AH226" s="49">
        <f>Table2[[#This Row],[Prix de vente ($)]]/Table2[[#This Row],[Superficie totale (ha)]]</f>
        <v>4497.4659991570461</v>
      </c>
      <c r="AI226" s="49" t="e">
        <f>Bois!$G57/Bois!$AD57</f>
        <v>#DIV/0!</v>
      </c>
    </row>
    <row r="227" spans="1:36" ht="39" customHeight="1">
      <c r="A227" s="196">
        <v>27968969</v>
      </c>
      <c r="C227" s="318">
        <v>45037</v>
      </c>
      <c r="D227" t="s">
        <v>1504</v>
      </c>
      <c r="E227" t="s">
        <v>1505</v>
      </c>
      <c r="F227" t="s">
        <v>1506</v>
      </c>
      <c r="G227" s="134">
        <v>150000</v>
      </c>
      <c r="I227" t="s">
        <v>1171</v>
      </c>
      <c r="J227" t="s">
        <v>1172</v>
      </c>
      <c r="K227" s="255" t="s">
        <v>1173</v>
      </c>
      <c r="L227" s="205">
        <v>45.770955000000001</v>
      </c>
      <c r="M227" s="205">
        <v>-71.638970999999998</v>
      </c>
      <c r="N227" s="211">
        <v>29.05</v>
      </c>
      <c r="O227" t="s">
        <v>18</v>
      </c>
      <c r="P227" t="s">
        <v>19</v>
      </c>
      <c r="Q227" s="199">
        <v>29.05</v>
      </c>
      <c r="S227" s="94" t="s">
        <v>102</v>
      </c>
      <c r="T227" s="222">
        <v>0.2</v>
      </c>
      <c r="U227" s="222">
        <v>0.8</v>
      </c>
      <c r="V227" s="222">
        <v>0.55000000000000004</v>
      </c>
      <c r="AH227" s="49">
        <f>Table2[[#This Row],[Prix de vente ($)]]/Table2[[#This Row],[Superficie totale (ha)]]</f>
        <v>5163.5111876075734</v>
      </c>
    </row>
    <row r="228" spans="1:36" ht="39" customHeight="1">
      <c r="A228" s="191">
        <v>27998945</v>
      </c>
      <c r="B228" s="43"/>
      <c r="C228" s="148">
        <v>45050</v>
      </c>
      <c r="D228" s="37" t="s">
        <v>1507</v>
      </c>
      <c r="E228" s="37" t="s">
        <v>1508</v>
      </c>
      <c r="F228" s="34">
        <v>4059861</v>
      </c>
      <c r="G228" s="59">
        <v>55000</v>
      </c>
      <c r="H228" s="43"/>
      <c r="I228" s="34" t="s">
        <v>49</v>
      </c>
      <c r="J228" s="37" t="s">
        <v>1153</v>
      </c>
      <c r="K228" s="43" t="s">
        <v>1509</v>
      </c>
      <c r="L228" s="139" t="s">
        <v>1510</v>
      </c>
      <c r="M228" s="139" t="s">
        <v>1511</v>
      </c>
      <c r="N228" s="144">
        <v>9.39</v>
      </c>
      <c r="O228" s="43" t="s">
        <v>18</v>
      </c>
      <c r="P228" s="47"/>
      <c r="Q228" s="144">
        <f>9.39-0.9</f>
        <v>8.49</v>
      </c>
      <c r="R228" s="46"/>
      <c r="S228" s="43"/>
      <c r="T228" s="217"/>
      <c r="U228" s="217"/>
      <c r="V228" s="217"/>
      <c r="W228" s="487"/>
      <c r="X228" s="217"/>
      <c r="Y228" s="43"/>
      <c r="Z228" s="46"/>
      <c r="AA228" s="43"/>
      <c r="AB228" s="43"/>
      <c r="AC228" s="46">
        <v>0.8</v>
      </c>
      <c r="AD228" s="53"/>
      <c r="AE228" s="48"/>
      <c r="AF228" s="37" t="s">
        <v>1512</v>
      </c>
      <c r="AG228" s="47"/>
      <c r="AH228" s="49">
        <f>Table2[[#This Row],[Prix de vente ($)]]/Table2[[#This Row],[Superficie totale (ha)]]</f>
        <v>5857.294994675186</v>
      </c>
      <c r="AI228" s="49" t="e">
        <f>Bois!$G58/Bois!$AD58</f>
        <v>#DIV/0!</v>
      </c>
    </row>
    <row r="229" spans="1:36" ht="39" customHeight="1">
      <c r="A229" s="196">
        <v>28002086</v>
      </c>
      <c r="C229" s="318">
        <v>45054</v>
      </c>
      <c r="D229" s="20" t="s">
        <v>1513</v>
      </c>
      <c r="E229" t="s">
        <v>1514</v>
      </c>
      <c r="F229" t="s">
        <v>1515</v>
      </c>
      <c r="G229" s="134">
        <v>40000</v>
      </c>
      <c r="I229" t="s">
        <v>1516</v>
      </c>
      <c r="J229" t="s">
        <v>1517</v>
      </c>
      <c r="K229" s="20" t="s">
        <v>1518</v>
      </c>
      <c r="L229" s="205">
        <v>45.786501000000001</v>
      </c>
      <c r="M229" s="205">
        <v>-74.272176000000002</v>
      </c>
      <c r="N229" s="211">
        <v>9.49</v>
      </c>
      <c r="O229" t="s">
        <v>25</v>
      </c>
      <c r="P229" t="s">
        <v>35</v>
      </c>
      <c r="Q229" s="199">
        <v>9.49</v>
      </c>
      <c r="S229" s="94" t="s">
        <v>20</v>
      </c>
      <c r="T229" s="222">
        <v>0.6</v>
      </c>
      <c r="U229" s="222">
        <v>0.4</v>
      </c>
      <c r="V229" s="222">
        <v>0.65</v>
      </c>
      <c r="AH229" s="49">
        <f>Table2[[#This Row],[Prix de vente ($)]]/Table2[[#This Row],[Superficie totale (ha)]]</f>
        <v>4214.9631190727077</v>
      </c>
    </row>
    <row r="230" spans="1:36" ht="39" customHeight="1">
      <c r="A230" s="187">
        <v>28011345</v>
      </c>
      <c r="B230" s="43"/>
      <c r="C230" s="148">
        <v>45058</v>
      </c>
      <c r="D230" s="37" t="s">
        <v>1519</v>
      </c>
      <c r="E230" s="37" t="s">
        <v>1520</v>
      </c>
      <c r="F230" s="45">
        <v>6117354</v>
      </c>
      <c r="G230" s="15">
        <v>187600</v>
      </c>
      <c r="H230" s="43"/>
      <c r="I230" s="43" t="s">
        <v>160</v>
      </c>
      <c r="J230" s="43" t="s">
        <v>1521</v>
      </c>
      <c r="K230" s="43" t="s">
        <v>1522</v>
      </c>
      <c r="L230" s="151" t="s">
        <v>1523</v>
      </c>
      <c r="M230" s="155" t="s">
        <v>1524</v>
      </c>
      <c r="N230" s="144">
        <v>47.45</v>
      </c>
      <c r="O230" s="43" t="s">
        <v>18</v>
      </c>
      <c r="P230" s="47" t="s">
        <v>19</v>
      </c>
      <c r="Q230" s="144">
        <v>47.45</v>
      </c>
      <c r="R230" s="43">
        <v>0</v>
      </c>
      <c r="S230" s="16" t="s">
        <v>102</v>
      </c>
      <c r="T230" s="215">
        <v>0.4</v>
      </c>
      <c r="U230" s="215">
        <v>0.6</v>
      </c>
      <c r="V230" s="215"/>
      <c r="W230" s="485"/>
      <c r="X230" s="215"/>
      <c r="Y230" s="43"/>
      <c r="Z230" s="46"/>
      <c r="AA230" s="43"/>
      <c r="AB230" s="43"/>
      <c r="AC230" s="46">
        <v>16.8</v>
      </c>
      <c r="AD230" s="17"/>
      <c r="AE230" s="48"/>
      <c r="AF230" s="37" t="s">
        <v>1525</v>
      </c>
      <c r="AG230" s="47"/>
      <c r="AH230" s="49">
        <f>Table2[[#This Row],[Prix de vente ($)]]/Table2[[#This Row],[Superficie totale (ha)]]</f>
        <v>3953.6354056902001</v>
      </c>
      <c r="AI230" s="49"/>
    </row>
    <row r="231" spans="1:36" ht="39" customHeight="1">
      <c r="A231" s="187">
        <v>28077477</v>
      </c>
      <c r="B231" s="43"/>
      <c r="C231" s="148">
        <v>45062</v>
      </c>
      <c r="D231" s="37" t="s">
        <v>1526</v>
      </c>
      <c r="E231" s="37" t="s">
        <v>1527</v>
      </c>
      <c r="F231" s="45">
        <v>5310293</v>
      </c>
      <c r="G231" s="15">
        <v>100000</v>
      </c>
      <c r="H231" s="43"/>
      <c r="I231" s="43" t="s">
        <v>1075</v>
      </c>
      <c r="J231" s="43" t="s">
        <v>45</v>
      </c>
      <c r="K231" s="16" t="s">
        <v>1076</v>
      </c>
      <c r="L231" s="151" t="s">
        <v>1528</v>
      </c>
      <c r="M231" s="155" t="s">
        <v>1529</v>
      </c>
      <c r="N231" s="144">
        <v>5.71</v>
      </c>
      <c r="O231" s="43" t="s">
        <v>18</v>
      </c>
      <c r="P231" s="47" t="s">
        <v>35</v>
      </c>
      <c r="Q231" s="144">
        <v>5.71</v>
      </c>
      <c r="R231" s="43">
        <v>0</v>
      </c>
      <c r="S231" s="16" t="s">
        <v>20</v>
      </c>
      <c r="T231" s="215">
        <v>0.85</v>
      </c>
      <c r="U231" s="215">
        <v>0.15</v>
      </c>
      <c r="V231" s="215"/>
      <c r="W231" s="485"/>
      <c r="X231" s="215"/>
      <c r="Y231" s="43"/>
      <c r="Z231" s="46"/>
      <c r="AA231" s="43"/>
      <c r="AB231" s="43"/>
      <c r="AC231" s="46">
        <f>5.71-1.01</f>
        <v>4.7</v>
      </c>
      <c r="AD231" s="17"/>
      <c r="AE231" s="48"/>
      <c r="AF231" s="37" t="s">
        <v>126</v>
      </c>
      <c r="AG231" s="47"/>
      <c r="AH231" s="49">
        <f>Table2[[#This Row],[Prix de vente ($)]]/Table2[[#This Row],[Superficie totale (ha)]]</f>
        <v>17513.134851138355</v>
      </c>
      <c r="AI231" s="49"/>
    </row>
    <row r="232" spans="1:36" ht="39" customHeight="1">
      <c r="A232" s="187">
        <v>28214808</v>
      </c>
      <c r="B232" s="43"/>
      <c r="C232" s="148">
        <v>45062</v>
      </c>
      <c r="D232" s="37" t="s">
        <v>1530</v>
      </c>
      <c r="E232" s="37" t="s">
        <v>1531</v>
      </c>
      <c r="F232" s="45">
        <v>5891760</v>
      </c>
      <c r="G232" s="15">
        <v>150000</v>
      </c>
      <c r="H232" s="43"/>
      <c r="I232" s="43" t="s">
        <v>408</v>
      </c>
      <c r="J232" s="43" t="s">
        <v>409</v>
      </c>
      <c r="K232" s="43" t="s">
        <v>1532</v>
      </c>
      <c r="L232" s="151" t="s">
        <v>1533</v>
      </c>
      <c r="M232" s="155" t="s">
        <v>1534</v>
      </c>
      <c r="N232" s="144">
        <v>20</v>
      </c>
      <c r="O232" s="43" t="s">
        <v>18</v>
      </c>
      <c r="P232" s="47" t="s">
        <v>19</v>
      </c>
      <c r="Q232" s="144">
        <v>20</v>
      </c>
      <c r="R232" s="43">
        <v>0</v>
      </c>
      <c r="S232" s="16" t="s">
        <v>20</v>
      </c>
      <c r="T232" s="215">
        <v>0.7</v>
      </c>
      <c r="U232" s="215">
        <v>0.3</v>
      </c>
      <c r="V232" s="215"/>
      <c r="W232" s="485"/>
      <c r="X232" s="215"/>
      <c r="Y232" s="43"/>
      <c r="Z232" s="46"/>
      <c r="AA232" s="43"/>
      <c r="AB232" s="43"/>
      <c r="AC232" s="46">
        <v>8.3000000000000007</v>
      </c>
      <c r="AD232" s="17"/>
      <c r="AE232" s="48"/>
      <c r="AF232" s="37" t="s">
        <v>197</v>
      </c>
      <c r="AG232" s="47"/>
      <c r="AH232" s="49">
        <f>Table2[[#This Row],[Prix de vente ($)]]/Table2[[#This Row],[Superficie totale (ha)]]</f>
        <v>7500</v>
      </c>
      <c r="AI232" s="49"/>
    </row>
    <row r="233" spans="1:36" ht="39" customHeight="1">
      <c r="A233" s="187">
        <v>28094704</v>
      </c>
      <c r="B233" s="43"/>
      <c r="C233" s="148">
        <v>45062</v>
      </c>
      <c r="D233" s="37" t="s">
        <v>1535</v>
      </c>
      <c r="E233" s="37" t="s">
        <v>1536</v>
      </c>
      <c r="F233" s="45" t="s">
        <v>1537</v>
      </c>
      <c r="G233" s="15">
        <v>315000</v>
      </c>
      <c r="H233" s="43"/>
      <c r="I233" s="43" t="s">
        <v>328</v>
      </c>
      <c r="J233" s="43" t="s">
        <v>329</v>
      </c>
      <c r="K233" s="43" t="s">
        <v>1538</v>
      </c>
      <c r="L233" s="151" t="s">
        <v>1539</v>
      </c>
      <c r="M233" s="155" t="s">
        <v>1540</v>
      </c>
      <c r="N233" s="144">
        <v>81.73</v>
      </c>
      <c r="O233" s="43" t="s">
        <v>25</v>
      </c>
      <c r="P233" s="47" t="s">
        <v>19</v>
      </c>
      <c r="Q233" s="144">
        <v>77.33</v>
      </c>
      <c r="R233" s="43">
        <v>0</v>
      </c>
      <c r="S233" s="16" t="s">
        <v>20</v>
      </c>
      <c r="T233" s="215">
        <v>0.6</v>
      </c>
      <c r="U233" s="215">
        <v>0.4</v>
      </c>
      <c r="V233" s="215"/>
      <c r="W233" s="485"/>
      <c r="X233" s="215"/>
      <c r="Y233" s="43"/>
      <c r="Z233" s="46"/>
      <c r="AA233" s="43"/>
      <c r="AB233" s="43"/>
      <c r="AC233" s="46">
        <v>22.2</v>
      </c>
      <c r="AD233" s="17"/>
      <c r="AE233" s="48"/>
      <c r="AF233" s="37" t="s">
        <v>1541</v>
      </c>
      <c r="AG233" s="47"/>
      <c r="AH233" s="49">
        <f>Table2[[#This Row],[Prix de vente ($)]]/Table2[[#This Row],[Superficie totale (ha)]]</f>
        <v>3854.1539214486725</v>
      </c>
      <c r="AI233" s="49"/>
    </row>
    <row r="234" spans="1:36" ht="39" customHeight="1">
      <c r="A234" s="192">
        <v>28027249</v>
      </c>
      <c r="B234" s="77"/>
      <c r="C234" s="362">
        <v>45065</v>
      </c>
      <c r="D234" s="77" t="s">
        <v>1542</v>
      </c>
      <c r="E234" s="77" t="s">
        <v>1543</v>
      </c>
      <c r="F234" s="77" t="s">
        <v>1544</v>
      </c>
      <c r="G234" s="83">
        <v>125000</v>
      </c>
      <c r="H234" s="77"/>
      <c r="I234" s="77" t="s">
        <v>654</v>
      </c>
      <c r="J234" s="77" t="s">
        <v>510</v>
      </c>
      <c r="K234" s="77" t="s">
        <v>1545</v>
      </c>
      <c r="L234" s="207" t="s">
        <v>1546</v>
      </c>
      <c r="M234" s="203" t="s">
        <v>1547</v>
      </c>
      <c r="N234" s="210">
        <f>1.47+1.39</f>
        <v>2.86</v>
      </c>
      <c r="O234" s="67" t="s">
        <v>36</v>
      </c>
      <c r="P234" s="71" t="s">
        <v>206</v>
      </c>
      <c r="Q234" s="212">
        <v>2.86</v>
      </c>
      <c r="R234" s="77">
        <v>0</v>
      </c>
      <c r="S234" s="84" t="s">
        <v>155</v>
      </c>
      <c r="T234" s="221">
        <v>1</v>
      </c>
      <c r="U234" s="221">
        <v>0</v>
      </c>
      <c r="V234" s="221"/>
      <c r="W234" s="493"/>
      <c r="X234" s="221"/>
      <c r="Y234" s="77"/>
      <c r="Z234" s="85"/>
      <c r="AA234" s="77"/>
      <c r="AB234" s="77"/>
      <c r="AC234" s="85">
        <v>2.1</v>
      </c>
      <c r="AD234" s="86"/>
      <c r="AE234" s="85"/>
      <c r="AF234" s="77" t="s">
        <v>1548</v>
      </c>
      <c r="AG234" s="77"/>
      <c r="AH234" s="49">
        <f>Table2[[#This Row],[Prix de vente ($)]]/Table2[[#This Row],[Superficie totale (ha)]]</f>
        <v>43706.293706293705</v>
      </c>
      <c r="AI234" s="77"/>
    </row>
    <row r="235" spans="1:36" ht="39" customHeight="1">
      <c r="A235" s="187">
        <v>28026437</v>
      </c>
      <c r="B235" s="43"/>
      <c r="C235" s="148">
        <v>45065</v>
      </c>
      <c r="D235" s="37" t="s">
        <v>1549</v>
      </c>
      <c r="E235" s="37" t="s">
        <v>1550</v>
      </c>
      <c r="F235" s="45" t="s">
        <v>1551</v>
      </c>
      <c r="G235" s="15">
        <v>25000</v>
      </c>
      <c r="H235" s="43"/>
      <c r="I235" s="43" t="s">
        <v>602</v>
      </c>
      <c r="J235" s="43" t="s">
        <v>1552</v>
      </c>
      <c r="K235" s="43" t="s">
        <v>1553</v>
      </c>
      <c r="L235" s="151" t="s">
        <v>1554</v>
      </c>
      <c r="M235" s="155" t="s">
        <v>1555</v>
      </c>
      <c r="N235" s="144">
        <f>8.37+1.53</f>
        <v>9.8999999999999986</v>
      </c>
      <c r="O235" s="43" t="s">
        <v>25</v>
      </c>
      <c r="P235" s="47" t="s">
        <v>165</v>
      </c>
      <c r="Q235" s="144">
        <v>9.9</v>
      </c>
      <c r="R235" s="43">
        <v>0</v>
      </c>
      <c r="S235" s="16" t="s">
        <v>102</v>
      </c>
      <c r="T235" s="215">
        <v>0.4</v>
      </c>
      <c r="U235" s="215">
        <v>0.6</v>
      </c>
      <c r="V235" s="215"/>
      <c r="W235" s="485"/>
      <c r="X235" s="215"/>
      <c r="Y235" s="43"/>
      <c r="Z235" s="46"/>
      <c r="AA235" s="43"/>
      <c r="AB235" s="43"/>
      <c r="AC235" s="46">
        <v>0</v>
      </c>
      <c r="AD235" s="17"/>
      <c r="AE235" s="48"/>
      <c r="AF235" s="37" t="s">
        <v>1556</v>
      </c>
      <c r="AG235" s="47"/>
      <c r="AH235" s="49">
        <f>Table2[[#This Row],[Prix de vente ($)]]/Table2[[#This Row],[Superficie totale (ha)]]</f>
        <v>2525.2525252525256</v>
      </c>
      <c r="AI235" s="49"/>
    </row>
    <row r="236" spans="1:36" ht="39" customHeight="1">
      <c r="A236" s="187">
        <v>28027372</v>
      </c>
      <c r="B236" s="43"/>
      <c r="C236" s="148">
        <v>45065</v>
      </c>
      <c r="D236" s="37" t="s">
        <v>1557</v>
      </c>
      <c r="E236" s="37" t="s">
        <v>1558</v>
      </c>
      <c r="F236" s="45" t="s">
        <v>1559</v>
      </c>
      <c r="G236" s="15">
        <v>335000</v>
      </c>
      <c r="H236" s="43"/>
      <c r="I236" s="43" t="s">
        <v>160</v>
      </c>
      <c r="J236" s="43" t="s">
        <v>1560</v>
      </c>
      <c r="K236" s="43" t="s">
        <v>1561</v>
      </c>
      <c r="L236" s="151" t="s">
        <v>1562</v>
      </c>
      <c r="M236" s="155" t="s">
        <v>1563</v>
      </c>
      <c r="N236" s="144">
        <v>23.32</v>
      </c>
      <c r="O236" s="43" t="s">
        <v>18</v>
      </c>
      <c r="P236" s="47" t="s">
        <v>165</v>
      </c>
      <c r="Q236" s="144">
        <v>23.32</v>
      </c>
      <c r="R236" s="43">
        <v>0</v>
      </c>
      <c r="S236" s="16" t="s">
        <v>22</v>
      </c>
      <c r="T236" s="215">
        <v>0.5</v>
      </c>
      <c r="U236" s="215">
        <v>0.5</v>
      </c>
      <c r="V236" s="215"/>
      <c r="W236" s="485"/>
      <c r="X236" s="215"/>
      <c r="Y236" s="43"/>
      <c r="Z236" s="46"/>
      <c r="AA236" s="43"/>
      <c r="AB236" s="43"/>
      <c r="AC236" s="46">
        <v>10.3</v>
      </c>
      <c r="AD236" s="17"/>
      <c r="AE236" s="48"/>
      <c r="AF236" s="37" t="s">
        <v>1564</v>
      </c>
      <c r="AG236" s="47"/>
      <c r="AH236" s="49">
        <f>Table2[[#This Row],[Prix de vente ($)]]/Table2[[#This Row],[Superficie totale (ha)]]</f>
        <v>14365.351629502573</v>
      </c>
      <c r="AI236" s="49"/>
    </row>
    <row r="237" spans="1:36" ht="39" customHeight="1">
      <c r="A237" s="187">
        <v>28039819</v>
      </c>
      <c r="B237" s="43"/>
      <c r="C237" s="148">
        <v>45070</v>
      </c>
      <c r="D237" s="37" t="s">
        <v>1565</v>
      </c>
      <c r="E237" s="37" t="s">
        <v>1566</v>
      </c>
      <c r="F237" s="43">
        <v>3590399</v>
      </c>
      <c r="G237" s="15">
        <v>40000</v>
      </c>
      <c r="H237" s="43"/>
      <c r="I237" s="43" t="s">
        <v>522</v>
      </c>
      <c r="J237" s="43" t="s">
        <v>1567</v>
      </c>
      <c r="K237" s="43" t="s">
        <v>1568</v>
      </c>
      <c r="L237" s="151" t="s">
        <v>1569</v>
      </c>
      <c r="M237" s="155" t="s">
        <v>1570</v>
      </c>
      <c r="N237" s="144">
        <v>3.7</v>
      </c>
      <c r="O237" s="43" t="s">
        <v>18</v>
      </c>
      <c r="P237" s="47" t="s">
        <v>35</v>
      </c>
      <c r="Q237" s="144">
        <f>N237</f>
        <v>3.7</v>
      </c>
      <c r="R237" s="43"/>
      <c r="S237" s="16" t="s">
        <v>155</v>
      </c>
      <c r="T237" s="215">
        <v>0.9</v>
      </c>
      <c r="U237" s="215">
        <v>0.1</v>
      </c>
      <c r="V237" s="215"/>
      <c r="W237" s="485"/>
      <c r="X237" s="215"/>
      <c r="Y237" s="43"/>
      <c r="Z237" s="46"/>
      <c r="AA237" s="43"/>
      <c r="AB237" s="43"/>
      <c r="AC237" s="46">
        <v>3.3</v>
      </c>
      <c r="AD237" s="17"/>
      <c r="AE237" s="48"/>
      <c r="AF237" s="37"/>
      <c r="AG237" s="47"/>
      <c r="AH237" s="49">
        <f>Table2[[#This Row],[Prix de vente ($)]]/Table2[[#This Row],[Superficie totale (ha)]]</f>
        <v>10810.81081081081</v>
      </c>
      <c r="AI237" s="49" t="e">
        <f>G237/AD237</f>
        <v>#DIV/0!</v>
      </c>
    </row>
    <row r="238" spans="1:36" ht="39" customHeight="1">
      <c r="A238" s="196">
        <v>28035214</v>
      </c>
      <c r="C238" s="318">
        <v>45071</v>
      </c>
      <c r="D238" s="247" t="s">
        <v>1571</v>
      </c>
      <c r="E238" s="247" t="s">
        <v>1572</v>
      </c>
      <c r="F238" t="s">
        <v>1573</v>
      </c>
      <c r="G238" s="134">
        <v>80000</v>
      </c>
      <c r="I238" t="s">
        <v>537</v>
      </c>
      <c r="J238" t="s">
        <v>538</v>
      </c>
      <c r="L238" s="205">
        <v>46.633862999999998</v>
      </c>
      <c r="M238" s="205">
        <v>-75.372425000000007</v>
      </c>
      <c r="N238" s="211">
        <v>40.450000000000003</v>
      </c>
      <c r="O238" t="s">
        <v>25</v>
      </c>
      <c r="P238" t="s">
        <v>19</v>
      </c>
      <c r="Q238" s="199">
        <v>40.450000000000003</v>
      </c>
      <c r="S238" s="94" t="s">
        <v>62</v>
      </c>
      <c r="T238" s="222">
        <v>0.6</v>
      </c>
      <c r="U238" s="222">
        <v>0.4</v>
      </c>
      <c r="V238" s="222">
        <v>0.8</v>
      </c>
      <c r="AF238" t="s">
        <v>1574</v>
      </c>
      <c r="AH238" s="49">
        <f>Table2[[#This Row],[Prix de vente ($)]]/Table2[[#This Row],[Superficie totale (ha)]]</f>
        <v>1977.7503090234857</v>
      </c>
    </row>
    <row r="239" spans="1:36" ht="39" customHeight="1">
      <c r="A239" s="187">
        <v>28195055</v>
      </c>
      <c r="B239" s="43"/>
      <c r="C239" s="148">
        <v>45072</v>
      </c>
      <c r="D239" s="37" t="s">
        <v>1575</v>
      </c>
      <c r="E239" s="37" t="s">
        <v>1576</v>
      </c>
      <c r="F239" s="45">
        <v>3622723</v>
      </c>
      <c r="G239" s="15">
        <v>124000</v>
      </c>
      <c r="H239" s="43"/>
      <c r="I239" s="43" t="s">
        <v>258</v>
      </c>
      <c r="J239" s="43" t="s">
        <v>1315</v>
      </c>
      <c r="K239" s="43" t="s">
        <v>1577</v>
      </c>
      <c r="L239" s="151" t="s">
        <v>1578</v>
      </c>
      <c r="M239" s="155" t="s">
        <v>1579</v>
      </c>
      <c r="N239" s="144">
        <v>30.93</v>
      </c>
      <c r="O239" s="43" t="s">
        <v>132</v>
      </c>
      <c r="P239" s="47" t="s">
        <v>19</v>
      </c>
      <c r="Q239" s="144">
        <v>30.93</v>
      </c>
      <c r="R239" s="43">
        <v>0</v>
      </c>
      <c r="S239" s="16" t="s">
        <v>20</v>
      </c>
      <c r="T239" s="215">
        <v>0.7</v>
      </c>
      <c r="U239" s="215">
        <v>0.3</v>
      </c>
      <c r="V239" s="215"/>
      <c r="W239" s="485"/>
      <c r="X239" s="215"/>
      <c r="Y239" s="43"/>
      <c r="Z239" s="46"/>
      <c r="AA239" s="43"/>
      <c r="AB239" s="43"/>
      <c r="AC239" s="46">
        <v>0</v>
      </c>
      <c r="AD239" s="17"/>
      <c r="AE239" s="48"/>
      <c r="AF239" s="37" t="s">
        <v>1580</v>
      </c>
      <c r="AG239" s="47"/>
      <c r="AH239" s="49">
        <f>Table2[[#This Row],[Prix de vente ($)]]/Table2[[#This Row],[Superficie totale (ha)]]</f>
        <v>4009.0526996443582</v>
      </c>
      <c r="AI239" s="49"/>
    </row>
    <row r="240" spans="1:36" ht="39" customHeight="1">
      <c r="A240" s="196">
        <v>28072099</v>
      </c>
      <c r="C240" s="318">
        <v>45085</v>
      </c>
      <c r="F240" t="s">
        <v>1581</v>
      </c>
      <c r="G240" s="93">
        <v>20700</v>
      </c>
      <c r="I240" t="s">
        <v>515</v>
      </c>
      <c r="AH240" s="49" t="e">
        <f>Table2[[#This Row],[Prix de vente ($)]]/Table2[[#This Row],[Superficie totale (ha)]]</f>
        <v>#DIV/0!</v>
      </c>
      <c r="AJ240" s="89">
        <v>38500</v>
      </c>
    </row>
    <row r="241" spans="1:39" ht="39" customHeight="1">
      <c r="A241" s="196">
        <v>28084109</v>
      </c>
      <c r="C241" s="318">
        <v>45091</v>
      </c>
      <c r="D241" t="s">
        <v>1582</v>
      </c>
      <c r="E241" t="s">
        <v>575</v>
      </c>
      <c r="F241" s="269">
        <v>6575805</v>
      </c>
      <c r="G241" s="93">
        <v>170000</v>
      </c>
      <c r="I241" t="s">
        <v>53</v>
      </c>
      <c r="J241" t="s">
        <v>577</v>
      </c>
      <c r="K241" t="s">
        <v>952</v>
      </c>
      <c r="L241" s="205" t="s">
        <v>1583</v>
      </c>
      <c r="M241" s="270" t="s">
        <v>1584</v>
      </c>
      <c r="N241" s="211">
        <v>41.85</v>
      </c>
      <c r="O241" t="s">
        <v>18</v>
      </c>
      <c r="P241" t="s">
        <v>63</v>
      </c>
      <c r="S241" s="94" t="s">
        <v>20</v>
      </c>
      <c r="T241" s="222">
        <v>0.75</v>
      </c>
      <c r="U241" s="222">
        <v>0.25</v>
      </c>
      <c r="V241" s="222">
        <v>0.75</v>
      </c>
      <c r="AC241" s="63">
        <v>16.600000000000001</v>
      </c>
      <c r="AF241" t="s">
        <v>1585</v>
      </c>
      <c r="AH241" s="49">
        <f>Table2[[#This Row],[Prix de vente ($)]]/Table2[[#This Row],[Superficie totale (ha)]]</f>
        <v>4062.1266427718037</v>
      </c>
    </row>
    <row r="242" spans="1:39" ht="39" customHeight="1">
      <c r="A242" s="187">
        <v>28102519</v>
      </c>
      <c r="B242" s="43"/>
      <c r="C242" s="148">
        <v>45093</v>
      </c>
      <c r="D242" s="37" t="s">
        <v>1586</v>
      </c>
      <c r="E242" s="37" t="s">
        <v>1587</v>
      </c>
      <c r="F242" s="43" t="s">
        <v>1588</v>
      </c>
      <c r="G242" s="15">
        <v>50000</v>
      </c>
      <c r="H242" s="43"/>
      <c r="I242" s="43" t="s">
        <v>97</v>
      </c>
      <c r="J242" s="43" t="s">
        <v>98</v>
      </c>
      <c r="K242" s="43" t="s">
        <v>1589</v>
      </c>
      <c r="L242" s="151" t="s">
        <v>1590</v>
      </c>
      <c r="M242" s="155" t="s">
        <v>1591</v>
      </c>
      <c r="N242" s="144">
        <f>1.33+4.71</f>
        <v>6.04</v>
      </c>
      <c r="O242" s="43" t="s">
        <v>25</v>
      </c>
      <c r="P242" s="47" t="s">
        <v>1592</v>
      </c>
      <c r="Q242" s="144">
        <f>N242</f>
        <v>6.04</v>
      </c>
      <c r="R242" s="43"/>
      <c r="S242" s="16" t="s">
        <v>155</v>
      </c>
      <c r="T242" s="215">
        <v>0.9</v>
      </c>
      <c r="U242" s="215">
        <v>0.1</v>
      </c>
      <c r="V242" s="215" t="s">
        <v>599</v>
      </c>
      <c r="W242" s="485"/>
      <c r="X242" s="215"/>
      <c r="Y242" s="43"/>
      <c r="Z242" s="46"/>
      <c r="AA242" s="43"/>
      <c r="AB242" s="43"/>
      <c r="AC242" s="46">
        <v>0</v>
      </c>
      <c r="AD242" s="17"/>
      <c r="AE242" s="48"/>
      <c r="AF242" s="37" t="s">
        <v>31</v>
      </c>
      <c r="AG242" s="47"/>
      <c r="AH242" s="49">
        <f>Table2[[#This Row],[Prix de vente ($)]]/Table2[[#This Row],[Superficie totale (ha)]]</f>
        <v>8278.1456953642391</v>
      </c>
      <c r="AI242" s="43" t="e">
        <v>#DIV/0!</v>
      </c>
    </row>
    <row r="243" spans="1:39" ht="39" customHeight="1">
      <c r="A243" s="239" t="s">
        <v>1593</v>
      </c>
      <c r="C243" s="317">
        <v>45093</v>
      </c>
      <c r="D243" s="276" t="s">
        <v>1594</v>
      </c>
      <c r="E243" s="276" t="s">
        <v>1595</v>
      </c>
      <c r="F243" s="276" t="s">
        <v>1596</v>
      </c>
      <c r="G243" s="93">
        <v>375000</v>
      </c>
      <c r="I243" t="s">
        <v>1597</v>
      </c>
      <c r="J243" t="s">
        <v>1598</v>
      </c>
      <c r="L243" s="205">
        <v>45.276488000000001</v>
      </c>
      <c r="M243" s="205">
        <v>-72.023729000000003</v>
      </c>
      <c r="N243" s="211">
        <v>13.46</v>
      </c>
      <c r="O243" t="s">
        <v>18</v>
      </c>
      <c r="P243" t="s">
        <v>63</v>
      </c>
      <c r="S243" s="94" t="s">
        <v>20</v>
      </c>
      <c r="T243" s="222">
        <v>0.65</v>
      </c>
      <c r="U243" s="222">
        <v>0.35</v>
      </c>
      <c r="V243" s="222">
        <v>0.6</v>
      </c>
      <c r="AC243" s="63">
        <v>0.3</v>
      </c>
      <c r="AF243" t="s">
        <v>1599</v>
      </c>
      <c r="AH243" s="49">
        <f>Table2[[#This Row],[Prix de vente ($)]]/Table2[[#This Row],[Superficie totale (ha)]]</f>
        <v>27860.326894502228</v>
      </c>
    </row>
    <row r="244" spans="1:39" ht="39" customHeight="1">
      <c r="A244" s="187">
        <v>28104038</v>
      </c>
      <c r="B244" s="43"/>
      <c r="C244" s="148">
        <v>45098</v>
      </c>
      <c r="D244" s="47" t="s">
        <v>1600</v>
      </c>
      <c r="E244" s="37" t="s">
        <v>1601</v>
      </c>
      <c r="F244" s="45" t="s">
        <v>1602</v>
      </c>
      <c r="G244" s="15">
        <v>48800</v>
      </c>
      <c r="H244" s="43"/>
      <c r="I244" s="43" t="s">
        <v>679</v>
      </c>
      <c r="J244" s="43" t="s">
        <v>680</v>
      </c>
      <c r="K244" s="43" t="s">
        <v>1603</v>
      </c>
      <c r="L244" s="151" t="s">
        <v>1604</v>
      </c>
      <c r="M244" s="155" t="s">
        <v>1605</v>
      </c>
      <c r="N244" s="144">
        <v>21.88</v>
      </c>
      <c r="O244" s="43" t="s">
        <v>25</v>
      </c>
      <c r="P244" s="47" t="s">
        <v>19</v>
      </c>
      <c r="Q244" s="144">
        <v>17.98</v>
      </c>
      <c r="R244" s="43">
        <v>0</v>
      </c>
      <c r="S244" s="16" t="s">
        <v>22</v>
      </c>
      <c r="T244" s="215">
        <v>0.5</v>
      </c>
      <c r="U244" s="215">
        <v>0.5</v>
      </c>
      <c r="V244" s="215"/>
      <c r="W244" s="485"/>
      <c r="X244" s="215"/>
      <c r="Y244" s="43"/>
      <c r="Z244" s="46"/>
      <c r="AA244" s="43"/>
      <c r="AB244" s="43"/>
      <c r="AC244" s="46">
        <v>0</v>
      </c>
      <c r="AD244" s="17"/>
      <c r="AE244" s="48"/>
      <c r="AF244" s="37" t="s">
        <v>235</v>
      </c>
      <c r="AG244" s="47"/>
      <c r="AH244" s="49">
        <f>Table2[[#This Row],[Prix de vente ($)]]/Table2[[#This Row],[Superficie totale (ha)]]</f>
        <v>2230.3473491773311</v>
      </c>
      <c r="AI244" s="49"/>
      <c r="AJ244" s="66"/>
    </row>
    <row r="245" spans="1:39" ht="39" customHeight="1">
      <c r="A245" s="196">
        <v>28101613</v>
      </c>
      <c r="C245" s="318">
        <v>45098</v>
      </c>
      <c r="D245" t="s">
        <v>1606</v>
      </c>
      <c r="E245" t="s">
        <v>1607</v>
      </c>
      <c r="F245" t="s">
        <v>1608</v>
      </c>
      <c r="G245" s="93">
        <v>400000</v>
      </c>
      <c r="I245" t="s">
        <v>65</v>
      </c>
      <c r="J245" t="s">
        <v>700</v>
      </c>
      <c r="K245" t="s">
        <v>1609</v>
      </c>
      <c r="L245" s="205" t="s">
        <v>1610</v>
      </c>
      <c r="M245" s="270" t="s">
        <v>1611</v>
      </c>
      <c r="N245" s="211">
        <f>42.99+17.67+42.61</f>
        <v>103.27000000000001</v>
      </c>
      <c r="O245" t="s">
        <v>25</v>
      </c>
      <c r="P245" t="s">
        <v>63</v>
      </c>
      <c r="S245" s="94" t="s">
        <v>20</v>
      </c>
      <c r="T245" s="222">
        <v>0.8</v>
      </c>
      <c r="U245" s="222">
        <v>0.2</v>
      </c>
      <c r="V245" s="222">
        <v>0.85</v>
      </c>
      <c r="AC245" s="63">
        <v>62</v>
      </c>
      <c r="AF245" t="s">
        <v>1612</v>
      </c>
      <c r="AH245" s="49">
        <f>Table2[[#This Row],[Prix de vente ($)]]/Table2[[#This Row],[Superficie totale (ha)]]</f>
        <v>3873.3417255737386</v>
      </c>
    </row>
    <row r="246" spans="1:39" ht="39" customHeight="1">
      <c r="A246" s="196">
        <v>28105769</v>
      </c>
      <c r="C246" s="318">
        <v>45099</v>
      </c>
      <c r="D246" t="s">
        <v>1613</v>
      </c>
      <c r="E246" t="s">
        <v>1614</v>
      </c>
      <c r="F246" s="269">
        <v>4855616</v>
      </c>
      <c r="G246" s="134">
        <v>100000</v>
      </c>
      <c r="I246" t="s">
        <v>53</v>
      </c>
      <c r="J246" t="s">
        <v>1615</v>
      </c>
      <c r="K246" t="s">
        <v>1616</v>
      </c>
      <c r="L246" s="205" t="s">
        <v>1617</v>
      </c>
      <c r="M246" s="270" t="s">
        <v>1618</v>
      </c>
      <c r="N246" s="211">
        <v>34.94</v>
      </c>
      <c r="O246" t="s">
        <v>25</v>
      </c>
      <c r="P246" t="s">
        <v>317</v>
      </c>
      <c r="S246" s="94" t="s">
        <v>62</v>
      </c>
      <c r="T246" s="222">
        <v>0.7</v>
      </c>
      <c r="U246" s="222">
        <v>0.3</v>
      </c>
      <c r="V246" s="222" t="s">
        <v>243</v>
      </c>
      <c r="AC246" s="63">
        <v>8.5</v>
      </c>
      <c r="AH246" s="49">
        <f>Table2[[#This Row],[Prix de vente ($)]]/Table2[[#This Row],[Superficie totale (ha)]]</f>
        <v>2862.0492272467091</v>
      </c>
    </row>
    <row r="247" spans="1:39" ht="39" customHeight="1">
      <c r="A247" s="187">
        <v>28157024</v>
      </c>
      <c r="B247" s="43"/>
      <c r="C247" s="148">
        <v>45104</v>
      </c>
      <c r="D247" s="37" t="s">
        <v>1619</v>
      </c>
      <c r="E247" s="37" t="s">
        <v>1620</v>
      </c>
      <c r="F247" s="45" t="s">
        <v>1621</v>
      </c>
      <c r="G247" s="15">
        <v>146000</v>
      </c>
      <c r="H247" s="43"/>
      <c r="I247" s="43" t="s">
        <v>476</v>
      </c>
      <c r="J247" s="43" t="s">
        <v>1428</v>
      </c>
      <c r="K247" s="43" t="s">
        <v>1429</v>
      </c>
      <c r="L247" s="151" t="s">
        <v>1622</v>
      </c>
      <c r="M247" s="155" t="s">
        <v>1623</v>
      </c>
      <c r="N247" s="144">
        <v>5.66</v>
      </c>
      <c r="O247" s="43" t="s">
        <v>18</v>
      </c>
      <c r="P247" s="47" t="s">
        <v>35</v>
      </c>
      <c r="Q247" s="144">
        <v>5.66</v>
      </c>
      <c r="R247" s="43">
        <v>0</v>
      </c>
      <c r="S247" s="16" t="s">
        <v>20</v>
      </c>
      <c r="T247" s="215">
        <v>0.7</v>
      </c>
      <c r="U247" s="215">
        <v>0.3</v>
      </c>
      <c r="V247" s="215"/>
      <c r="W247" s="485"/>
      <c r="X247" s="215"/>
      <c r="Y247" s="43"/>
      <c r="Z247" s="46"/>
      <c r="AA247" s="43"/>
      <c r="AB247" s="43"/>
      <c r="AC247" s="46">
        <v>3.02</v>
      </c>
      <c r="AD247" s="17"/>
      <c r="AE247" s="48"/>
      <c r="AF247" t="s">
        <v>1624</v>
      </c>
      <c r="AH247" s="49">
        <f>Table2[[#This Row],[Prix de vente ($)]]/Table2[[#This Row],[Superficie totale (ha)]]</f>
        <v>25795.053003533569</v>
      </c>
      <c r="AI247" s="49"/>
    </row>
    <row r="248" spans="1:39" ht="39" customHeight="1">
      <c r="A248" t="s">
        <v>1625</v>
      </c>
      <c r="C248" s="318">
        <v>45105</v>
      </c>
      <c r="F248" t="s">
        <v>1626</v>
      </c>
      <c r="G248" s="93">
        <v>200000</v>
      </c>
      <c r="I248" t="s">
        <v>50</v>
      </c>
      <c r="N248" s="50"/>
      <c r="AC248" s="50">
        <f>7.7+5.4</f>
        <v>13.100000000000001</v>
      </c>
      <c r="AH248" s="49"/>
      <c r="AK248" s="47"/>
      <c r="AL248" s="43"/>
      <c r="AM248" s="1"/>
    </row>
    <row r="249" spans="1:39" ht="39" customHeight="1">
      <c r="A249" s="187">
        <v>28120849</v>
      </c>
      <c r="B249" s="43"/>
      <c r="C249" s="148">
        <v>45106</v>
      </c>
      <c r="D249" s="37" t="s">
        <v>1627</v>
      </c>
      <c r="E249" s="37" t="s">
        <v>1628</v>
      </c>
      <c r="F249" s="43">
        <v>5285597</v>
      </c>
      <c r="G249" s="52">
        <v>245000</v>
      </c>
      <c r="H249" s="43"/>
      <c r="I249" s="43" t="s">
        <v>1629</v>
      </c>
      <c r="J249" s="43" t="s">
        <v>1630</v>
      </c>
      <c r="K249" s="43" t="s">
        <v>1630</v>
      </c>
      <c r="L249" s="142" t="s">
        <v>1631</v>
      </c>
      <c r="M249" s="142" t="s">
        <v>1632</v>
      </c>
      <c r="N249" s="144">
        <v>23.24</v>
      </c>
      <c r="O249" s="43" t="s">
        <v>18</v>
      </c>
      <c r="P249" s="47" t="s">
        <v>206</v>
      </c>
      <c r="Q249" s="144">
        <v>23.24</v>
      </c>
      <c r="R249" s="43"/>
      <c r="S249" s="1" t="s">
        <v>22</v>
      </c>
      <c r="T249" s="217">
        <v>0.5</v>
      </c>
      <c r="U249" s="217">
        <v>0.5</v>
      </c>
      <c r="V249" s="217">
        <v>0.75</v>
      </c>
      <c r="W249" s="487"/>
      <c r="X249" s="217"/>
      <c r="Y249" s="43"/>
      <c r="Z249" s="46"/>
      <c r="AA249" s="43"/>
      <c r="AB249" s="43"/>
      <c r="AC249" s="46"/>
      <c r="AD249" s="53"/>
      <c r="AE249" s="48"/>
      <c r="AF249" s="37" t="s">
        <v>1633</v>
      </c>
      <c r="AG249" s="47"/>
      <c r="AH249" s="49">
        <f>Table2[[#This Row],[Prix de vente ($)]]/Table2[[#This Row],[Superficie totale (ha)]]</f>
        <v>10542.168674698796</v>
      </c>
      <c r="AI249" s="49" t="e">
        <f>Bois!$G59/Bois!$AD59</f>
        <v>#DIV/0!</v>
      </c>
    </row>
    <row r="250" spans="1:39" ht="39" customHeight="1">
      <c r="A250" s="187">
        <v>28127301</v>
      </c>
      <c r="B250" s="43"/>
      <c r="C250" s="148">
        <v>45110</v>
      </c>
      <c r="D250" s="37" t="s">
        <v>1634</v>
      </c>
      <c r="E250" s="37" t="s">
        <v>1635</v>
      </c>
      <c r="F250" s="43" t="s">
        <v>1636</v>
      </c>
      <c r="G250" s="15">
        <v>175000</v>
      </c>
      <c r="H250" s="43"/>
      <c r="I250" s="43" t="s">
        <v>230</v>
      </c>
      <c r="J250" s="43" t="s">
        <v>267</v>
      </c>
      <c r="K250" s="43" t="s">
        <v>1637</v>
      </c>
      <c r="L250" s="151" t="s">
        <v>1638</v>
      </c>
      <c r="M250" s="155" t="s">
        <v>1639</v>
      </c>
      <c r="N250" s="144">
        <v>32.17</v>
      </c>
      <c r="O250" s="43" t="s">
        <v>25</v>
      </c>
      <c r="P250" s="47" t="s">
        <v>19</v>
      </c>
      <c r="Q250" s="144">
        <v>32.17</v>
      </c>
      <c r="R250" s="43">
        <v>0</v>
      </c>
      <c r="S250" s="16" t="s">
        <v>20</v>
      </c>
      <c r="T250" s="215">
        <v>0.8</v>
      </c>
      <c r="U250" s="215">
        <v>0.2</v>
      </c>
      <c r="V250" s="215"/>
      <c r="W250" s="485"/>
      <c r="X250" s="215"/>
      <c r="Y250" s="43"/>
      <c r="Z250" s="46"/>
      <c r="AA250" s="43"/>
      <c r="AB250" s="43"/>
      <c r="AC250" s="46">
        <v>8.4</v>
      </c>
      <c r="AD250" s="17"/>
      <c r="AE250" s="48"/>
      <c r="AF250" s="37"/>
      <c r="AG250" s="47"/>
      <c r="AH250" s="49">
        <f>Table2[[#This Row],[Prix de vente ($)]]/Table2[[#This Row],[Superficie totale (ha)]]</f>
        <v>5439.8507926639722</v>
      </c>
      <c r="AI250" s="43"/>
    </row>
    <row r="251" spans="1:39" ht="39" customHeight="1">
      <c r="A251" s="196">
        <v>28176912</v>
      </c>
      <c r="C251" s="318">
        <v>45111</v>
      </c>
      <c r="D251" s="249" t="s">
        <v>1640</v>
      </c>
      <c r="E251" s="249" t="s">
        <v>1641</v>
      </c>
      <c r="F251" s="249" t="s">
        <v>1642</v>
      </c>
      <c r="G251" s="134">
        <v>630000</v>
      </c>
      <c r="I251" t="s">
        <v>1477</v>
      </c>
      <c r="J251" t="s">
        <v>1643</v>
      </c>
      <c r="N251" s="211">
        <v>17.09</v>
      </c>
      <c r="O251" t="s">
        <v>18</v>
      </c>
      <c r="P251" s="47" t="s">
        <v>35</v>
      </c>
      <c r="Q251" s="199">
        <v>17.09</v>
      </c>
      <c r="S251" s="181" t="s">
        <v>20</v>
      </c>
      <c r="T251" s="222">
        <v>1</v>
      </c>
      <c r="U251" s="222">
        <v>0</v>
      </c>
      <c r="V251" s="222">
        <v>0.8</v>
      </c>
      <c r="AC251" s="63">
        <v>17.09</v>
      </c>
      <c r="AF251" t="s">
        <v>1644</v>
      </c>
      <c r="AH251" s="49">
        <f>Table2[[#This Row],[Prix de vente ($)]]/Table2[[#This Row],[Superficie totale (ha)]]</f>
        <v>36863.662960795788</v>
      </c>
    </row>
    <row r="252" spans="1:39" ht="39" customHeight="1">
      <c r="A252" s="196">
        <v>28139993</v>
      </c>
      <c r="B252">
        <v>11804575</v>
      </c>
      <c r="C252" s="318">
        <v>45114</v>
      </c>
      <c r="D252" t="s">
        <v>1645</v>
      </c>
      <c r="E252" t="s">
        <v>1646</v>
      </c>
      <c r="F252" t="s">
        <v>1647</v>
      </c>
      <c r="G252" s="134">
        <v>1500000</v>
      </c>
      <c r="I252" t="s">
        <v>1352</v>
      </c>
      <c r="J252" t="s">
        <v>1648</v>
      </c>
      <c r="K252" t="s">
        <v>1649</v>
      </c>
      <c r="L252" s="205" t="s">
        <v>1650</v>
      </c>
      <c r="M252" s="270" t="s">
        <v>1651</v>
      </c>
      <c r="N252" s="211">
        <f>119.53+68.41</f>
        <v>187.94</v>
      </c>
      <c r="O252" t="s">
        <v>25</v>
      </c>
      <c r="P252" t="s">
        <v>173</v>
      </c>
      <c r="Q252" s="211">
        <f>Table2[[#This Row],[Superficie totale (ha)]]</f>
        <v>187.94</v>
      </c>
      <c r="S252" s="181" t="s">
        <v>20</v>
      </c>
      <c r="T252" s="222">
        <v>0.9</v>
      </c>
      <c r="U252" s="222">
        <v>0.1</v>
      </c>
      <c r="V252" s="222" t="s">
        <v>362</v>
      </c>
      <c r="AC252" s="63">
        <f>48.4+2+41.1</f>
        <v>91.5</v>
      </c>
      <c r="AF252" t="s">
        <v>1652</v>
      </c>
      <c r="AH252" s="49">
        <f>Table2[[#This Row],[Prix de vente ($)]]/Table2[[#This Row],[Superficie totale (ha)]]</f>
        <v>7981.2706182824304</v>
      </c>
    </row>
    <row r="253" spans="1:39" ht="39" customHeight="1">
      <c r="A253" s="189">
        <v>28762496</v>
      </c>
      <c r="B253" s="80"/>
      <c r="C253" s="318">
        <v>45118</v>
      </c>
      <c r="D253" s="80" t="s">
        <v>1653</v>
      </c>
      <c r="E253" s="80" t="s">
        <v>1654</v>
      </c>
      <c r="F253" s="136">
        <v>4919171</v>
      </c>
      <c r="G253" s="134">
        <v>140000</v>
      </c>
      <c r="H253" s="80"/>
      <c r="I253" s="80" t="s">
        <v>170</v>
      </c>
      <c r="J253" s="80" t="s">
        <v>307</v>
      </c>
      <c r="K253" s="43" t="s">
        <v>1655</v>
      </c>
      <c r="L253" s="199" t="s">
        <v>1656</v>
      </c>
      <c r="M253" s="199" t="s">
        <v>1657</v>
      </c>
      <c r="N253" s="199">
        <v>41.07</v>
      </c>
      <c r="O253" s="80" t="s">
        <v>132</v>
      </c>
      <c r="P253" s="80" t="s">
        <v>63</v>
      </c>
      <c r="Q253" s="199">
        <v>41.07</v>
      </c>
      <c r="R253" s="80"/>
      <c r="S253" s="80" t="s">
        <v>20</v>
      </c>
      <c r="T253" s="216">
        <v>0.6</v>
      </c>
      <c r="U253" s="216">
        <v>0.4</v>
      </c>
      <c r="V253" s="216"/>
      <c r="W253" s="199"/>
      <c r="X253" s="216"/>
      <c r="Y253" s="80"/>
      <c r="Z253" s="80"/>
      <c r="AA253" s="80"/>
      <c r="AB253" s="80"/>
      <c r="AC253" s="80">
        <v>0</v>
      </c>
      <c r="AD253" s="80"/>
      <c r="AE253" s="80"/>
      <c r="AF253" s="43" t="s">
        <v>561</v>
      </c>
      <c r="AG253" s="80"/>
      <c r="AH253" s="49">
        <f>Table2[[#This Row],[Prix de vente ($)]]/Table2[[#This Row],[Superficie totale (ha)]]</f>
        <v>3408.8142196250305</v>
      </c>
      <c r="AI253" s="80"/>
    </row>
    <row r="254" spans="1:39" ht="39" customHeight="1">
      <c r="A254" s="187">
        <v>28395175</v>
      </c>
      <c r="B254" s="43"/>
      <c r="C254" s="148">
        <v>45119</v>
      </c>
      <c r="D254" s="37" t="s">
        <v>1658</v>
      </c>
      <c r="E254" s="37" t="s">
        <v>1659</v>
      </c>
      <c r="F254" s="45" t="s">
        <v>1660</v>
      </c>
      <c r="G254" s="15">
        <v>45000</v>
      </c>
      <c r="H254" s="43"/>
      <c r="I254" s="43" t="s">
        <v>258</v>
      </c>
      <c r="J254" s="43" t="s">
        <v>1241</v>
      </c>
      <c r="K254" s="43" t="s">
        <v>1661</v>
      </c>
      <c r="L254" s="151" t="s">
        <v>1662</v>
      </c>
      <c r="M254" s="155" t="s">
        <v>1663</v>
      </c>
      <c r="N254" s="144">
        <v>13.13</v>
      </c>
      <c r="O254" s="43" t="s">
        <v>25</v>
      </c>
      <c r="P254" s="47" t="s">
        <v>19</v>
      </c>
      <c r="Q254" s="144">
        <v>13.13</v>
      </c>
      <c r="R254" s="43">
        <v>0</v>
      </c>
      <c r="S254" s="16" t="s">
        <v>102</v>
      </c>
      <c r="T254" s="215">
        <v>0.4</v>
      </c>
      <c r="U254" s="215">
        <v>0.6</v>
      </c>
      <c r="V254" s="215"/>
      <c r="W254" s="485"/>
      <c r="X254" s="215"/>
      <c r="Y254" s="43"/>
      <c r="Z254" s="46"/>
      <c r="AA254" s="43"/>
      <c r="AB254" s="43"/>
      <c r="AC254" s="46">
        <v>0</v>
      </c>
      <c r="AD254" s="17"/>
      <c r="AE254" s="48"/>
      <c r="AF254" s="37" t="s">
        <v>235</v>
      </c>
      <c r="AG254" s="47"/>
      <c r="AH254" s="49">
        <f>Table2[[#This Row],[Prix de vente ($)]]/Table2[[#This Row],[Superficie totale (ha)]]</f>
        <v>3427.2658035034269</v>
      </c>
      <c r="AI254" s="49"/>
    </row>
    <row r="255" spans="1:39" ht="39" customHeight="1">
      <c r="A255" s="187">
        <v>28152217</v>
      </c>
      <c r="B255" s="43"/>
      <c r="C255" s="148">
        <v>45119</v>
      </c>
      <c r="D255" s="37" t="s">
        <v>1664</v>
      </c>
      <c r="E255" s="37" t="s">
        <v>1665</v>
      </c>
      <c r="F255" s="45" t="s">
        <v>1666</v>
      </c>
      <c r="G255" s="15">
        <v>450000</v>
      </c>
      <c r="H255" s="43"/>
      <c r="I255" s="43" t="s">
        <v>160</v>
      </c>
      <c r="J255" s="43" t="s">
        <v>1458</v>
      </c>
      <c r="K255" s="43" t="s">
        <v>1667</v>
      </c>
      <c r="L255" s="151" t="s">
        <v>1668</v>
      </c>
      <c r="M255" s="155" t="s">
        <v>1669</v>
      </c>
      <c r="N255" s="144">
        <v>50.42</v>
      </c>
      <c r="O255" s="43" t="s">
        <v>18</v>
      </c>
      <c r="P255" s="47" t="s">
        <v>19</v>
      </c>
      <c r="Q255" s="144">
        <v>50.42</v>
      </c>
      <c r="R255" s="43">
        <v>0</v>
      </c>
      <c r="S255" s="16" t="s">
        <v>20</v>
      </c>
      <c r="T255" s="215">
        <v>0.75</v>
      </c>
      <c r="U255" s="215">
        <v>0.25</v>
      </c>
      <c r="V255" s="215"/>
      <c r="W255" s="485"/>
      <c r="X255" s="215"/>
      <c r="Y255" s="43"/>
      <c r="Z255" s="46"/>
      <c r="AA255" s="43"/>
      <c r="AB255" s="43"/>
      <c r="AC255" s="46">
        <v>30.6</v>
      </c>
      <c r="AD255" s="17"/>
      <c r="AE255" s="48"/>
      <c r="AF255" s="37" t="s">
        <v>1670</v>
      </c>
      <c r="AG255" s="47"/>
      <c r="AH255" s="49">
        <f>Table2[[#This Row],[Prix de vente ($)]]/Table2[[#This Row],[Superficie totale (ha)]]</f>
        <v>8925.0297500991674</v>
      </c>
      <c r="AI255" s="49"/>
    </row>
    <row r="256" spans="1:39" ht="39" customHeight="1">
      <c r="A256" s="187">
        <v>28251438</v>
      </c>
      <c r="B256" s="43"/>
      <c r="C256" s="148">
        <v>45120</v>
      </c>
      <c r="D256" s="37" t="s">
        <v>27</v>
      </c>
      <c r="E256" s="37" t="s">
        <v>28</v>
      </c>
      <c r="F256" s="43">
        <v>5761396</v>
      </c>
      <c r="G256" s="15">
        <v>160000</v>
      </c>
      <c r="H256" s="43"/>
      <c r="I256" s="43" t="s">
        <v>29</v>
      </c>
      <c r="J256" s="43" t="s">
        <v>30</v>
      </c>
      <c r="K256" s="43" t="s">
        <v>1671</v>
      </c>
      <c r="L256" s="151" t="s">
        <v>1672</v>
      </c>
      <c r="M256" s="155" t="s">
        <v>1673</v>
      </c>
      <c r="N256" s="144">
        <v>43.41</v>
      </c>
      <c r="O256" s="43" t="s">
        <v>18</v>
      </c>
      <c r="P256" s="47" t="s">
        <v>317</v>
      </c>
      <c r="Q256" s="144">
        <f>N256</f>
        <v>43.41</v>
      </c>
      <c r="R256" s="43"/>
      <c r="S256" s="16" t="s">
        <v>20</v>
      </c>
      <c r="T256" s="215">
        <v>0.65</v>
      </c>
      <c r="U256" s="215">
        <v>0.35</v>
      </c>
      <c r="V256" s="215">
        <v>0.7</v>
      </c>
      <c r="W256" s="485"/>
      <c r="X256" s="215"/>
      <c r="Y256" s="43"/>
      <c r="Z256" s="46"/>
      <c r="AA256" s="43"/>
      <c r="AB256" s="43"/>
      <c r="AC256" s="46">
        <v>6.9</v>
      </c>
      <c r="AD256" s="17">
        <v>1500</v>
      </c>
      <c r="AE256" s="48"/>
      <c r="AF256" s="37"/>
      <c r="AG256" s="47"/>
      <c r="AH256" s="49">
        <f>Table2[[#This Row],[Prix de vente ($)]]/Table2[[#This Row],[Superficie totale (ha)]]</f>
        <v>3685.7866850956002</v>
      </c>
      <c r="AI256" s="43">
        <f>G256/AD256</f>
        <v>106.66666666666667</v>
      </c>
    </row>
    <row r="257" spans="1:36" ht="39" customHeight="1">
      <c r="A257" s="196">
        <v>28158325</v>
      </c>
      <c r="C257" s="318">
        <v>45121</v>
      </c>
      <c r="D257" t="s">
        <v>1350</v>
      </c>
      <c r="E257" t="s">
        <v>1674</v>
      </c>
      <c r="F257" t="s">
        <v>1351</v>
      </c>
      <c r="G257" s="134">
        <v>1500000</v>
      </c>
      <c r="I257" t="s">
        <v>1352</v>
      </c>
      <c r="J257" t="s">
        <v>1353</v>
      </c>
      <c r="K257" t="s">
        <v>1353</v>
      </c>
      <c r="L257" s="205" t="s">
        <v>1354</v>
      </c>
      <c r="M257" s="205" t="s">
        <v>1355</v>
      </c>
      <c r="N257" s="211">
        <v>307.82000000000005</v>
      </c>
      <c r="O257" t="s">
        <v>25</v>
      </c>
      <c r="P257" t="s">
        <v>173</v>
      </c>
      <c r="Q257" s="211">
        <f>Table2[[#This Row],[Superficie totale (ha)]]</f>
        <v>307.82000000000005</v>
      </c>
      <c r="S257" s="181" t="s">
        <v>20</v>
      </c>
      <c r="T257" s="222">
        <v>0.6</v>
      </c>
      <c r="U257" s="222">
        <v>0.4</v>
      </c>
      <c r="V257" s="222" t="s">
        <v>362</v>
      </c>
      <c r="AC257" s="63">
        <f>38.9+6.7+4.3+17.9+6.5+41.1+3.9</f>
        <v>119.30000000000001</v>
      </c>
      <c r="AF257" t="s">
        <v>1356</v>
      </c>
      <c r="AH257" s="49">
        <f>Table2[[#This Row],[Prix de vente ($)]]/Table2[[#This Row],[Superficie totale (ha)]]</f>
        <v>4872.9777142485864</v>
      </c>
    </row>
    <row r="258" spans="1:36" ht="39" customHeight="1">
      <c r="A258" s="196">
        <v>28167774</v>
      </c>
      <c r="C258" s="318">
        <v>45126</v>
      </c>
      <c r="D258" s="239" t="s">
        <v>1675</v>
      </c>
      <c r="E258" s="239" t="s">
        <v>1676</v>
      </c>
      <c r="F258" s="239" t="s">
        <v>1677</v>
      </c>
      <c r="G258" s="93">
        <v>75000</v>
      </c>
      <c r="I258" t="s">
        <v>654</v>
      </c>
      <c r="J258" t="s">
        <v>1448</v>
      </c>
      <c r="K258" t="s">
        <v>1678</v>
      </c>
      <c r="L258" s="205">
        <v>46.812657999999999</v>
      </c>
      <c r="M258" s="205">
        <v>-71.774148999999994</v>
      </c>
      <c r="N258" s="211">
        <v>9.94</v>
      </c>
      <c r="O258" s="43" t="s">
        <v>18</v>
      </c>
      <c r="P258" t="s">
        <v>1679</v>
      </c>
      <c r="Q258" s="211">
        <v>9.94</v>
      </c>
      <c r="S258" s="94" t="s">
        <v>310</v>
      </c>
      <c r="T258" s="222">
        <v>0.25</v>
      </c>
      <c r="U258" s="222">
        <v>0.75</v>
      </c>
      <c r="V258" s="222">
        <v>0.65</v>
      </c>
      <c r="AC258" s="63">
        <v>0</v>
      </c>
      <c r="AF258" t="s">
        <v>1680</v>
      </c>
      <c r="AH258" s="49">
        <f>Table2[[#This Row],[Prix de vente ($)]]/Table2[[#This Row],[Superficie totale (ha)]]</f>
        <v>7545.2716297786728</v>
      </c>
    </row>
    <row r="259" spans="1:36" ht="39" customHeight="1">
      <c r="A259" s="187">
        <v>28172871</v>
      </c>
      <c r="B259" s="43"/>
      <c r="C259" s="148">
        <v>45127</v>
      </c>
      <c r="D259" s="37" t="s">
        <v>1681</v>
      </c>
      <c r="E259" s="37" t="s">
        <v>1682</v>
      </c>
      <c r="F259" s="43">
        <v>1828480</v>
      </c>
      <c r="G259" s="15">
        <v>235000</v>
      </c>
      <c r="H259" s="43"/>
      <c r="I259" s="43" t="s">
        <v>97</v>
      </c>
      <c r="J259" s="43" t="s">
        <v>98</v>
      </c>
      <c r="K259" s="43" t="s">
        <v>1683</v>
      </c>
      <c r="L259" s="151" t="s">
        <v>1684</v>
      </c>
      <c r="M259" s="155" t="s">
        <v>1685</v>
      </c>
      <c r="N259" s="144">
        <v>67.98</v>
      </c>
      <c r="O259" s="43" t="s">
        <v>25</v>
      </c>
      <c r="P259" s="47" t="s">
        <v>425</v>
      </c>
      <c r="Q259" s="139">
        <v>67.98</v>
      </c>
      <c r="R259" s="43"/>
      <c r="S259" s="16" t="s">
        <v>155</v>
      </c>
      <c r="T259" s="215">
        <v>0.8</v>
      </c>
      <c r="U259" s="215">
        <v>0.2</v>
      </c>
      <c r="V259" s="215" t="s">
        <v>243</v>
      </c>
      <c r="W259" s="485"/>
      <c r="X259" s="215"/>
      <c r="Y259" s="43"/>
      <c r="Z259" s="46"/>
      <c r="AA259" s="43"/>
      <c r="AB259" s="43"/>
      <c r="AC259" s="46">
        <v>0</v>
      </c>
      <c r="AD259" s="17"/>
      <c r="AE259" s="48"/>
      <c r="AF259" s="37" t="s">
        <v>1686</v>
      </c>
      <c r="AG259" s="47"/>
      <c r="AH259" s="49">
        <f>Table2[[#This Row],[Prix de vente ($)]]/Table2[[#This Row],[Superficie totale (ha)]]</f>
        <v>3456.8990879670491</v>
      </c>
      <c r="AI259" s="49" t="e">
        <v>#DIV/0!</v>
      </c>
    </row>
    <row r="260" spans="1:36" ht="39" customHeight="1">
      <c r="A260" s="187">
        <v>28171945</v>
      </c>
      <c r="C260" s="51">
        <v>45127</v>
      </c>
      <c r="D260" s="266" t="s">
        <v>1687</v>
      </c>
      <c r="E260" s="266" t="s">
        <v>1688</v>
      </c>
      <c r="F260" s="266" t="s">
        <v>1689</v>
      </c>
      <c r="G260" s="134">
        <v>200000</v>
      </c>
      <c r="I260" t="s">
        <v>537</v>
      </c>
      <c r="J260" t="s">
        <v>538</v>
      </c>
      <c r="L260" s="205">
        <v>46.685786999999998</v>
      </c>
      <c r="M260" s="205">
        <v>-75.496958000000006</v>
      </c>
      <c r="N260" s="211">
        <v>91.35</v>
      </c>
      <c r="O260" t="s">
        <v>25</v>
      </c>
      <c r="P260" t="s">
        <v>19</v>
      </c>
      <c r="Q260" s="199">
        <v>91.35</v>
      </c>
      <c r="S260" s="94" t="s">
        <v>62</v>
      </c>
      <c r="T260" s="222">
        <v>0.8</v>
      </c>
      <c r="U260" s="222">
        <v>0.2</v>
      </c>
      <c r="V260" s="222">
        <v>0.7</v>
      </c>
      <c r="AF260" t="s">
        <v>1690</v>
      </c>
      <c r="AH260" s="49">
        <f>Table2[[#This Row],[Prix de vente ($)]]/Table2[[#This Row],[Superficie totale (ha)]]</f>
        <v>2189.3814997263275</v>
      </c>
    </row>
    <row r="261" spans="1:36" ht="39" customHeight="1">
      <c r="A261" s="196">
        <v>28173854</v>
      </c>
      <c r="C261" s="318">
        <v>45128</v>
      </c>
      <c r="D261" t="s">
        <v>1691</v>
      </c>
      <c r="E261" t="s">
        <v>1692</v>
      </c>
      <c r="F261" s="269">
        <v>4856147</v>
      </c>
      <c r="G261" s="134">
        <v>60000</v>
      </c>
      <c r="I261" t="s">
        <v>53</v>
      </c>
      <c r="J261" t="s">
        <v>54</v>
      </c>
      <c r="K261" s="20" t="s">
        <v>1693</v>
      </c>
      <c r="L261" s="205" t="s">
        <v>1694</v>
      </c>
      <c r="M261" s="270" t="s">
        <v>1695</v>
      </c>
      <c r="N261" s="211">
        <v>42.59</v>
      </c>
      <c r="O261" t="s">
        <v>18</v>
      </c>
      <c r="P261" t="s">
        <v>317</v>
      </c>
      <c r="S261" s="94" t="s">
        <v>175</v>
      </c>
      <c r="T261" s="222">
        <v>0.5</v>
      </c>
      <c r="U261" s="222">
        <v>0.5</v>
      </c>
      <c r="V261" s="222" t="s">
        <v>362</v>
      </c>
      <c r="AC261" s="63">
        <v>17.5</v>
      </c>
      <c r="AF261" t="s">
        <v>1696</v>
      </c>
      <c r="AH261" s="49">
        <f>Table2[[#This Row],[Prix de vente ($)]]/Table2[[#This Row],[Superficie totale (ha)]]</f>
        <v>1408.781404085466</v>
      </c>
    </row>
    <row r="262" spans="1:36" ht="39" customHeight="1">
      <c r="A262" s="196">
        <v>28189624</v>
      </c>
      <c r="C262" s="318">
        <v>45138</v>
      </c>
      <c r="D262" s="20" t="s">
        <v>1697</v>
      </c>
      <c r="E262" t="s">
        <v>928</v>
      </c>
      <c r="F262" t="s">
        <v>1698</v>
      </c>
      <c r="G262" s="134">
        <v>525000</v>
      </c>
      <c r="I262" t="s">
        <v>1264</v>
      </c>
      <c r="J262" t="s">
        <v>1265</v>
      </c>
      <c r="K262" s="20" t="s">
        <v>1699</v>
      </c>
      <c r="L262" s="205">
        <v>45.740940000000002</v>
      </c>
      <c r="M262" s="205">
        <v>-74.150951000000006</v>
      </c>
      <c r="N262" s="211">
        <v>45.02</v>
      </c>
      <c r="O262" t="s">
        <v>25</v>
      </c>
      <c r="P262" t="s">
        <v>154</v>
      </c>
      <c r="Q262" s="199">
        <v>45.02</v>
      </c>
      <c r="S262" s="94" t="s">
        <v>20</v>
      </c>
      <c r="T262" s="238">
        <v>0.6</v>
      </c>
      <c r="U262" s="222">
        <v>0.4</v>
      </c>
      <c r="V262" s="222">
        <v>0.6</v>
      </c>
      <c r="AH262" s="49">
        <f>Table2[[#This Row],[Prix de vente ($)]]/Table2[[#This Row],[Superficie totale (ha)]]</f>
        <v>11661.48378498445</v>
      </c>
    </row>
    <row r="263" spans="1:36" ht="39" customHeight="1">
      <c r="A263" s="187">
        <v>28316623</v>
      </c>
      <c r="B263" s="43"/>
      <c r="C263" s="148">
        <v>45148</v>
      </c>
      <c r="D263" s="37" t="s">
        <v>1700</v>
      </c>
      <c r="E263" s="37" t="s">
        <v>1701</v>
      </c>
      <c r="F263" s="45">
        <v>4449228</v>
      </c>
      <c r="G263" s="15">
        <v>750000</v>
      </c>
      <c r="H263" s="43"/>
      <c r="I263" s="43" t="s">
        <v>74</v>
      </c>
      <c r="J263" s="43" t="s">
        <v>1702</v>
      </c>
      <c r="K263" s="43" t="s">
        <v>1703</v>
      </c>
      <c r="L263" s="151" t="s">
        <v>1704</v>
      </c>
      <c r="M263" s="155" t="s">
        <v>1705</v>
      </c>
      <c r="N263" s="144">
        <v>24.45</v>
      </c>
      <c r="O263" s="43" t="s">
        <v>18</v>
      </c>
      <c r="P263" s="47" t="s">
        <v>19</v>
      </c>
      <c r="Q263" s="144">
        <v>24.45</v>
      </c>
      <c r="R263" s="43">
        <v>0</v>
      </c>
      <c r="S263" s="16" t="s">
        <v>20</v>
      </c>
      <c r="T263" s="215">
        <v>0.95</v>
      </c>
      <c r="U263" s="215">
        <v>0.05</v>
      </c>
      <c r="V263" s="215"/>
      <c r="W263" s="485"/>
      <c r="X263" s="215"/>
      <c r="Y263" s="43"/>
      <c r="Z263" s="46"/>
      <c r="AA263" s="43"/>
      <c r="AB263" s="43"/>
      <c r="AC263" s="46">
        <v>22.45</v>
      </c>
      <c r="AD263" s="17"/>
      <c r="AE263" s="48"/>
      <c r="AF263" s="37" t="s">
        <v>1706</v>
      </c>
      <c r="AG263" s="47"/>
      <c r="AH263" s="49">
        <f>Table2[[#This Row],[Prix de vente ($)]]/Table2[[#This Row],[Superficie totale (ha)]]</f>
        <v>30674.846625766873</v>
      </c>
      <c r="AI263" s="49"/>
      <c r="AJ263" s="47"/>
    </row>
    <row r="264" spans="1:36" ht="39" customHeight="1">
      <c r="A264" s="187">
        <v>28212902</v>
      </c>
      <c r="B264" s="43"/>
      <c r="C264" s="148">
        <v>45153</v>
      </c>
      <c r="D264" s="37" t="s">
        <v>1707</v>
      </c>
      <c r="E264" s="37" t="s">
        <v>1708</v>
      </c>
      <c r="F264" s="45" t="s">
        <v>1709</v>
      </c>
      <c r="G264" s="15">
        <v>40000</v>
      </c>
      <c r="H264" s="43"/>
      <c r="I264" s="43" t="s">
        <v>65</v>
      </c>
      <c r="J264" s="43" t="s">
        <v>619</v>
      </c>
      <c r="K264" s="43" t="s">
        <v>1710</v>
      </c>
      <c r="L264" s="151" t="s">
        <v>1711</v>
      </c>
      <c r="M264" s="155" t="s">
        <v>1712</v>
      </c>
      <c r="N264" s="144">
        <v>20.38</v>
      </c>
      <c r="O264" s="43" t="s">
        <v>18</v>
      </c>
      <c r="P264" s="47" t="s">
        <v>26</v>
      </c>
      <c r="Q264" s="144">
        <v>20.38</v>
      </c>
      <c r="R264" s="43">
        <v>0</v>
      </c>
      <c r="S264" s="16" t="s">
        <v>102</v>
      </c>
      <c r="T264" s="215">
        <v>0.4</v>
      </c>
      <c r="U264" s="215">
        <v>0.6</v>
      </c>
      <c r="V264" s="215"/>
      <c r="W264" s="485"/>
      <c r="X264" s="215"/>
      <c r="Y264" s="43"/>
      <c r="Z264" s="46"/>
      <c r="AA264" s="43"/>
      <c r="AB264" s="43"/>
      <c r="AC264" s="46">
        <v>0</v>
      </c>
      <c r="AD264" s="17"/>
      <c r="AE264" s="48"/>
      <c r="AF264" s="37" t="s">
        <v>1713</v>
      </c>
      <c r="AG264" s="47"/>
      <c r="AH264" s="49">
        <f>Table2[[#This Row],[Prix de vente ($)]]/Table2[[#This Row],[Superficie totale (ha)]]</f>
        <v>1962.7085377821395</v>
      </c>
      <c r="AI264" s="49"/>
    </row>
    <row r="265" spans="1:36" ht="39" customHeight="1">
      <c r="A265" s="187">
        <v>28216129</v>
      </c>
      <c r="B265" s="43"/>
      <c r="C265" s="148">
        <v>45154</v>
      </c>
      <c r="D265" s="37" t="s">
        <v>1714</v>
      </c>
      <c r="E265" s="37" t="s">
        <v>1715</v>
      </c>
      <c r="F265" s="45">
        <v>5892316</v>
      </c>
      <c r="G265" s="15">
        <v>285000</v>
      </c>
      <c r="H265" s="43"/>
      <c r="I265" s="43" t="s">
        <v>408</v>
      </c>
      <c r="J265" s="43" t="s">
        <v>1716</v>
      </c>
      <c r="K265" s="43" t="s">
        <v>1717</v>
      </c>
      <c r="L265" s="151" t="s">
        <v>1718</v>
      </c>
      <c r="M265" s="155" t="s">
        <v>1719</v>
      </c>
      <c r="N265" s="144">
        <v>22.11</v>
      </c>
      <c r="O265" s="43" t="s">
        <v>18</v>
      </c>
      <c r="P265" s="47" t="s">
        <v>19</v>
      </c>
      <c r="Q265" s="144">
        <v>22.11</v>
      </c>
      <c r="R265" s="43">
        <v>0</v>
      </c>
      <c r="S265" s="16" t="s">
        <v>20</v>
      </c>
      <c r="T265" s="215">
        <v>0.85</v>
      </c>
      <c r="U265" s="215">
        <v>0.15</v>
      </c>
      <c r="V265" s="215"/>
      <c r="W265" s="485"/>
      <c r="X265" s="215"/>
      <c r="Y265" s="43"/>
      <c r="Z265" s="46"/>
      <c r="AA265" s="43"/>
      <c r="AB265" s="43"/>
      <c r="AC265" s="46">
        <v>10.4</v>
      </c>
      <c r="AD265" s="17"/>
      <c r="AE265" s="48"/>
      <c r="AF265" s="37" t="s">
        <v>1444</v>
      </c>
      <c r="AG265" s="47"/>
      <c r="AH265" s="49">
        <f>Table2[[#This Row],[Prix de vente ($)]]/Table2[[#This Row],[Superficie totale (ha)]]</f>
        <v>12890.09497964722</v>
      </c>
      <c r="AI265" s="49"/>
    </row>
    <row r="266" spans="1:36" ht="39" customHeight="1">
      <c r="A266" s="196">
        <v>28230835</v>
      </c>
      <c r="C266" s="318">
        <v>45161</v>
      </c>
      <c r="D266" s="247" t="s">
        <v>1720</v>
      </c>
      <c r="E266" s="247" t="s">
        <v>1721</v>
      </c>
      <c r="F266" s="247" t="s">
        <v>1722</v>
      </c>
      <c r="G266" s="93">
        <v>19000</v>
      </c>
      <c r="I266" t="s">
        <v>654</v>
      </c>
      <c r="J266" t="s">
        <v>1448</v>
      </c>
      <c r="L266" s="205">
        <v>46.756957999999997</v>
      </c>
      <c r="M266" s="205">
        <v>-71.851213999999999</v>
      </c>
      <c r="N266" s="211">
        <v>3.4</v>
      </c>
      <c r="O266" s="43" t="s">
        <v>18</v>
      </c>
      <c r="P266" s="47" t="s">
        <v>361</v>
      </c>
      <c r="Q266" s="211">
        <v>3.4</v>
      </c>
      <c r="S266" s="94" t="s">
        <v>20</v>
      </c>
      <c r="T266" s="222">
        <v>0.6</v>
      </c>
      <c r="U266" s="222">
        <v>0.4</v>
      </c>
      <c r="V266" s="222">
        <v>0.7</v>
      </c>
      <c r="AC266" s="63">
        <v>1.2</v>
      </c>
      <c r="AF266" t="s">
        <v>1723</v>
      </c>
      <c r="AH266" s="49">
        <f>Table2[[#This Row],[Prix de vente ($)]]/Table2[[#This Row],[Superficie totale (ha)]]</f>
        <v>5588.2352941176468</v>
      </c>
    </row>
    <row r="267" spans="1:36" ht="39" customHeight="1">
      <c r="A267" s="196">
        <v>28230252</v>
      </c>
      <c r="C267" s="318">
        <v>45161</v>
      </c>
      <c r="D267" s="249" t="s">
        <v>57</v>
      </c>
      <c r="E267" s="249" t="s">
        <v>1724</v>
      </c>
      <c r="F267" s="269">
        <v>4856142</v>
      </c>
      <c r="G267" s="93">
        <v>90000</v>
      </c>
      <c r="I267" t="s">
        <v>53</v>
      </c>
      <c r="J267" t="s">
        <v>54</v>
      </c>
      <c r="K267" s="249" t="s">
        <v>1725</v>
      </c>
      <c r="L267" s="205">
        <v>47.448476999999997</v>
      </c>
      <c r="M267" s="205">
        <v>-68.765799999999999</v>
      </c>
      <c r="N267" s="211">
        <v>42.92</v>
      </c>
      <c r="O267" t="s">
        <v>18</v>
      </c>
      <c r="P267" t="s">
        <v>1726</v>
      </c>
      <c r="S267" s="94" t="s">
        <v>62</v>
      </c>
      <c r="T267" s="222">
        <v>0.7</v>
      </c>
      <c r="U267" s="222">
        <v>0.3</v>
      </c>
      <c r="V267" s="222">
        <v>0.75</v>
      </c>
      <c r="AC267" s="63">
        <v>24.3</v>
      </c>
      <c r="AH267" s="49">
        <f>Table2[[#This Row],[Prix de vente ($)]]/Table2[[#This Row],[Superficie totale (ha)]]</f>
        <v>2096.9245107176139</v>
      </c>
    </row>
    <row r="268" spans="1:36" ht="39" customHeight="1">
      <c r="A268" s="187">
        <v>28238986</v>
      </c>
      <c r="B268" s="43"/>
      <c r="C268" s="148">
        <v>45166</v>
      </c>
      <c r="D268" s="37" t="s">
        <v>1727</v>
      </c>
      <c r="E268" s="37" t="s">
        <v>1728</v>
      </c>
      <c r="F268" s="45" t="s">
        <v>1729</v>
      </c>
      <c r="G268" s="15">
        <v>42000</v>
      </c>
      <c r="H268" s="43"/>
      <c r="I268" s="43" t="s">
        <v>602</v>
      </c>
      <c r="J268" s="43" t="s">
        <v>1552</v>
      </c>
      <c r="K268" s="43" t="s">
        <v>1730</v>
      </c>
      <c r="L268" s="151" t="s">
        <v>1731</v>
      </c>
      <c r="M268" s="155" t="s">
        <v>1732</v>
      </c>
      <c r="N268" s="144">
        <f>13.67+8.16+8.23</f>
        <v>30.06</v>
      </c>
      <c r="O268" s="43" t="s">
        <v>18</v>
      </c>
      <c r="P268" s="47" t="s">
        <v>165</v>
      </c>
      <c r="Q268" s="144">
        <v>30.06</v>
      </c>
      <c r="R268" s="43">
        <v>0</v>
      </c>
      <c r="S268" s="16" t="s">
        <v>102</v>
      </c>
      <c r="T268" s="215">
        <v>0.4</v>
      </c>
      <c r="U268" s="215">
        <v>0.6</v>
      </c>
      <c r="V268" s="215"/>
      <c r="W268" s="485"/>
      <c r="X268" s="215"/>
      <c r="Y268" s="43"/>
      <c r="Z268" s="46"/>
      <c r="AA268" s="43"/>
      <c r="AB268" s="43"/>
      <c r="AC268" s="46">
        <v>0</v>
      </c>
      <c r="AD268" s="17"/>
      <c r="AE268" s="48"/>
      <c r="AF268" s="37" t="s">
        <v>126</v>
      </c>
      <c r="AG268" s="47"/>
      <c r="AH268" s="49">
        <f>Table2[[#This Row],[Prix de vente ($)]]/Table2[[#This Row],[Superficie totale (ha)]]</f>
        <v>1397.2055888223554</v>
      </c>
      <c r="AI268" s="49"/>
    </row>
    <row r="269" spans="1:36" ht="39" customHeight="1">
      <c r="A269" s="187">
        <v>28241136</v>
      </c>
      <c r="B269" s="43"/>
      <c r="C269" s="148">
        <v>45167</v>
      </c>
      <c r="D269" s="37" t="s">
        <v>1733</v>
      </c>
      <c r="E269" s="37" t="s">
        <v>1734</v>
      </c>
      <c r="F269" s="45">
        <v>3622555</v>
      </c>
      <c r="G269" s="15">
        <v>20000</v>
      </c>
      <c r="H269" s="43"/>
      <c r="I269" s="43" t="s">
        <v>258</v>
      </c>
      <c r="J269" s="43" t="s">
        <v>1315</v>
      </c>
      <c r="K269" s="43" t="s">
        <v>1735</v>
      </c>
      <c r="L269" s="151" t="s">
        <v>1736</v>
      </c>
      <c r="M269" s="155" t="s">
        <v>1737</v>
      </c>
      <c r="N269" s="144">
        <v>8.33</v>
      </c>
      <c r="O269" s="43" t="s">
        <v>25</v>
      </c>
      <c r="P269" s="47" t="s">
        <v>19</v>
      </c>
      <c r="Q269" s="144">
        <v>7.33</v>
      </c>
      <c r="R269" s="43">
        <v>0</v>
      </c>
      <c r="S269" s="16" t="s">
        <v>20</v>
      </c>
      <c r="T269" s="215">
        <v>0.9</v>
      </c>
      <c r="U269" s="215">
        <v>0.1</v>
      </c>
      <c r="V269" s="215"/>
      <c r="W269" s="485"/>
      <c r="X269" s="215"/>
      <c r="Y269" s="43"/>
      <c r="Z269" s="46"/>
      <c r="AA269" s="43"/>
      <c r="AB269" s="43"/>
      <c r="AC269" s="46">
        <v>0</v>
      </c>
      <c r="AD269" s="17"/>
      <c r="AE269" s="48"/>
      <c r="AF269" s="37" t="s">
        <v>1738</v>
      </c>
      <c r="AG269" s="47"/>
      <c r="AH269" s="49">
        <f>Table2[[#This Row],[Prix de vente ($)]]/Table2[[#This Row],[Superficie totale (ha)]]</f>
        <v>2400.9603841536614</v>
      </c>
      <c r="AI269" s="49"/>
    </row>
    <row r="270" spans="1:36" ht="39" customHeight="1">
      <c r="A270" s="196" t="s">
        <v>1739</v>
      </c>
      <c r="C270" s="318">
        <v>45167</v>
      </c>
      <c r="F270" t="s">
        <v>1740</v>
      </c>
      <c r="G270" s="93">
        <v>30000</v>
      </c>
      <c r="I270" t="s">
        <v>1363</v>
      </c>
      <c r="AH270" s="49"/>
    </row>
    <row r="271" spans="1:36" ht="48" customHeight="1">
      <c r="A271" s="196">
        <v>28249790</v>
      </c>
      <c r="C271" s="318">
        <v>45169</v>
      </c>
      <c r="D271" t="s">
        <v>1741</v>
      </c>
      <c r="E271" t="s">
        <v>1742</v>
      </c>
      <c r="F271" t="s">
        <v>1743</v>
      </c>
      <c r="G271" s="134">
        <v>10000</v>
      </c>
      <c r="I271" t="s">
        <v>1516</v>
      </c>
      <c r="J271" t="s">
        <v>1517</v>
      </c>
      <c r="K271" t="s">
        <v>1744</v>
      </c>
      <c r="L271" s="205">
        <v>45.722126000000003</v>
      </c>
      <c r="M271" s="205">
        <v>-74.208138000000005</v>
      </c>
      <c r="N271" s="211">
        <v>10.55</v>
      </c>
      <c r="O271" t="s">
        <v>25</v>
      </c>
      <c r="P271" t="s">
        <v>35</v>
      </c>
      <c r="Q271" s="199">
        <v>10.55</v>
      </c>
      <c r="S271" s="94" t="s">
        <v>62</v>
      </c>
      <c r="T271" s="222">
        <v>0.8</v>
      </c>
      <c r="U271" s="222">
        <v>0.2</v>
      </c>
      <c r="V271" s="222">
        <v>0.85</v>
      </c>
      <c r="AF271" t="s">
        <v>1745</v>
      </c>
      <c r="AH271" s="49">
        <f>Table2[[#This Row],[Prix de vente ($)]]/Table2[[#This Row],[Superficie totale (ha)]]</f>
        <v>947.86729857819898</v>
      </c>
    </row>
    <row r="272" spans="1:36" ht="39" customHeight="1">
      <c r="A272" s="188">
        <v>28258351</v>
      </c>
      <c r="B272" s="67"/>
      <c r="C272" s="361">
        <v>45174</v>
      </c>
      <c r="D272" s="68" t="s">
        <v>1746</v>
      </c>
      <c r="E272" s="68" t="s">
        <v>1747</v>
      </c>
      <c r="F272" s="69">
        <v>4175937</v>
      </c>
      <c r="G272" s="21">
        <v>28100</v>
      </c>
      <c r="H272" s="67"/>
      <c r="I272" s="67" t="s">
        <v>75</v>
      </c>
      <c r="J272" s="67" t="s">
        <v>585</v>
      </c>
      <c r="K272" s="67" t="s">
        <v>713</v>
      </c>
      <c r="L272" s="206" t="s">
        <v>1748</v>
      </c>
      <c r="M272" s="200" t="s">
        <v>1749</v>
      </c>
      <c r="N272" s="153">
        <v>10.54</v>
      </c>
      <c r="O272" s="67" t="s">
        <v>18</v>
      </c>
      <c r="P272" s="71" t="s">
        <v>35</v>
      </c>
      <c r="Q272" s="147">
        <v>10.54</v>
      </c>
      <c r="R272" s="67">
        <v>0</v>
      </c>
      <c r="S272" s="22" t="s">
        <v>22</v>
      </c>
      <c r="T272" s="218">
        <v>0.7</v>
      </c>
      <c r="U272" s="218">
        <v>0.3</v>
      </c>
      <c r="V272" s="218"/>
      <c r="W272" s="490"/>
      <c r="X272" s="218"/>
      <c r="Y272" s="67"/>
      <c r="Z272" s="70"/>
      <c r="AA272" s="67"/>
      <c r="AB272" s="67"/>
      <c r="AC272" s="70">
        <f>1.57+0.78</f>
        <v>2.35</v>
      </c>
      <c r="AD272" s="72"/>
      <c r="AE272" s="73"/>
      <c r="AF272" s="68"/>
      <c r="AG272" s="71"/>
      <c r="AH272" s="49">
        <f>Table2[[#This Row],[Prix de vente ($)]]/Table2[[#This Row],[Superficie totale (ha)]]</f>
        <v>2666.0341555977234</v>
      </c>
      <c r="AI272" s="74" t="e">
        <v>#DIV/0!</v>
      </c>
    </row>
    <row r="273" spans="1:44" ht="39" customHeight="1">
      <c r="A273" s="189">
        <v>28258278</v>
      </c>
      <c r="B273" s="80"/>
      <c r="C273" s="318">
        <v>45175</v>
      </c>
      <c r="D273" s="43" t="s">
        <v>1750</v>
      </c>
      <c r="E273" s="80" t="s">
        <v>1751</v>
      </c>
      <c r="F273" s="80" t="s">
        <v>1752</v>
      </c>
      <c r="G273" s="134">
        <v>73500</v>
      </c>
      <c r="H273" s="80"/>
      <c r="I273" s="80" t="s">
        <v>29</v>
      </c>
      <c r="J273" s="80" t="s">
        <v>506</v>
      </c>
      <c r="K273" s="80" t="s">
        <v>1753</v>
      </c>
      <c r="L273" s="199">
        <v>46.612184999999997</v>
      </c>
      <c r="M273" s="199">
        <v>-70.021798000000004</v>
      </c>
      <c r="N273" s="199">
        <v>21.23</v>
      </c>
      <c r="O273" s="80" t="s">
        <v>25</v>
      </c>
      <c r="P273" s="80" t="s">
        <v>35</v>
      </c>
      <c r="Q273" s="199">
        <v>21.23</v>
      </c>
      <c r="R273" s="80"/>
      <c r="S273" s="80" t="s">
        <v>33</v>
      </c>
      <c r="T273" s="216">
        <v>0.3</v>
      </c>
      <c r="U273" s="216">
        <v>0.7</v>
      </c>
      <c r="V273" s="216">
        <v>0.7</v>
      </c>
      <c r="W273" s="199"/>
      <c r="X273" s="216"/>
      <c r="Y273" s="80"/>
      <c r="Z273" s="80"/>
      <c r="AA273" s="80"/>
      <c r="AB273" s="80"/>
      <c r="AC273" s="80"/>
      <c r="AD273" s="80"/>
      <c r="AE273" s="80"/>
      <c r="AF273" s="80" t="s">
        <v>1754</v>
      </c>
      <c r="AG273" s="80"/>
      <c r="AH273" s="49">
        <f>Table2[[#This Row],[Prix de vente ($)]]/Table2[[#This Row],[Superficie totale (ha)]]</f>
        <v>3462.0819594912859</v>
      </c>
      <c r="AI273" s="80"/>
    </row>
    <row r="274" spans="1:44" ht="48" customHeight="1">
      <c r="A274" s="187" t="s">
        <v>1755</v>
      </c>
      <c r="B274" s="43"/>
      <c r="C274" s="148">
        <v>45176</v>
      </c>
      <c r="D274" s="37" t="s">
        <v>1756</v>
      </c>
      <c r="E274" s="37" t="s">
        <v>1757</v>
      </c>
      <c r="F274" s="45" t="s">
        <v>1758</v>
      </c>
      <c r="G274" s="15">
        <v>45000</v>
      </c>
      <c r="H274" s="43"/>
      <c r="I274" s="43" t="s">
        <v>75</v>
      </c>
      <c r="J274" s="43" t="s">
        <v>1759</v>
      </c>
      <c r="K274" s="43" t="s">
        <v>1759</v>
      </c>
      <c r="L274" s="151" t="s">
        <v>1760</v>
      </c>
      <c r="M274" s="155" t="s">
        <v>1761</v>
      </c>
      <c r="N274" s="144">
        <f>10.6+8.4</f>
        <v>19</v>
      </c>
      <c r="O274" s="43" t="s">
        <v>18</v>
      </c>
      <c r="P274" s="47" t="s">
        <v>35</v>
      </c>
      <c r="Q274" s="144">
        <f>N274</f>
        <v>19</v>
      </c>
      <c r="R274" s="43"/>
      <c r="S274" s="16" t="s">
        <v>20</v>
      </c>
      <c r="T274" s="215">
        <v>0.8</v>
      </c>
      <c r="U274" s="215">
        <v>0.2</v>
      </c>
      <c r="V274" s="215"/>
      <c r="W274" s="485"/>
      <c r="X274" s="215"/>
      <c r="Y274" s="43"/>
      <c r="Z274" s="46"/>
      <c r="AA274" s="43"/>
      <c r="AB274" s="43"/>
      <c r="AC274" s="46">
        <v>4.8</v>
      </c>
      <c r="AD274" s="17"/>
      <c r="AE274" s="48"/>
      <c r="AF274" s="37"/>
      <c r="AG274" s="47"/>
      <c r="AH274" s="49">
        <f>Table2[[#This Row],[Prix de vente ($)]]/Table2[[#This Row],[Superficie totale (ha)]]</f>
        <v>2368.4210526315787</v>
      </c>
      <c r="AI274" s="49"/>
    </row>
    <row r="275" spans="1:44" ht="51.95" customHeight="1">
      <c r="A275" s="187">
        <v>28269204</v>
      </c>
      <c r="B275" s="43"/>
      <c r="C275" s="148">
        <v>45181</v>
      </c>
      <c r="D275" s="37" t="s">
        <v>1762</v>
      </c>
      <c r="E275" s="37" t="s">
        <v>1763</v>
      </c>
      <c r="F275" s="45">
        <v>5882400</v>
      </c>
      <c r="G275" s="15">
        <v>250000</v>
      </c>
      <c r="H275" s="43"/>
      <c r="I275" s="43" t="s">
        <v>258</v>
      </c>
      <c r="J275" s="43" t="s">
        <v>1241</v>
      </c>
      <c r="K275" s="43" t="s">
        <v>1661</v>
      </c>
      <c r="L275" s="151" t="s">
        <v>1764</v>
      </c>
      <c r="M275" s="155" t="s">
        <v>1765</v>
      </c>
      <c r="N275" s="144">
        <v>9.8000000000000007</v>
      </c>
      <c r="O275" s="43" t="s">
        <v>25</v>
      </c>
      <c r="P275" s="47" t="s">
        <v>19</v>
      </c>
      <c r="Q275" s="144">
        <v>9.8000000000000007</v>
      </c>
      <c r="R275" s="43">
        <v>0</v>
      </c>
      <c r="S275" s="16" t="s">
        <v>22</v>
      </c>
      <c r="T275" s="215">
        <v>0.5</v>
      </c>
      <c r="U275" s="215">
        <v>0.5</v>
      </c>
      <c r="V275" s="215"/>
      <c r="W275" s="485"/>
      <c r="X275" s="215"/>
      <c r="Y275" s="43"/>
      <c r="Z275" s="46"/>
      <c r="AA275" s="43"/>
      <c r="AB275" s="43"/>
      <c r="AC275" s="46">
        <v>0</v>
      </c>
      <c r="AD275" s="17"/>
      <c r="AE275" s="48"/>
      <c r="AF275" s="37" t="s">
        <v>1766</v>
      </c>
      <c r="AG275" s="47"/>
      <c r="AH275" s="49">
        <f>Table2[[#This Row],[Prix de vente ($)]]/Table2[[#This Row],[Superficie totale (ha)]]</f>
        <v>25510.204081632652</v>
      </c>
      <c r="AI275" s="49"/>
      <c r="AK275" s="80"/>
      <c r="AL275" s="80"/>
      <c r="AM275" s="80"/>
      <c r="AN275" s="80"/>
      <c r="AO275" s="80"/>
      <c r="AP275" s="80"/>
      <c r="AQ275" s="80"/>
      <c r="AR275" s="80"/>
    </row>
    <row r="276" spans="1:44" ht="32.25" customHeight="1">
      <c r="A276" s="187">
        <v>28443605</v>
      </c>
      <c r="B276" s="43"/>
      <c r="C276" s="148">
        <v>45181</v>
      </c>
      <c r="D276" s="37" t="s">
        <v>1767</v>
      </c>
      <c r="E276" s="37" t="s">
        <v>1768</v>
      </c>
      <c r="F276" s="45">
        <v>3698610</v>
      </c>
      <c r="G276" s="15">
        <v>35000</v>
      </c>
      <c r="H276" s="43"/>
      <c r="I276" s="43" t="s">
        <v>192</v>
      </c>
      <c r="J276" s="43" t="s">
        <v>1769</v>
      </c>
      <c r="K276" s="43" t="s">
        <v>1770</v>
      </c>
      <c r="L276" s="151" t="s">
        <v>1771</v>
      </c>
      <c r="M276" s="155" t="s">
        <v>1772</v>
      </c>
      <c r="N276" s="144">
        <v>10.84</v>
      </c>
      <c r="O276" s="43" t="s">
        <v>18</v>
      </c>
      <c r="P276" s="47" t="s">
        <v>35</v>
      </c>
      <c r="Q276" s="144">
        <v>10.84</v>
      </c>
      <c r="R276" s="43">
        <v>0</v>
      </c>
      <c r="S276" s="16" t="s">
        <v>102</v>
      </c>
      <c r="T276" s="215">
        <v>0.8</v>
      </c>
      <c r="U276" s="215">
        <v>0.2</v>
      </c>
      <c r="V276" s="215"/>
      <c r="W276" s="485"/>
      <c r="X276" s="215"/>
      <c r="Y276" s="43"/>
      <c r="Z276" s="46"/>
      <c r="AA276" s="43"/>
      <c r="AB276" s="43"/>
      <c r="AC276" s="46">
        <v>2</v>
      </c>
      <c r="AD276" s="17"/>
      <c r="AE276" s="48"/>
      <c r="AF276" s="37" t="s">
        <v>126</v>
      </c>
      <c r="AG276" s="47"/>
      <c r="AH276" s="49">
        <f>Table2[[#This Row],[Prix de vente ($)]]/Table2[[#This Row],[Superficie totale (ha)]]</f>
        <v>3228.7822878228781</v>
      </c>
      <c r="AI276" s="49"/>
      <c r="AJ276" s="80"/>
      <c r="AK276" s="80"/>
      <c r="AL276" s="80"/>
      <c r="AM276" s="80"/>
      <c r="AN276" s="80"/>
      <c r="AO276" s="80"/>
      <c r="AP276" s="80"/>
      <c r="AQ276" s="80"/>
      <c r="AR276" s="80"/>
    </row>
    <row r="277" spans="1:44" ht="38.25" customHeight="1">
      <c r="A277" s="196" t="s">
        <v>1773</v>
      </c>
      <c r="C277" s="318">
        <v>45181</v>
      </c>
      <c r="F277" t="s">
        <v>1774</v>
      </c>
      <c r="G277" s="93">
        <v>100000</v>
      </c>
      <c r="I277" t="s">
        <v>50</v>
      </c>
      <c r="N277" s="50">
        <v>18.72</v>
      </c>
      <c r="AC277" s="50">
        <v>35.1</v>
      </c>
      <c r="AH277" s="49"/>
      <c r="AJ277" s="80"/>
      <c r="AK277" s="80"/>
      <c r="AL277" s="80"/>
      <c r="AM277" s="80"/>
      <c r="AN277" s="80"/>
      <c r="AO277" s="80"/>
      <c r="AP277" s="80"/>
      <c r="AQ277" s="80"/>
      <c r="AR277" s="80"/>
    </row>
    <row r="278" spans="1:44" ht="30">
      <c r="A278" s="187">
        <v>28271542</v>
      </c>
      <c r="B278" s="43"/>
      <c r="C278" s="148">
        <v>45182</v>
      </c>
      <c r="D278" s="37" t="s">
        <v>1775</v>
      </c>
      <c r="E278" s="37" t="s">
        <v>1776</v>
      </c>
      <c r="F278" s="45">
        <v>3622724</v>
      </c>
      <c r="G278" s="15">
        <v>38000</v>
      </c>
      <c r="H278" s="43"/>
      <c r="I278" s="43" t="s">
        <v>258</v>
      </c>
      <c r="J278" s="43" t="s">
        <v>1315</v>
      </c>
      <c r="K278" s="43" t="s">
        <v>1777</v>
      </c>
      <c r="L278" s="151" t="s">
        <v>1778</v>
      </c>
      <c r="M278" s="151" t="s">
        <v>1779</v>
      </c>
      <c r="N278" s="144">
        <v>13.28</v>
      </c>
      <c r="O278" s="43" t="s">
        <v>25</v>
      </c>
      <c r="P278" s="47" t="s">
        <v>19</v>
      </c>
      <c r="Q278" s="144">
        <v>13.28</v>
      </c>
      <c r="R278" s="43">
        <v>0</v>
      </c>
      <c r="S278" s="16" t="s">
        <v>20</v>
      </c>
      <c r="T278" s="215">
        <v>0.9</v>
      </c>
      <c r="U278" s="215">
        <v>0.1</v>
      </c>
      <c r="V278" s="215"/>
      <c r="W278" s="485"/>
      <c r="X278" s="215"/>
      <c r="Y278" s="43"/>
      <c r="Z278" s="46"/>
      <c r="AA278" s="43"/>
      <c r="AB278" s="43"/>
      <c r="AC278" s="46">
        <v>0</v>
      </c>
      <c r="AD278" s="17"/>
      <c r="AE278" s="48"/>
      <c r="AF278" s="37" t="s">
        <v>1738</v>
      </c>
      <c r="AG278" s="47"/>
      <c r="AH278" s="49">
        <f>Table2[[#This Row],[Prix de vente ($)]]/Table2[[#This Row],[Superficie totale (ha)]]</f>
        <v>2861.4457831325303</v>
      </c>
      <c r="AI278" s="49"/>
      <c r="AJ278" s="80"/>
      <c r="AK278" s="80"/>
      <c r="AL278" s="80"/>
      <c r="AM278" s="80"/>
      <c r="AN278" s="80"/>
      <c r="AO278" s="80"/>
      <c r="AP278" s="80"/>
      <c r="AQ278" s="80"/>
      <c r="AR278" s="80"/>
    </row>
    <row r="279" spans="1:44" ht="30">
      <c r="A279" s="187">
        <v>28271212</v>
      </c>
      <c r="B279" s="43"/>
      <c r="C279" s="148">
        <v>45182</v>
      </c>
      <c r="D279" s="37" t="s">
        <v>1780</v>
      </c>
      <c r="E279" s="37" t="s">
        <v>1781</v>
      </c>
      <c r="F279" s="45" t="s">
        <v>1782</v>
      </c>
      <c r="G279" s="15">
        <v>135000</v>
      </c>
      <c r="H279" s="43"/>
      <c r="I279" s="43" t="s">
        <v>602</v>
      </c>
      <c r="J279" s="43" t="s">
        <v>603</v>
      </c>
      <c r="K279" s="43" t="s">
        <v>1783</v>
      </c>
      <c r="L279" s="151" t="s">
        <v>1784</v>
      </c>
      <c r="M279" s="155" t="s">
        <v>1785</v>
      </c>
      <c r="N279" s="144">
        <v>15.55</v>
      </c>
      <c r="O279" s="43" t="s">
        <v>25</v>
      </c>
      <c r="P279" s="47" t="s">
        <v>165</v>
      </c>
      <c r="Q279" s="144">
        <v>15.55</v>
      </c>
      <c r="R279" s="43">
        <v>0</v>
      </c>
      <c r="S279" s="16" t="s">
        <v>102</v>
      </c>
      <c r="T279" s="215">
        <v>0.3</v>
      </c>
      <c r="U279" s="215">
        <v>0.7</v>
      </c>
      <c r="V279" s="215"/>
      <c r="W279" s="485"/>
      <c r="X279" s="215"/>
      <c r="Y279" s="43"/>
      <c r="Z279" s="46"/>
      <c r="AA279" s="43"/>
      <c r="AB279" s="43"/>
      <c r="AC279" s="46">
        <v>0</v>
      </c>
      <c r="AD279" s="17"/>
      <c r="AE279" s="48"/>
      <c r="AF279" s="37" t="s">
        <v>1035</v>
      </c>
      <c r="AG279" s="47"/>
      <c r="AH279" s="49">
        <f>Table2[[#This Row],[Prix de vente ($)]]/Table2[[#This Row],[Superficie totale (ha)]]</f>
        <v>8681.672025723472</v>
      </c>
      <c r="AI279" s="49"/>
      <c r="AJ279" s="80"/>
      <c r="AK279" s="80"/>
      <c r="AL279" s="80"/>
      <c r="AM279" s="80"/>
      <c r="AN279" s="80"/>
      <c r="AO279" s="80"/>
      <c r="AP279" s="80"/>
      <c r="AQ279" s="80"/>
      <c r="AR279" s="80"/>
    </row>
    <row r="280" spans="1:44">
      <c r="A280" s="187">
        <v>28347744</v>
      </c>
      <c r="B280" s="43"/>
      <c r="C280" s="148">
        <v>45183</v>
      </c>
      <c r="D280" s="37" t="s">
        <v>1786</v>
      </c>
      <c r="E280" s="37" t="s">
        <v>1787</v>
      </c>
      <c r="F280" s="43">
        <v>3197694</v>
      </c>
      <c r="G280" s="15">
        <v>33000</v>
      </c>
      <c r="H280" s="43"/>
      <c r="I280" s="43" t="s">
        <v>16</v>
      </c>
      <c r="J280" s="43" t="s">
        <v>1788</v>
      </c>
      <c r="K280" s="43" t="s">
        <v>1789</v>
      </c>
      <c r="L280" s="151">
        <v>46.736275999999997</v>
      </c>
      <c r="M280" s="151">
        <v>-70.780876000000006</v>
      </c>
      <c r="N280" s="144">
        <v>9.14</v>
      </c>
      <c r="O280" s="43" t="s">
        <v>36</v>
      </c>
      <c r="P280" s="47" t="s">
        <v>206</v>
      </c>
      <c r="Q280" s="144">
        <f>N280</f>
        <v>9.14</v>
      </c>
      <c r="R280" s="43"/>
      <c r="S280" s="16"/>
      <c r="T280" s="215"/>
      <c r="U280" s="215"/>
      <c r="V280" s="215"/>
      <c r="W280" s="485"/>
      <c r="X280" s="215"/>
      <c r="Y280" s="43"/>
      <c r="Z280" s="46"/>
      <c r="AA280" s="43"/>
      <c r="AB280" s="43"/>
      <c r="AC280" s="46"/>
      <c r="AD280" s="17"/>
      <c r="AE280" s="48"/>
      <c r="AF280" s="37"/>
      <c r="AG280" s="47"/>
      <c r="AH280" s="49">
        <f>Table2[[#This Row],[Prix de vente ($)]]/Table2[[#This Row],[Superficie totale (ha)]]</f>
        <v>3610.5032822757107</v>
      </c>
      <c r="AI280" s="43" t="e">
        <v>#DIV/0!</v>
      </c>
      <c r="AJ280" s="80"/>
      <c r="AK280" s="80"/>
      <c r="AL280" s="80"/>
      <c r="AM280" s="80"/>
      <c r="AN280" s="80"/>
      <c r="AO280" s="80"/>
      <c r="AP280" s="80"/>
      <c r="AQ280" s="80"/>
      <c r="AR280" s="80"/>
    </row>
    <row r="281" spans="1:44" ht="30">
      <c r="A281" s="187">
        <v>28279900</v>
      </c>
      <c r="B281" s="43"/>
      <c r="C281" s="148">
        <v>45187</v>
      </c>
      <c r="D281" s="37" t="s">
        <v>1790</v>
      </c>
      <c r="E281" s="37" t="s">
        <v>1791</v>
      </c>
      <c r="F281" s="43">
        <v>3887738</v>
      </c>
      <c r="G281" s="15">
        <v>2000</v>
      </c>
      <c r="H281" s="43"/>
      <c r="I281" s="43" t="s">
        <v>627</v>
      </c>
      <c r="J281" s="43" t="s">
        <v>628</v>
      </c>
      <c r="K281" s="43" t="s">
        <v>629</v>
      </c>
      <c r="L281" s="151" t="s">
        <v>1792</v>
      </c>
      <c r="M281" s="151" t="s">
        <v>1793</v>
      </c>
      <c r="N281" s="144">
        <v>2.12</v>
      </c>
      <c r="O281" s="43" t="s">
        <v>25</v>
      </c>
      <c r="P281" s="47" t="s">
        <v>63</v>
      </c>
      <c r="Q281" s="144">
        <f>Bois!$N60</f>
        <v>32.78</v>
      </c>
      <c r="R281" s="43"/>
      <c r="S281" s="16" t="s">
        <v>22</v>
      </c>
      <c r="T281" s="215"/>
      <c r="U281" s="215"/>
      <c r="V281" s="215"/>
      <c r="W281" s="485"/>
      <c r="X281" s="215"/>
      <c r="Y281" s="43"/>
      <c r="Z281" s="46"/>
      <c r="AA281" s="43"/>
      <c r="AB281" s="43"/>
      <c r="AC281" s="46"/>
      <c r="AD281" s="17"/>
      <c r="AE281" s="48"/>
      <c r="AF281" s="37"/>
      <c r="AG281" s="47"/>
      <c r="AH281" s="49">
        <f>Table2[[#This Row],[Prix de vente ($)]]/Table2[[#This Row],[Superficie totale (ha)]]</f>
        <v>943.39622641509425</v>
      </c>
      <c r="AI281" s="49" t="e">
        <f>Bois!$G60/Bois!$AD60</f>
        <v>#DIV/0!</v>
      </c>
      <c r="AJ281" s="80"/>
      <c r="AK281" s="80"/>
      <c r="AL281" s="80"/>
      <c r="AM281" s="80"/>
      <c r="AN281" s="80"/>
      <c r="AO281" s="80"/>
      <c r="AP281" s="80"/>
      <c r="AQ281" s="80"/>
      <c r="AR281" s="80"/>
    </row>
    <row r="282" spans="1:44" ht="42.95" customHeight="1">
      <c r="A282" s="188">
        <v>28283455</v>
      </c>
      <c r="B282" s="67"/>
      <c r="C282" s="361">
        <v>45188</v>
      </c>
      <c r="D282" s="68" t="s">
        <v>1794</v>
      </c>
      <c r="E282" s="68" t="s">
        <v>1795</v>
      </c>
      <c r="F282" s="67" t="s">
        <v>1796</v>
      </c>
      <c r="G282" s="21">
        <v>155000</v>
      </c>
      <c r="H282" s="67"/>
      <c r="I282" s="67" t="s">
        <v>75</v>
      </c>
      <c r="J282" s="67" t="s">
        <v>585</v>
      </c>
      <c r="K282" s="67" t="s">
        <v>1147</v>
      </c>
      <c r="L282" s="206" t="s">
        <v>1797</v>
      </c>
      <c r="M282" s="200" t="s">
        <v>1798</v>
      </c>
      <c r="N282" s="153">
        <f>20.53+9.89+2.53</f>
        <v>32.950000000000003</v>
      </c>
      <c r="O282" s="67" t="s">
        <v>36</v>
      </c>
      <c r="P282" s="71" t="s">
        <v>35</v>
      </c>
      <c r="Q282" s="147">
        <v>32.950000000000003</v>
      </c>
      <c r="R282" s="67">
        <v>0</v>
      </c>
      <c r="S282" s="22" t="s">
        <v>22</v>
      </c>
      <c r="T282" s="218">
        <v>0.7</v>
      </c>
      <c r="U282" s="218">
        <v>0.3</v>
      </c>
      <c r="V282" s="218"/>
      <c r="W282" s="490"/>
      <c r="X282" s="218"/>
      <c r="Y282" s="67"/>
      <c r="Z282" s="70"/>
      <c r="AA282" s="67"/>
      <c r="AB282" s="67"/>
      <c r="AC282" s="70">
        <f>1.57+9.01</f>
        <v>10.58</v>
      </c>
      <c r="AD282" s="72"/>
      <c r="AE282" s="73"/>
      <c r="AF282" s="68" t="s">
        <v>1799</v>
      </c>
      <c r="AG282" s="71"/>
      <c r="AH282" s="49">
        <f>Table2[[#This Row],[Prix de vente ($)]]/Table2[[#This Row],[Superficie totale (ha)]]</f>
        <v>4704.0971168437018</v>
      </c>
      <c r="AI282" s="67" t="e">
        <v>#DIV/0!</v>
      </c>
      <c r="AJ282" s="80"/>
      <c r="AK282" s="80"/>
      <c r="AL282" s="80"/>
      <c r="AM282" s="80"/>
      <c r="AN282" s="80"/>
      <c r="AO282" s="80"/>
      <c r="AP282" s="80"/>
      <c r="AQ282" s="80"/>
      <c r="AR282" s="80"/>
    </row>
    <row r="283" spans="1:44" ht="39" customHeight="1">
      <c r="A283" s="196" t="s">
        <v>1800</v>
      </c>
      <c r="C283" s="318">
        <v>45188</v>
      </c>
      <c r="D283" t="s">
        <v>1801</v>
      </c>
      <c r="E283" t="s">
        <v>1802</v>
      </c>
      <c r="F283" t="s">
        <v>1803</v>
      </c>
      <c r="G283" s="93">
        <v>155000</v>
      </c>
      <c r="I283" t="s">
        <v>75</v>
      </c>
      <c r="J283" t="s">
        <v>1804</v>
      </c>
      <c r="K283" t="s">
        <v>1805</v>
      </c>
      <c r="L283" s="205">
        <v>46.650060000000003</v>
      </c>
      <c r="M283" s="270" t="s">
        <v>1806</v>
      </c>
      <c r="N283" s="211">
        <f>2.53+9.89+20.53</f>
        <v>32.950000000000003</v>
      </c>
      <c r="P283" t="s">
        <v>206</v>
      </c>
      <c r="S283" s="94" t="s">
        <v>20</v>
      </c>
      <c r="T283" s="222">
        <v>0.75</v>
      </c>
      <c r="U283" s="222">
        <v>0.25</v>
      </c>
      <c r="V283" s="222">
        <v>0.75</v>
      </c>
      <c r="AC283" s="63">
        <v>11</v>
      </c>
      <c r="AF283" t="s">
        <v>1807</v>
      </c>
      <c r="AH283" s="49">
        <f>Table2[[#This Row],[Prix de vente ($)]]/Table2[[#This Row],[Superficie totale (ha)]]</f>
        <v>4704.0971168437018</v>
      </c>
      <c r="AJ283" s="80"/>
      <c r="AK283" s="80"/>
      <c r="AL283" s="80"/>
      <c r="AM283" s="80"/>
      <c r="AN283" s="80"/>
      <c r="AO283" s="80"/>
      <c r="AP283" s="80"/>
      <c r="AQ283" s="80"/>
      <c r="AR283" s="80"/>
    </row>
    <row r="284" spans="1:44" ht="39" customHeight="1">
      <c r="A284" s="196">
        <v>28282687</v>
      </c>
      <c r="C284" s="318">
        <v>45188</v>
      </c>
      <c r="D284" t="s">
        <v>1808</v>
      </c>
      <c r="E284" t="s">
        <v>1809</v>
      </c>
      <c r="F284" t="s">
        <v>1810</v>
      </c>
      <c r="G284" s="93">
        <v>300000</v>
      </c>
      <c r="I284" t="s">
        <v>65</v>
      </c>
      <c r="J284" t="s">
        <v>700</v>
      </c>
      <c r="K284" t="s">
        <v>1303</v>
      </c>
      <c r="L284" s="205" t="s">
        <v>1811</v>
      </c>
      <c r="M284" s="270" t="s">
        <v>1812</v>
      </c>
      <c r="N284" s="211">
        <f>41.68+41.7</f>
        <v>83.38</v>
      </c>
      <c r="O284" t="s">
        <v>66</v>
      </c>
      <c r="P284" t="s">
        <v>317</v>
      </c>
      <c r="S284" s="94" t="s">
        <v>20</v>
      </c>
      <c r="T284" s="222">
        <v>0.75</v>
      </c>
      <c r="U284" s="222">
        <v>0.25</v>
      </c>
      <c r="V284" s="222">
        <v>0.85</v>
      </c>
      <c r="AC284" s="63">
        <v>35</v>
      </c>
      <c r="AF284" t="s">
        <v>1813</v>
      </c>
      <c r="AH284" s="49">
        <f>Table2[[#This Row],[Prix de vente ($)]]/Table2[[#This Row],[Superficie totale (ha)]]</f>
        <v>3597.9851283281364</v>
      </c>
      <c r="AJ284" s="80"/>
      <c r="AK284" s="80"/>
      <c r="AL284" s="80"/>
      <c r="AM284" s="80"/>
      <c r="AN284" s="80"/>
      <c r="AO284" s="80"/>
      <c r="AP284" s="80"/>
      <c r="AQ284" s="80"/>
      <c r="AR284" s="80"/>
    </row>
    <row r="285" spans="1:44" ht="42.95" customHeight="1">
      <c r="A285" s="196">
        <v>28285516</v>
      </c>
      <c r="C285" s="318">
        <v>45189</v>
      </c>
      <c r="D285" s="249" t="s">
        <v>1814</v>
      </c>
      <c r="E285" s="249" t="s">
        <v>1815</v>
      </c>
      <c r="F285" s="249" t="s">
        <v>1816</v>
      </c>
      <c r="G285" s="134">
        <v>311100</v>
      </c>
      <c r="I285" t="s">
        <v>274</v>
      </c>
      <c r="J285" t="s">
        <v>860</v>
      </c>
      <c r="K285" t="s">
        <v>1817</v>
      </c>
      <c r="L285" s="205">
        <v>45.685805999999999</v>
      </c>
      <c r="M285" s="205">
        <v>-72.037835000000001</v>
      </c>
      <c r="N285" s="211">
        <v>62.95</v>
      </c>
      <c r="O285" t="s">
        <v>25</v>
      </c>
      <c r="P285" t="s">
        <v>173</v>
      </c>
      <c r="Q285" s="199">
        <v>62.95</v>
      </c>
      <c r="S285" s="94" t="s">
        <v>175</v>
      </c>
      <c r="T285" s="222">
        <v>0.5</v>
      </c>
      <c r="U285" s="222">
        <v>0.5</v>
      </c>
      <c r="V285" s="222">
        <v>0.7</v>
      </c>
      <c r="AF285" s="20" t="s">
        <v>1818</v>
      </c>
      <c r="AH285" s="49">
        <f>Table2[[#This Row],[Prix de vente ($)]]/Table2[[#This Row],[Superficie totale (ha)]]</f>
        <v>4942.0174741858618</v>
      </c>
      <c r="AJ285" s="80"/>
      <c r="AK285" s="80"/>
      <c r="AL285" s="80"/>
      <c r="AM285" s="80"/>
      <c r="AN285" s="80"/>
      <c r="AO285" s="80"/>
      <c r="AP285" s="80"/>
      <c r="AQ285" s="80"/>
      <c r="AR285" s="80"/>
    </row>
    <row r="286" spans="1:44" ht="30">
      <c r="A286" s="187">
        <v>28287300</v>
      </c>
      <c r="B286" s="43"/>
      <c r="C286" s="148">
        <v>45190</v>
      </c>
      <c r="D286" s="37" t="s">
        <v>1819</v>
      </c>
      <c r="E286" s="37" t="s">
        <v>1820</v>
      </c>
      <c r="F286" s="45" t="s">
        <v>1821</v>
      </c>
      <c r="G286" s="15">
        <v>590000</v>
      </c>
      <c r="H286" s="43"/>
      <c r="I286" s="43" t="s">
        <v>594</v>
      </c>
      <c r="J286" s="43" t="s">
        <v>1822</v>
      </c>
      <c r="K286" s="43" t="s">
        <v>1823</v>
      </c>
      <c r="L286" s="155" t="s">
        <v>1824</v>
      </c>
      <c r="M286" s="151" t="s">
        <v>1825</v>
      </c>
      <c r="N286" s="144">
        <f>4.04+13.54</f>
        <v>17.579999999999998</v>
      </c>
      <c r="O286" s="43" t="s">
        <v>764</v>
      </c>
      <c r="P286" s="47" t="s">
        <v>19</v>
      </c>
      <c r="Q286" s="144">
        <f>4.04+13.54</f>
        <v>17.579999999999998</v>
      </c>
      <c r="R286" s="43">
        <v>0</v>
      </c>
      <c r="S286" s="16" t="s">
        <v>111</v>
      </c>
      <c r="T286" s="215">
        <v>1</v>
      </c>
      <c r="U286" s="215">
        <v>0</v>
      </c>
      <c r="V286" s="215" t="s">
        <v>1214</v>
      </c>
      <c r="W286" s="485"/>
      <c r="X286" s="215"/>
      <c r="Y286" s="43"/>
      <c r="Z286" s="46"/>
      <c r="AA286" s="43"/>
      <c r="AB286" s="43"/>
      <c r="AC286" s="46">
        <f>2.2+13.54</f>
        <v>15.739999999999998</v>
      </c>
      <c r="AD286" s="17"/>
      <c r="AE286" s="48"/>
      <c r="AF286" s="37" t="s">
        <v>1826</v>
      </c>
      <c r="AG286" s="47"/>
      <c r="AH286" s="49">
        <f>Table2[[#This Row],[Prix de vente ($)]]/Table2[[#This Row],[Superficie totale (ha)]]</f>
        <v>33560.864618885098</v>
      </c>
      <c r="AI286" s="49"/>
      <c r="AJ286" s="80"/>
      <c r="AK286" s="80"/>
      <c r="AL286" s="80"/>
      <c r="AM286" s="80"/>
      <c r="AN286" s="80"/>
      <c r="AO286" s="80"/>
      <c r="AP286" s="80"/>
      <c r="AQ286" s="80"/>
      <c r="AR286" s="80"/>
    </row>
    <row r="287" spans="1:44" ht="30">
      <c r="A287" s="187">
        <v>28331561</v>
      </c>
      <c r="B287" s="43"/>
      <c r="C287" s="148">
        <v>45192</v>
      </c>
      <c r="D287" s="37" t="s">
        <v>1827</v>
      </c>
      <c r="E287" s="37" t="s">
        <v>1828</v>
      </c>
      <c r="F287" s="45">
        <v>6025273</v>
      </c>
      <c r="G287" s="15">
        <v>140000</v>
      </c>
      <c r="H287" s="43"/>
      <c r="I287" s="43" t="s">
        <v>328</v>
      </c>
      <c r="J287" s="43" t="s">
        <v>1829</v>
      </c>
      <c r="K287" s="43" t="s">
        <v>1830</v>
      </c>
      <c r="L287" s="151" t="s">
        <v>1831</v>
      </c>
      <c r="M287" s="155" t="s">
        <v>1832</v>
      </c>
      <c r="N287" s="144">
        <v>24.51</v>
      </c>
      <c r="O287" s="43" t="s">
        <v>25</v>
      </c>
      <c r="P287" s="47" t="s">
        <v>19</v>
      </c>
      <c r="Q287" s="144">
        <v>24.51</v>
      </c>
      <c r="R287" s="43">
        <v>0</v>
      </c>
      <c r="S287" s="16" t="s">
        <v>20</v>
      </c>
      <c r="T287" s="215">
        <v>0.85</v>
      </c>
      <c r="U287" s="215">
        <v>0.15</v>
      </c>
      <c r="V287" s="215"/>
      <c r="W287" s="485"/>
      <c r="X287" s="215"/>
      <c r="Y287" s="43"/>
      <c r="Z287" s="46"/>
      <c r="AA287" s="43"/>
      <c r="AB287" s="43"/>
      <c r="AC287" s="46">
        <v>17.100000000000001</v>
      </c>
      <c r="AD287" s="17"/>
      <c r="AE287" s="48"/>
      <c r="AF287" s="37" t="s">
        <v>126</v>
      </c>
      <c r="AG287" s="47"/>
      <c r="AH287" s="49">
        <f>Table2[[#This Row],[Prix de vente ($)]]/Table2[[#This Row],[Superficie totale (ha)]]</f>
        <v>5711.9543043655649</v>
      </c>
      <c r="AI287" s="49"/>
      <c r="AJ287" s="80"/>
      <c r="AK287" s="80"/>
      <c r="AL287" s="80"/>
      <c r="AM287" s="80"/>
      <c r="AN287" s="80"/>
      <c r="AO287" s="80"/>
      <c r="AP287" s="80"/>
      <c r="AQ287" s="80"/>
      <c r="AR287" s="80"/>
    </row>
    <row r="288" spans="1:44" ht="45">
      <c r="A288" s="187">
        <v>28370382</v>
      </c>
      <c r="B288" s="43"/>
      <c r="C288" s="148">
        <v>45194</v>
      </c>
      <c r="D288" s="37" t="s">
        <v>1833</v>
      </c>
      <c r="E288" s="37" t="s">
        <v>1834</v>
      </c>
      <c r="F288" s="45">
        <v>5892682</v>
      </c>
      <c r="G288" s="15">
        <v>91500</v>
      </c>
      <c r="H288" s="43"/>
      <c r="I288" s="43" t="s">
        <v>408</v>
      </c>
      <c r="J288" s="43" t="s">
        <v>409</v>
      </c>
      <c r="K288" s="43" t="s">
        <v>1835</v>
      </c>
      <c r="L288" s="151" t="s">
        <v>1836</v>
      </c>
      <c r="M288" s="155" t="s">
        <v>1837</v>
      </c>
      <c r="N288" s="144">
        <v>10.8</v>
      </c>
      <c r="O288" s="43" t="s">
        <v>18</v>
      </c>
      <c r="P288" s="47" t="s">
        <v>35</v>
      </c>
      <c r="Q288" s="144">
        <v>10.8</v>
      </c>
      <c r="R288" s="43">
        <v>0</v>
      </c>
      <c r="S288" s="16" t="s">
        <v>20</v>
      </c>
      <c r="T288" s="215">
        <v>0.75</v>
      </c>
      <c r="U288" s="215">
        <v>0.25</v>
      </c>
      <c r="V288" s="215"/>
      <c r="W288" s="485"/>
      <c r="X288" s="215"/>
      <c r="Y288" s="43"/>
      <c r="Z288" s="46"/>
      <c r="AA288" s="43"/>
      <c r="AB288" s="43"/>
      <c r="AC288" s="46">
        <v>0.3</v>
      </c>
      <c r="AD288" s="17"/>
      <c r="AE288" s="48"/>
      <c r="AF288" s="37" t="s">
        <v>816</v>
      </c>
      <c r="AG288" s="47"/>
      <c r="AH288" s="49">
        <f>Table2[[#This Row],[Prix de vente ($)]]/Table2[[#This Row],[Superficie totale (ha)]]</f>
        <v>8472.2222222222208</v>
      </c>
      <c r="AI288" s="49"/>
      <c r="AJ288" s="80"/>
      <c r="AK288" s="80"/>
      <c r="AL288" s="80"/>
      <c r="AM288" s="80"/>
      <c r="AN288" s="80"/>
      <c r="AO288" s="80"/>
      <c r="AP288" s="80"/>
      <c r="AQ288" s="80"/>
      <c r="AR288" s="80"/>
    </row>
    <row r="289" spans="1:44">
      <c r="A289" s="196">
        <v>28293093</v>
      </c>
      <c r="C289" s="318">
        <v>45194</v>
      </c>
      <c r="D289" t="s">
        <v>1838</v>
      </c>
      <c r="E289" t="s">
        <v>1839</v>
      </c>
      <c r="F289" s="269">
        <v>4855924</v>
      </c>
      <c r="G289" s="134">
        <v>28743.75</v>
      </c>
      <c r="I289" t="s">
        <v>53</v>
      </c>
      <c r="J289" t="s">
        <v>1615</v>
      </c>
      <c r="K289" t="s">
        <v>1840</v>
      </c>
      <c r="L289" s="205" t="s">
        <v>1841</v>
      </c>
      <c r="M289" s="270" t="s">
        <v>1842</v>
      </c>
      <c r="N289" s="211">
        <v>15.29</v>
      </c>
      <c r="O289" t="s">
        <v>25</v>
      </c>
      <c r="P289" t="s">
        <v>63</v>
      </c>
      <c r="Q289" s="199">
        <v>12.7</v>
      </c>
      <c r="S289" s="94" t="s">
        <v>175</v>
      </c>
      <c r="T289" s="222">
        <v>0.5</v>
      </c>
      <c r="U289" s="222">
        <v>0.5</v>
      </c>
      <c r="V289" s="222" t="s">
        <v>243</v>
      </c>
      <c r="AC289" s="63">
        <v>6</v>
      </c>
      <c r="AF289" t="s">
        <v>1843</v>
      </c>
      <c r="AH289" s="49">
        <f>Table2[[#This Row],[Prix de vente ($)]]/Table2[[#This Row],[Superficie totale (ha)]]</f>
        <v>1879.9051667756705</v>
      </c>
      <c r="AJ289" s="80"/>
      <c r="AK289" s="80"/>
      <c r="AL289" s="80"/>
      <c r="AM289" s="80"/>
      <c r="AN289" s="80"/>
      <c r="AO289" s="80"/>
      <c r="AP289" s="80"/>
      <c r="AQ289" s="80"/>
      <c r="AR289" s="80"/>
    </row>
    <row r="290" spans="1:44" ht="41.25" customHeight="1">
      <c r="A290" s="196">
        <v>28297520</v>
      </c>
      <c r="C290" s="318">
        <v>45195</v>
      </c>
      <c r="D290" s="249" t="s">
        <v>1844</v>
      </c>
      <c r="E290" s="249" t="s">
        <v>1845</v>
      </c>
      <c r="F290" s="249" t="s">
        <v>1846</v>
      </c>
      <c r="G290" s="93">
        <v>36792</v>
      </c>
      <c r="I290" t="s">
        <v>29</v>
      </c>
      <c r="J290" t="s">
        <v>1847</v>
      </c>
      <c r="L290">
        <v>46.864950999999998</v>
      </c>
      <c r="M290" s="270" t="s">
        <v>1848</v>
      </c>
      <c r="N290" s="211">
        <v>5.13</v>
      </c>
      <c r="O290" t="s">
        <v>25</v>
      </c>
      <c r="P290" t="s">
        <v>1179</v>
      </c>
      <c r="Q290" s="211">
        <v>5.13</v>
      </c>
      <c r="S290" s="94" t="s">
        <v>33</v>
      </c>
      <c r="T290" s="222">
        <v>0</v>
      </c>
      <c r="U290" s="222">
        <v>1</v>
      </c>
      <c r="V290" s="222">
        <v>0.75</v>
      </c>
      <c r="AC290" s="63">
        <v>0</v>
      </c>
      <c r="AF290" t="s">
        <v>1849</v>
      </c>
      <c r="AH290" s="49">
        <f>Table2[[#This Row],[Prix de vente ($)]]/Table2[[#This Row],[Superficie totale (ha)]]</f>
        <v>7171.9298245614036</v>
      </c>
      <c r="AJ290" s="80"/>
      <c r="AK290" s="80"/>
      <c r="AL290" s="80"/>
      <c r="AM290" s="80"/>
      <c r="AN290" s="80"/>
      <c r="AO290" s="80"/>
      <c r="AP290" s="80"/>
      <c r="AQ290" s="80"/>
      <c r="AR290" s="80"/>
    </row>
    <row r="291" spans="1:44" ht="30">
      <c r="A291" s="189">
        <v>28300187</v>
      </c>
      <c r="B291" s="80"/>
      <c r="C291" s="318">
        <v>45196</v>
      </c>
      <c r="D291" s="80" t="s">
        <v>1850</v>
      </c>
      <c r="E291" s="80" t="s">
        <v>1851</v>
      </c>
      <c r="F291" s="80" t="s">
        <v>1852</v>
      </c>
      <c r="G291" s="134">
        <v>63000</v>
      </c>
      <c r="H291" s="80"/>
      <c r="I291" s="80" t="s">
        <v>29</v>
      </c>
      <c r="J291" s="20" t="s">
        <v>1490</v>
      </c>
      <c r="K291" s="80" t="s">
        <v>1853</v>
      </c>
      <c r="L291" s="199">
        <v>46.847929999999998</v>
      </c>
      <c r="M291" s="199">
        <v>70.744034999999997</v>
      </c>
      <c r="N291" s="199">
        <v>10.02</v>
      </c>
      <c r="O291" s="80" t="s">
        <v>18</v>
      </c>
      <c r="P291" s="80" t="s">
        <v>1179</v>
      </c>
      <c r="Q291" s="199">
        <v>10.02</v>
      </c>
      <c r="R291" s="80"/>
      <c r="S291" s="80" t="s">
        <v>62</v>
      </c>
      <c r="T291" s="216">
        <v>0.75</v>
      </c>
      <c r="U291" s="216">
        <v>0.25</v>
      </c>
      <c r="V291" s="216">
        <v>0.7</v>
      </c>
      <c r="W291" s="199"/>
      <c r="X291" s="216"/>
      <c r="Y291" s="80"/>
      <c r="Z291" s="80"/>
      <c r="AA291" s="80"/>
      <c r="AB291" s="80"/>
      <c r="AC291" s="80"/>
      <c r="AD291" s="80"/>
      <c r="AE291" s="80"/>
      <c r="AF291" s="80"/>
      <c r="AG291" s="80"/>
      <c r="AH291" s="49">
        <f>Table2[[#This Row],[Prix de vente ($)]]/Table2[[#This Row],[Superficie totale (ha)]]</f>
        <v>6287.4251497005989</v>
      </c>
      <c r="AI291" s="80"/>
      <c r="AJ291" s="80"/>
      <c r="AK291" s="80"/>
      <c r="AL291" s="80"/>
      <c r="AM291" s="80"/>
      <c r="AN291" s="80"/>
      <c r="AO291" s="80"/>
      <c r="AP291" s="80"/>
      <c r="AQ291" s="80"/>
      <c r="AR291" s="80"/>
    </row>
    <row r="292" spans="1:44" ht="60">
      <c r="A292" s="187">
        <v>28302501</v>
      </c>
      <c r="B292" s="43"/>
      <c r="C292" s="148">
        <v>45197</v>
      </c>
      <c r="D292" s="37" t="s">
        <v>1854</v>
      </c>
      <c r="E292" s="37" t="s">
        <v>1855</v>
      </c>
      <c r="F292" s="43">
        <v>3388161</v>
      </c>
      <c r="G292" s="15">
        <v>225000</v>
      </c>
      <c r="H292" s="43"/>
      <c r="I292" s="43" t="s">
        <v>522</v>
      </c>
      <c r="J292" s="43" t="s">
        <v>544</v>
      </c>
      <c r="K292" s="16" t="s">
        <v>1856</v>
      </c>
      <c r="L292" s="151" t="s">
        <v>1857</v>
      </c>
      <c r="M292" s="155" t="s">
        <v>1858</v>
      </c>
      <c r="N292" s="144">
        <v>9.5500000000000007</v>
      </c>
      <c r="O292" s="43" t="s">
        <v>18</v>
      </c>
      <c r="P292" s="47" t="s">
        <v>35</v>
      </c>
      <c r="Q292" s="144">
        <f>N292</f>
        <v>9.5500000000000007</v>
      </c>
      <c r="R292" s="43"/>
      <c r="S292" s="16" t="s">
        <v>590</v>
      </c>
      <c r="T292" s="215">
        <v>0.35</v>
      </c>
      <c r="U292" s="215">
        <v>0.65</v>
      </c>
      <c r="V292" s="215"/>
      <c r="W292" s="485"/>
      <c r="X292" s="215"/>
      <c r="Y292" s="43"/>
      <c r="Z292" s="46"/>
      <c r="AA292" s="43"/>
      <c r="AB292" s="43"/>
      <c r="AC292" s="46">
        <v>2.5</v>
      </c>
      <c r="AD292" s="17"/>
      <c r="AE292" s="48"/>
      <c r="AF292" s="37"/>
      <c r="AG292" s="47"/>
      <c r="AH292" s="49">
        <f>Table2[[#This Row],[Prix de vente ($)]]/Table2[[#This Row],[Superficie totale (ha)]]</f>
        <v>23560.209424083769</v>
      </c>
      <c r="AI292" s="43" t="e">
        <f>G292/AD292</f>
        <v>#DIV/0!</v>
      </c>
      <c r="AJ292" s="80"/>
      <c r="AK292" s="80"/>
      <c r="AL292" s="80"/>
      <c r="AM292" s="80"/>
      <c r="AN292" s="80"/>
      <c r="AO292" s="80"/>
      <c r="AP292" s="80"/>
      <c r="AQ292" s="80"/>
      <c r="AR292" s="80"/>
    </row>
    <row r="293" spans="1:44" ht="60">
      <c r="A293" s="187">
        <v>28314862</v>
      </c>
      <c r="B293" s="43"/>
      <c r="C293" s="148">
        <v>45203</v>
      </c>
      <c r="D293" s="37" t="s">
        <v>1859</v>
      </c>
      <c r="E293" s="37" t="s">
        <v>1860</v>
      </c>
      <c r="F293" s="43">
        <v>6045977</v>
      </c>
      <c r="G293" s="15">
        <v>650000</v>
      </c>
      <c r="H293" s="43"/>
      <c r="I293" s="43" t="s">
        <v>29</v>
      </c>
      <c r="J293" s="43" t="s">
        <v>846</v>
      </c>
      <c r="K293" s="43" t="s">
        <v>1861</v>
      </c>
      <c r="L293" s="151" t="s">
        <v>1862</v>
      </c>
      <c r="M293" s="151" t="s">
        <v>1863</v>
      </c>
      <c r="N293" s="144">
        <v>127.12</v>
      </c>
      <c r="O293" s="43" t="s">
        <v>18</v>
      </c>
      <c r="P293" s="47" t="s">
        <v>317</v>
      </c>
      <c r="Q293" s="144">
        <v>127.12</v>
      </c>
      <c r="R293" s="43"/>
      <c r="S293" s="16" t="s">
        <v>20</v>
      </c>
      <c r="T293" s="215">
        <v>0.8</v>
      </c>
      <c r="U293" s="215">
        <v>0.2</v>
      </c>
      <c r="V293" s="215">
        <v>0.75</v>
      </c>
      <c r="W293" s="485"/>
      <c r="X293" s="215"/>
      <c r="Y293" s="43"/>
      <c r="Z293" s="46"/>
      <c r="AA293" s="43"/>
      <c r="AB293" s="43"/>
      <c r="AC293" s="46">
        <v>68</v>
      </c>
      <c r="AD293" s="17"/>
      <c r="AE293" s="48"/>
      <c r="AF293" s="37"/>
      <c r="AG293" s="47"/>
      <c r="AH293" s="49">
        <f>Table2[[#This Row],[Prix de vente ($)]]/Table2[[#This Row],[Superficie totale (ha)]]</f>
        <v>5113.2787916928883</v>
      </c>
      <c r="AI293" s="49" t="e">
        <f>Bois!$G61/Bois!$AD61</f>
        <v>#DIV/0!</v>
      </c>
      <c r="AJ293" s="80"/>
      <c r="AK293" s="80"/>
      <c r="AL293" s="80"/>
      <c r="AM293" s="80"/>
      <c r="AN293" s="80"/>
      <c r="AO293" s="80"/>
      <c r="AP293" s="80"/>
      <c r="AQ293" s="80"/>
      <c r="AR293" s="80"/>
    </row>
    <row r="294" spans="1:44">
      <c r="A294" s="196">
        <v>28315162</v>
      </c>
      <c r="C294" s="318">
        <v>45204</v>
      </c>
      <c r="D294" t="s">
        <v>1864</v>
      </c>
      <c r="E294" t="s">
        <v>1865</v>
      </c>
      <c r="F294" s="269">
        <v>3698923</v>
      </c>
      <c r="G294" s="93">
        <v>110000</v>
      </c>
      <c r="I294" t="s">
        <v>37</v>
      </c>
      <c r="J294" t="s">
        <v>1866</v>
      </c>
      <c r="L294" s="205" t="s">
        <v>1867</v>
      </c>
      <c r="M294" s="270" t="s">
        <v>1868</v>
      </c>
      <c r="N294" s="211">
        <v>3.45</v>
      </c>
      <c r="O294" t="s">
        <v>18</v>
      </c>
      <c r="P294" t="s">
        <v>206</v>
      </c>
      <c r="S294" s="94" t="s">
        <v>20</v>
      </c>
      <c r="T294" s="222">
        <v>0.8</v>
      </c>
      <c r="U294" s="222">
        <v>0.2</v>
      </c>
      <c r="V294" s="222" t="s">
        <v>1869</v>
      </c>
      <c r="AC294" s="63">
        <v>0.9</v>
      </c>
      <c r="AF294" t="s">
        <v>1870</v>
      </c>
      <c r="AH294" s="49">
        <f>Table2[[#This Row],[Prix de vente ($)]]/Table2[[#This Row],[Superficie totale (ha)]]</f>
        <v>31884.057971014492</v>
      </c>
      <c r="AJ294" s="80"/>
      <c r="AK294" s="80"/>
      <c r="AL294" s="80"/>
      <c r="AM294" s="80"/>
      <c r="AN294" s="80"/>
      <c r="AO294" s="80"/>
      <c r="AP294" s="80"/>
      <c r="AQ294" s="80"/>
      <c r="AR294" s="80"/>
    </row>
    <row r="295" spans="1:44" ht="45">
      <c r="A295" s="187">
        <v>28505867</v>
      </c>
      <c r="B295" s="43"/>
      <c r="C295" s="148">
        <v>45206</v>
      </c>
      <c r="D295" s="37" t="s">
        <v>1871</v>
      </c>
      <c r="E295" s="37" t="s">
        <v>1872</v>
      </c>
      <c r="F295" s="45">
        <v>3929145</v>
      </c>
      <c r="G295" s="15">
        <v>20000</v>
      </c>
      <c r="H295" s="43"/>
      <c r="I295" s="43" t="s">
        <v>16</v>
      </c>
      <c r="J295" s="43" t="s">
        <v>1873</v>
      </c>
      <c r="K295" s="43" t="s">
        <v>1874</v>
      </c>
      <c r="L295" s="151" t="s">
        <v>1875</v>
      </c>
      <c r="M295" s="155" t="s">
        <v>1876</v>
      </c>
      <c r="N295" s="144">
        <v>4.66</v>
      </c>
      <c r="O295" s="43" t="s">
        <v>18</v>
      </c>
      <c r="P295" s="47" t="s">
        <v>35</v>
      </c>
      <c r="Q295" s="144">
        <v>4.66</v>
      </c>
      <c r="R295" s="43">
        <v>0</v>
      </c>
      <c r="S295" s="16" t="s">
        <v>20</v>
      </c>
      <c r="T295" s="215">
        <v>0.9</v>
      </c>
      <c r="U295" s="215">
        <v>0.1</v>
      </c>
      <c r="V295" s="215"/>
      <c r="W295" s="485"/>
      <c r="X295" s="215"/>
      <c r="Y295" s="43"/>
      <c r="Z295" s="46"/>
      <c r="AA295" s="43"/>
      <c r="AB295" s="43"/>
      <c r="AC295" s="46">
        <v>4.46</v>
      </c>
      <c r="AD295" s="17"/>
      <c r="AE295" s="48"/>
      <c r="AF295" s="37" t="s">
        <v>1877</v>
      </c>
      <c r="AG295" s="47"/>
      <c r="AH295" s="49">
        <f>Table2[[#This Row],[Prix de vente ($)]]/Table2[[#This Row],[Superficie totale (ha)]]</f>
        <v>4291.8454935622312</v>
      </c>
      <c r="AI295" s="49"/>
      <c r="AJ295" s="80"/>
      <c r="AK295" s="80"/>
      <c r="AL295" s="80"/>
      <c r="AM295" s="80"/>
      <c r="AN295" s="80"/>
      <c r="AO295" s="80"/>
      <c r="AP295" s="80"/>
      <c r="AQ295" s="80"/>
      <c r="AR295" s="80"/>
    </row>
    <row r="296" spans="1:44">
      <c r="A296" s="196">
        <v>28326128</v>
      </c>
      <c r="C296" s="318">
        <v>45211</v>
      </c>
      <c r="D296" t="s">
        <v>1878</v>
      </c>
      <c r="E296" t="s">
        <v>1879</v>
      </c>
      <c r="F296" t="s">
        <v>1880</v>
      </c>
      <c r="G296" s="93">
        <v>140000</v>
      </c>
      <c r="I296" t="s">
        <v>53</v>
      </c>
      <c r="J296" t="s">
        <v>577</v>
      </c>
      <c r="K296" t="s">
        <v>1881</v>
      </c>
      <c r="L296" s="205" t="s">
        <v>1882</v>
      </c>
      <c r="M296" s="270" t="s">
        <v>1883</v>
      </c>
      <c r="N296" s="211">
        <f>15.66+14.06</f>
        <v>29.72</v>
      </c>
      <c r="O296" t="s">
        <v>25</v>
      </c>
      <c r="P296" t="s">
        <v>317</v>
      </c>
      <c r="S296" s="94" t="s">
        <v>33</v>
      </c>
      <c r="T296" s="222">
        <v>0.4</v>
      </c>
      <c r="U296" s="222">
        <v>0.6</v>
      </c>
      <c r="V296" s="222">
        <v>0.85</v>
      </c>
      <c r="AC296" s="63">
        <v>5.0999999999999996</v>
      </c>
      <c r="AF296" t="s">
        <v>1884</v>
      </c>
      <c r="AH296" s="49">
        <f>Table2[[#This Row],[Prix de vente ($)]]/Table2[[#This Row],[Superficie totale (ha)]]</f>
        <v>4710.6325706594889</v>
      </c>
      <c r="AJ296" s="80"/>
      <c r="AK296" s="80"/>
      <c r="AL296" s="80"/>
      <c r="AM296" s="80"/>
      <c r="AN296" s="80"/>
      <c r="AO296" s="80"/>
      <c r="AP296" s="80"/>
      <c r="AQ296" s="80"/>
      <c r="AR296" s="80"/>
    </row>
    <row r="297" spans="1:44">
      <c r="A297" s="189">
        <v>28332388</v>
      </c>
      <c r="B297" s="80"/>
      <c r="C297" s="318">
        <v>45215</v>
      </c>
      <c r="D297" s="80" t="s">
        <v>1885</v>
      </c>
      <c r="E297" s="80" t="s">
        <v>1886</v>
      </c>
      <c r="F297" s="80" t="s">
        <v>1887</v>
      </c>
      <c r="G297" s="134">
        <v>1200000</v>
      </c>
      <c r="H297" s="80"/>
      <c r="I297" s="80" t="s">
        <v>722</v>
      </c>
      <c r="J297" s="80" t="s">
        <v>1888</v>
      </c>
      <c r="K297" s="80"/>
      <c r="L297" s="199">
        <v>46.458410000000001</v>
      </c>
      <c r="M297" s="199">
        <v>-71.171892999999997</v>
      </c>
      <c r="N297" s="199">
        <v>17.21</v>
      </c>
      <c r="O297" s="80" t="s">
        <v>18</v>
      </c>
      <c r="P297" s="80" t="s">
        <v>173</v>
      </c>
      <c r="Q297" s="199">
        <v>17.21</v>
      </c>
      <c r="R297" s="80"/>
      <c r="S297" s="80" t="s">
        <v>62</v>
      </c>
      <c r="T297" s="216">
        <v>1</v>
      </c>
      <c r="U297" s="216">
        <v>0</v>
      </c>
      <c r="V297" s="216">
        <v>0.75</v>
      </c>
      <c r="W297" s="199"/>
      <c r="X297" s="216"/>
      <c r="Y297" s="80"/>
      <c r="Z297" s="80"/>
      <c r="AA297" s="80"/>
      <c r="AB297" s="80"/>
      <c r="AC297" s="80">
        <v>16.71</v>
      </c>
      <c r="AD297" s="80"/>
      <c r="AE297" s="80"/>
      <c r="AF297" s="43" t="s">
        <v>1889</v>
      </c>
      <c r="AG297" s="80"/>
      <c r="AH297" s="49">
        <f>Table2[[#This Row],[Prix de vente ($)]]/Table2[[#This Row],[Superficie totale (ha)]]</f>
        <v>69726.902963393368</v>
      </c>
      <c r="AI297" s="80"/>
      <c r="AJ297" s="80"/>
      <c r="AK297" s="80"/>
      <c r="AL297" s="80"/>
      <c r="AM297" s="80"/>
      <c r="AN297" s="80"/>
      <c r="AO297" s="80"/>
      <c r="AP297" s="80"/>
      <c r="AQ297" s="80"/>
      <c r="AR297" s="80"/>
    </row>
    <row r="298" spans="1:44" ht="30">
      <c r="A298" s="196">
        <v>28332206</v>
      </c>
      <c r="C298" s="318">
        <v>45215</v>
      </c>
      <c r="D298" t="s">
        <v>1890</v>
      </c>
      <c r="E298" t="s">
        <v>1891</v>
      </c>
      <c r="F298" t="s">
        <v>1892</v>
      </c>
      <c r="G298" s="134">
        <v>140000</v>
      </c>
      <c r="I298" t="s">
        <v>1516</v>
      </c>
      <c r="J298" t="s">
        <v>1517</v>
      </c>
      <c r="K298" s="20" t="s">
        <v>1893</v>
      </c>
      <c r="L298" s="205">
        <v>45.77854</v>
      </c>
      <c r="M298" s="205">
        <v>-74.204348999999993</v>
      </c>
      <c r="N298" s="211">
        <f>28.63+0.21</f>
        <v>28.84</v>
      </c>
      <c r="O298" t="s">
        <v>25</v>
      </c>
      <c r="P298" t="s">
        <v>154</v>
      </c>
      <c r="Q298" s="199">
        <v>28.84</v>
      </c>
      <c r="S298" s="94" t="s">
        <v>20</v>
      </c>
      <c r="T298" s="222">
        <v>0.7</v>
      </c>
      <c r="U298" s="222">
        <v>0.3</v>
      </c>
      <c r="V298" s="222">
        <v>0.75</v>
      </c>
      <c r="AF298" t="s">
        <v>1894</v>
      </c>
      <c r="AH298" s="49">
        <f>Table2[[#This Row],[Prix de vente ($)]]/Table2[[#This Row],[Superficie totale (ha)]]</f>
        <v>4854.3689320388348</v>
      </c>
      <c r="AJ298" s="80"/>
      <c r="AK298" s="80"/>
      <c r="AL298" s="80"/>
      <c r="AM298" s="80"/>
      <c r="AN298" s="80"/>
      <c r="AO298" s="80"/>
      <c r="AP298" s="80"/>
      <c r="AQ298" s="80"/>
      <c r="AR298" s="80"/>
    </row>
    <row r="299" spans="1:44">
      <c r="A299" s="187">
        <v>28337134</v>
      </c>
      <c r="B299" s="43"/>
      <c r="C299" s="148">
        <v>45216</v>
      </c>
      <c r="D299" s="37" t="s">
        <v>1895</v>
      </c>
      <c r="E299" s="37" t="s">
        <v>1896</v>
      </c>
      <c r="F299" s="43">
        <v>6186766</v>
      </c>
      <c r="G299" s="15">
        <v>20000</v>
      </c>
      <c r="H299" s="43"/>
      <c r="I299" s="43" t="s">
        <v>149</v>
      </c>
      <c r="J299" s="43" t="s">
        <v>1897</v>
      </c>
      <c r="K299" s="43" t="s">
        <v>1897</v>
      </c>
      <c r="L299" s="151" t="s">
        <v>1898</v>
      </c>
      <c r="M299" s="155" t="s">
        <v>1899</v>
      </c>
      <c r="N299" s="144">
        <v>4.7699999999999996</v>
      </c>
      <c r="O299" s="43" t="s">
        <v>18</v>
      </c>
      <c r="P299" s="47" t="s">
        <v>35</v>
      </c>
      <c r="Q299" s="144">
        <f>N299</f>
        <v>4.7699999999999996</v>
      </c>
      <c r="R299" s="43"/>
      <c r="S299" s="16" t="s">
        <v>568</v>
      </c>
      <c r="T299" s="215">
        <v>0.6</v>
      </c>
      <c r="U299" s="215">
        <v>0.4</v>
      </c>
      <c r="V299" s="215"/>
      <c r="W299" s="485"/>
      <c r="X299" s="215"/>
      <c r="Y299" s="43"/>
      <c r="Z299" s="46"/>
      <c r="AA299" s="43"/>
      <c r="AB299" s="43"/>
      <c r="AC299" s="46">
        <v>1.8</v>
      </c>
      <c r="AD299" s="17"/>
      <c r="AE299" s="48"/>
      <c r="AF299" s="37"/>
      <c r="AG299" s="47"/>
      <c r="AH299" s="49">
        <f>Table2[[#This Row],[Prix de vente ($)]]/Table2[[#This Row],[Superficie totale (ha)]]</f>
        <v>4192.8721174004195</v>
      </c>
      <c r="AI299" s="43" t="e">
        <f>G299/AD299</f>
        <v>#DIV/0!</v>
      </c>
      <c r="AJ299" s="80"/>
      <c r="AK299" s="80"/>
      <c r="AL299" s="80"/>
      <c r="AM299" s="80"/>
      <c r="AN299" s="80"/>
      <c r="AO299" s="80"/>
      <c r="AP299" s="80"/>
      <c r="AQ299" s="80"/>
      <c r="AR299" s="80"/>
    </row>
    <row r="300" spans="1:44" ht="30">
      <c r="A300" s="187">
        <v>28598751</v>
      </c>
      <c r="B300" s="43"/>
      <c r="C300" s="148">
        <v>45219</v>
      </c>
      <c r="D300" s="37" t="s">
        <v>1900</v>
      </c>
      <c r="E300" s="37" t="s">
        <v>1901</v>
      </c>
      <c r="F300" s="45">
        <v>4018612</v>
      </c>
      <c r="G300" s="15">
        <v>28000</v>
      </c>
      <c r="H300" s="43"/>
      <c r="I300" s="43" t="s">
        <v>160</v>
      </c>
      <c r="J300" s="43" t="s">
        <v>1902</v>
      </c>
      <c r="K300" s="43" t="s">
        <v>1903</v>
      </c>
      <c r="L300" s="151" t="s">
        <v>1904</v>
      </c>
      <c r="M300" s="155" t="s">
        <v>1905</v>
      </c>
      <c r="N300" s="144">
        <v>5.14</v>
      </c>
      <c r="O300" s="43" t="s">
        <v>18</v>
      </c>
      <c r="P300" s="47" t="s">
        <v>35</v>
      </c>
      <c r="Q300" s="144">
        <v>4.5</v>
      </c>
      <c r="R300" s="43">
        <v>0</v>
      </c>
      <c r="S300" s="16" t="s">
        <v>20</v>
      </c>
      <c r="T300" s="215">
        <v>0.85</v>
      </c>
      <c r="U300" s="215">
        <v>0.15</v>
      </c>
      <c r="V300" s="215"/>
      <c r="W300" s="485"/>
      <c r="X300" s="215"/>
      <c r="Y300" s="43"/>
      <c r="Z300" s="46"/>
      <c r="AA300" s="43"/>
      <c r="AB300" s="43"/>
      <c r="AC300" s="46">
        <v>0.8</v>
      </c>
      <c r="AD300" s="17"/>
      <c r="AE300" s="48"/>
      <c r="AF300" s="37" t="s">
        <v>1906</v>
      </c>
      <c r="AG300" s="47"/>
      <c r="AH300" s="49">
        <f>Table2[[#This Row],[Prix de vente ($)]]/Table2[[#This Row],[Superficie totale (ha)]]</f>
        <v>5447.470817120623</v>
      </c>
      <c r="AI300" s="49"/>
      <c r="AJ300" s="80"/>
      <c r="AK300" s="80"/>
      <c r="AL300" s="80"/>
      <c r="AM300" s="80"/>
      <c r="AN300" s="80"/>
      <c r="AO300" s="80"/>
      <c r="AP300" s="80"/>
      <c r="AQ300" s="80"/>
      <c r="AR300" s="80"/>
    </row>
    <row r="301" spans="1:44" ht="45">
      <c r="A301" s="187">
        <v>28346500</v>
      </c>
      <c r="B301" s="45">
        <v>28346500</v>
      </c>
      <c r="C301" s="148">
        <v>45222</v>
      </c>
      <c r="D301" s="37" t="s">
        <v>1907</v>
      </c>
      <c r="E301" s="37" t="s">
        <v>1908</v>
      </c>
      <c r="F301" s="45">
        <v>3259860</v>
      </c>
      <c r="G301" s="15">
        <v>50000</v>
      </c>
      <c r="H301" s="43"/>
      <c r="I301" s="43" t="s">
        <v>16</v>
      </c>
      <c r="J301" s="43" t="s">
        <v>1279</v>
      </c>
      <c r="K301" s="43" t="s">
        <v>1280</v>
      </c>
      <c r="L301" s="151" t="s">
        <v>1909</v>
      </c>
      <c r="M301" s="155" t="s">
        <v>1910</v>
      </c>
      <c r="N301" s="144">
        <v>4.16</v>
      </c>
      <c r="O301" s="43" t="s">
        <v>18</v>
      </c>
      <c r="P301" s="47" t="s">
        <v>35</v>
      </c>
      <c r="Q301" s="139">
        <v>4.16</v>
      </c>
      <c r="R301" s="43"/>
      <c r="S301" s="16" t="s">
        <v>22</v>
      </c>
      <c r="T301" s="215">
        <v>0.5</v>
      </c>
      <c r="U301" s="215">
        <v>0.5</v>
      </c>
      <c r="V301" s="215"/>
      <c r="W301" s="485"/>
      <c r="X301" s="215"/>
      <c r="Y301" s="43"/>
      <c r="Z301" s="46"/>
      <c r="AA301" s="43"/>
      <c r="AB301" s="43"/>
      <c r="AC301" s="46">
        <v>0</v>
      </c>
      <c r="AD301" s="17"/>
      <c r="AE301" s="48"/>
      <c r="AF301" s="37"/>
      <c r="AG301" s="47"/>
      <c r="AH301" s="49">
        <f>Table2[[#This Row],[Prix de vente ($)]]/Table2[[#This Row],[Superficie totale (ha)]]</f>
        <v>12019.23076923077</v>
      </c>
      <c r="AI301" s="49" t="e">
        <v>#DIV/0!</v>
      </c>
      <c r="AJ301" s="80"/>
      <c r="AK301" s="80"/>
      <c r="AL301" s="80"/>
      <c r="AM301" s="80"/>
      <c r="AN301" s="80"/>
      <c r="AO301" s="80"/>
      <c r="AP301" s="80"/>
      <c r="AQ301" s="80"/>
      <c r="AR301" s="80"/>
    </row>
    <row r="302" spans="1:44" ht="45">
      <c r="A302" s="187">
        <v>28346375</v>
      </c>
      <c r="B302" s="43"/>
      <c r="C302" s="148">
        <v>45222</v>
      </c>
      <c r="D302" s="37" t="s">
        <v>1911</v>
      </c>
      <c r="E302" s="37" t="s">
        <v>1912</v>
      </c>
      <c r="F302" s="43" t="s">
        <v>1913</v>
      </c>
      <c r="G302" s="15">
        <v>80000</v>
      </c>
      <c r="H302" s="43"/>
      <c r="I302" s="43" t="s">
        <v>230</v>
      </c>
      <c r="J302" s="43" t="s">
        <v>346</v>
      </c>
      <c r="K302" s="43" t="s">
        <v>1914</v>
      </c>
      <c r="L302" s="151" t="s">
        <v>1915</v>
      </c>
      <c r="M302" s="155" t="s">
        <v>1916</v>
      </c>
      <c r="N302" s="144">
        <v>27.96</v>
      </c>
      <c r="O302" s="43" t="s">
        <v>25</v>
      </c>
      <c r="P302" s="47" t="s">
        <v>19</v>
      </c>
      <c r="Q302" s="144">
        <v>27.96</v>
      </c>
      <c r="R302" s="43">
        <v>0</v>
      </c>
      <c r="S302" s="16" t="s">
        <v>20</v>
      </c>
      <c r="T302" s="215">
        <v>0.6</v>
      </c>
      <c r="U302" s="215">
        <v>0.4</v>
      </c>
      <c r="V302" s="215"/>
      <c r="W302" s="485"/>
      <c r="X302" s="215"/>
      <c r="Y302" s="43"/>
      <c r="Z302" s="46"/>
      <c r="AA302" s="43"/>
      <c r="AB302" s="43"/>
      <c r="AC302" s="46">
        <v>12.9</v>
      </c>
      <c r="AD302" s="17"/>
      <c r="AE302" s="48"/>
      <c r="AF302" s="37" t="s">
        <v>1917</v>
      </c>
      <c r="AG302" s="47"/>
      <c r="AH302" s="49">
        <f>Table2[[#This Row],[Prix de vente ($)]]/Table2[[#This Row],[Superficie totale (ha)]]</f>
        <v>2861.2303290414879</v>
      </c>
      <c r="AI302" s="43"/>
      <c r="AJ302" s="80"/>
      <c r="AK302" s="80"/>
      <c r="AL302" s="80"/>
      <c r="AM302" s="80"/>
      <c r="AN302" s="80"/>
      <c r="AO302" s="80"/>
      <c r="AP302" s="80"/>
      <c r="AQ302" s="80"/>
      <c r="AR302" s="80"/>
    </row>
    <row r="303" spans="1:44" ht="30">
      <c r="A303" s="187">
        <v>28460535</v>
      </c>
      <c r="B303" s="43">
        <v>20962129</v>
      </c>
      <c r="C303" s="148">
        <v>45222</v>
      </c>
      <c r="D303" s="37" t="s">
        <v>1918</v>
      </c>
      <c r="E303" s="37" t="s">
        <v>1919</v>
      </c>
      <c r="F303" s="43" t="s">
        <v>1920</v>
      </c>
      <c r="G303" s="15">
        <v>200000</v>
      </c>
      <c r="H303" s="43"/>
      <c r="I303" s="43" t="s">
        <v>321</v>
      </c>
      <c r="J303" s="43" t="s">
        <v>322</v>
      </c>
      <c r="K303" s="43" t="s">
        <v>1044</v>
      </c>
      <c r="L303" s="151" t="s">
        <v>1921</v>
      </c>
      <c r="M303" s="155" t="s">
        <v>1922</v>
      </c>
      <c r="N303" s="144">
        <f>413942/10000</f>
        <v>41.394199999999998</v>
      </c>
      <c r="O303" s="43" t="s">
        <v>18</v>
      </c>
      <c r="P303" s="47" t="s">
        <v>35</v>
      </c>
      <c r="Q303" s="144">
        <f>N303</f>
        <v>41.394199999999998</v>
      </c>
      <c r="R303" s="43"/>
      <c r="S303" s="16" t="s">
        <v>22</v>
      </c>
      <c r="T303" s="215">
        <v>0.5</v>
      </c>
      <c r="U303" s="215">
        <v>0.5</v>
      </c>
      <c r="V303" s="215">
        <v>0.65</v>
      </c>
      <c r="W303" s="485">
        <v>26.5</v>
      </c>
      <c r="X303" s="215" t="s">
        <v>1923</v>
      </c>
      <c r="Y303" s="43"/>
      <c r="Z303" s="46"/>
      <c r="AA303" s="43"/>
      <c r="AB303" s="43"/>
      <c r="AC303" s="46">
        <v>2.1</v>
      </c>
      <c r="AD303" s="17"/>
      <c r="AE303" s="48"/>
      <c r="AF303" s="37"/>
      <c r="AG303" s="47"/>
      <c r="AH303" s="49">
        <f>Table2[[#This Row],[Prix de vente ($)]]/Table2[[#This Row],[Superficie totale (ha)]]</f>
        <v>4831.5947644839134</v>
      </c>
      <c r="AI303" s="43" t="e">
        <v>#DIV/0!</v>
      </c>
      <c r="AJ303" s="80"/>
      <c r="AK303" s="80"/>
      <c r="AL303" s="80"/>
      <c r="AM303" s="80"/>
      <c r="AN303" s="80"/>
      <c r="AO303" s="80"/>
      <c r="AP303" s="80"/>
      <c r="AQ303" s="80"/>
      <c r="AR303" s="80"/>
    </row>
    <row r="304" spans="1:44" ht="45">
      <c r="A304" s="187">
        <v>28357729</v>
      </c>
      <c r="B304" s="43"/>
      <c r="C304" s="148">
        <v>45226</v>
      </c>
      <c r="D304" s="37" t="s">
        <v>1924</v>
      </c>
      <c r="E304" s="37" t="s">
        <v>1925</v>
      </c>
      <c r="F304" s="43">
        <v>5877863</v>
      </c>
      <c r="G304" s="15">
        <v>185000</v>
      </c>
      <c r="H304" s="43"/>
      <c r="I304" s="43" t="s">
        <v>522</v>
      </c>
      <c r="J304" s="43" t="s">
        <v>523</v>
      </c>
      <c r="K304" s="16" t="s">
        <v>1926</v>
      </c>
      <c r="L304" s="151" t="s">
        <v>1927</v>
      </c>
      <c r="M304" s="155" t="s">
        <v>1928</v>
      </c>
      <c r="N304" s="144">
        <v>19.38</v>
      </c>
      <c r="O304" s="43" t="s">
        <v>18</v>
      </c>
      <c r="P304" s="47" t="s">
        <v>35</v>
      </c>
      <c r="Q304" s="139">
        <v>19.38</v>
      </c>
      <c r="R304" s="43"/>
      <c r="S304" s="16" t="s">
        <v>1929</v>
      </c>
      <c r="T304" s="215">
        <v>0.5</v>
      </c>
      <c r="U304" s="215">
        <v>0.5</v>
      </c>
      <c r="V304" s="215"/>
      <c r="W304" s="485"/>
      <c r="X304" s="215"/>
      <c r="Y304" s="43"/>
      <c r="Z304" s="46"/>
      <c r="AA304" s="43"/>
      <c r="AB304" s="43"/>
      <c r="AC304" s="46"/>
      <c r="AD304" s="17"/>
      <c r="AE304" s="48"/>
      <c r="AF304" s="37"/>
      <c r="AG304" s="47"/>
      <c r="AH304" s="49">
        <f>Table2[[#This Row],[Prix de vente ($)]]/Table2[[#This Row],[Superficie totale (ha)]]</f>
        <v>9545.9236326109403</v>
      </c>
      <c r="AI304" s="43" t="e">
        <f>G304/AD304</f>
        <v>#DIV/0!</v>
      </c>
      <c r="AJ304" s="80"/>
      <c r="AK304" s="80"/>
      <c r="AL304" s="80"/>
      <c r="AM304" s="80"/>
      <c r="AN304" s="80"/>
      <c r="AO304" s="80"/>
      <c r="AP304" s="80"/>
      <c r="AQ304" s="80"/>
      <c r="AR304" s="80"/>
    </row>
    <row r="305" spans="1:35" ht="45">
      <c r="A305" s="187">
        <v>28387285</v>
      </c>
      <c r="B305" s="43"/>
      <c r="C305" s="148">
        <v>45227</v>
      </c>
      <c r="D305" s="37" t="s">
        <v>1930</v>
      </c>
      <c r="E305" s="37" t="s">
        <v>1931</v>
      </c>
      <c r="F305" s="45">
        <v>3622489</v>
      </c>
      <c r="G305" s="15">
        <v>40000</v>
      </c>
      <c r="H305" s="43"/>
      <c r="I305" s="43" t="s">
        <v>258</v>
      </c>
      <c r="J305" s="43" t="s">
        <v>1315</v>
      </c>
      <c r="K305" s="43" t="s">
        <v>1932</v>
      </c>
      <c r="L305" s="151" t="s">
        <v>1933</v>
      </c>
      <c r="M305" s="155" t="s">
        <v>1934</v>
      </c>
      <c r="N305" s="144">
        <v>4.43</v>
      </c>
      <c r="O305" s="43" t="s">
        <v>25</v>
      </c>
      <c r="P305" s="47" t="s">
        <v>19</v>
      </c>
      <c r="Q305" s="144">
        <v>4.43</v>
      </c>
      <c r="R305" s="43">
        <v>0</v>
      </c>
      <c r="S305" s="16" t="s">
        <v>20</v>
      </c>
      <c r="T305" s="215">
        <v>0.8</v>
      </c>
      <c r="U305" s="215">
        <v>0.2</v>
      </c>
      <c r="V305" s="215"/>
      <c r="W305" s="485"/>
      <c r="X305" s="215"/>
      <c r="Y305" s="43"/>
      <c r="Z305" s="46"/>
      <c r="AA305" s="43"/>
      <c r="AB305" s="43"/>
      <c r="AC305" s="46">
        <v>0</v>
      </c>
      <c r="AD305" s="17"/>
      <c r="AE305" s="48"/>
      <c r="AF305" s="37" t="s">
        <v>991</v>
      </c>
      <c r="AG305" s="47"/>
      <c r="AH305" s="49">
        <f>Table2[[#This Row],[Prix de vente ($)]]/Table2[[#This Row],[Superficie totale (ha)]]</f>
        <v>9029.3453724604969</v>
      </c>
      <c r="AI305" s="49"/>
    </row>
    <row r="306" spans="1:35" ht="33" customHeight="1">
      <c r="A306" s="196">
        <v>28363354</v>
      </c>
      <c r="C306" s="318">
        <v>45230</v>
      </c>
      <c r="D306" s="249" t="s">
        <v>1935</v>
      </c>
      <c r="E306" s="249" t="s">
        <v>1936</v>
      </c>
      <c r="F306" s="249" t="s">
        <v>1937</v>
      </c>
      <c r="G306" s="134">
        <v>660000</v>
      </c>
      <c r="I306" t="s">
        <v>1177</v>
      </c>
      <c r="J306" t="s">
        <v>1938</v>
      </c>
      <c r="L306" s="205">
        <v>45.398859999999999</v>
      </c>
      <c r="M306" s="205">
        <v>-74.242023000000003</v>
      </c>
      <c r="N306" s="211">
        <v>43.62</v>
      </c>
      <c r="O306" t="s">
        <v>18</v>
      </c>
      <c r="P306" t="s">
        <v>384</v>
      </c>
      <c r="Q306" s="211">
        <f>43.62-4.8</f>
        <v>38.82</v>
      </c>
      <c r="S306" s="94" t="s">
        <v>310</v>
      </c>
      <c r="T306" s="222">
        <v>0.3</v>
      </c>
      <c r="U306" s="222">
        <v>0.7</v>
      </c>
      <c r="V306" s="222">
        <v>0.65</v>
      </c>
      <c r="AC306" s="63">
        <v>7.1</v>
      </c>
      <c r="AF306" t="s">
        <v>1939</v>
      </c>
      <c r="AH306" s="49">
        <f>Table2[[#This Row],[Prix de vente ($)]]/Table2[[#This Row],[Superficie totale (ha)]]</f>
        <v>15130.674002751033</v>
      </c>
    </row>
    <row r="307" spans="1:35" ht="33" customHeight="1">
      <c r="A307" s="189">
        <v>28364052</v>
      </c>
      <c r="B307" s="80"/>
      <c r="C307" s="318">
        <v>45231</v>
      </c>
      <c r="D307" s="80" t="s">
        <v>1940</v>
      </c>
      <c r="E307" s="80" t="s">
        <v>1941</v>
      </c>
      <c r="F307" s="80">
        <v>3638918</v>
      </c>
      <c r="G307" s="134">
        <v>52000</v>
      </c>
      <c r="H307" s="80"/>
      <c r="I307" s="80" t="s">
        <v>321</v>
      </c>
      <c r="J307" s="80" t="s">
        <v>1942</v>
      </c>
      <c r="K307" s="80" t="s">
        <v>1943</v>
      </c>
      <c r="L307" s="199">
        <v>46.559916000000001</v>
      </c>
      <c r="M307" s="199">
        <v>-71.512620999999996</v>
      </c>
      <c r="N307" s="199">
        <v>3.92</v>
      </c>
      <c r="O307" s="80" t="s">
        <v>18</v>
      </c>
      <c r="P307" s="80" t="s">
        <v>206</v>
      </c>
      <c r="Q307" s="199">
        <v>3.92</v>
      </c>
      <c r="R307" s="80"/>
      <c r="S307" s="80" t="s">
        <v>62</v>
      </c>
      <c r="T307" s="216">
        <v>0.9</v>
      </c>
      <c r="U307" s="216">
        <v>0.1</v>
      </c>
      <c r="V307" s="216">
        <v>0.85</v>
      </c>
      <c r="W307" s="199"/>
      <c r="X307" s="216"/>
      <c r="Y307" s="80" t="s">
        <v>18</v>
      </c>
      <c r="Z307" s="80"/>
      <c r="AA307" s="80"/>
      <c r="AB307" s="80"/>
      <c r="AC307" s="80">
        <v>1.5</v>
      </c>
      <c r="AD307" s="80"/>
      <c r="AE307" s="80"/>
      <c r="AF307" s="43" t="s">
        <v>1944</v>
      </c>
      <c r="AG307" s="80"/>
      <c r="AH307" s="49">
        <f>Table2[[#This Row],[Prix de vente ($)]]/Table2[[#This Row],[Superficie totale (ha)]]</f>
        <v>13265.306122448979</v>
      </c>
      <c r="AI307" s="80"/>
    </row>
    <row r="308" spans="1:35" ht="33" customHeight="1">
      <c r="A308" s="196">
        <v>28370605</v>
      </c>
      <c r="C308" s="318">
        <v>45233</v>
      </c>
      <c r="D308" s="279" t="s">
        <v>1945</v>
      </c>
      <c r="E308" s="279" t="s">
        <v>1946</v>
      </c>
      <c r="F308" s="279" t="s">
        <v>1947</v>
      </c>
      <c r="G308" s="134">
        <v>255500</v>
      </c>
      <c r="I308" t="s">
        <v>1477</v>
      </c>
      <c r="J308" t="s">
        <v>1948</v>
      </c>
      <c r="M308" s="280"/>
      <c r="N308" s="211">
        <v>17.37</v>
      </c>
      <c r="O308" t="s">
        <v>18</v>
      </c>
      <c r="P308" s="47" t="s">
        <v>35</v>
      </c>
      <c r="Q308" s="199">
        <v>17.37</v>
      </c>
      <c r="S308" s="181" t="s">
        <v>20</v>
      </c>
      <c r="T308" s="222">
        <v>1</v>
      </c>
      <c r="U308" s="222">
        <v>0</v>
      </c>
      <c r="V308" s="222">
        <v>0.8</v>
      </c>
      <c r="AC308" s="63">
        <v>3.2</v>
      </c>
      <c r="AF308" t="s">
        <v>1949</v>
      </c>
      <c r="AH308" s="49">
        <f>Table2[[#This Row],[Prix de vente ($)]]/Table2[[#This Row],[Superficie totale (ha)]]</f>
        <v>14709.268854346574</v>
      </c>
    </row>
    <row r="309" spans="1:35" ht="33" customHeight="1">
      <c r="A309" s="187">
        <v>28413584</v>
      </c>
      <c r="B309" s="43"/>
      <c r="C309" s="148">
        <v>45236</v>
      </c>
      <c r="D309" s="37" t="s">
        <v>1950</v>
      </c>
      <c r="E309" s="37" t="s">
        <v>1951</v>
      </c>
      <c r="F309" s="45" t="s">
        <v>1952</v>
      </c>
      <c r="G309" s="15">
        <v>180000</v>
      </c>
      <c r="H309" s="43"/>
      <c r="I309" s="43" t="s">
        <v>679</v>
      </c>
      <c r="J309" s="43" t="s">
        <v>680</v>
      </c>
      <c r="K309" s="43" t="s">
        <v>1953</v>
      </c>
      <c r="L309" s="151" t="s">
        <v>1954</v>
      </c>
      <c r="M309" s="155" t="s">
        <v>1955</v>
      </c>
      <c r="N309" s="144">
        <v>14.79</v>
      </c>
      <c r="O309" s="43" t="s">
        <v>25</v>
      </c>
      <c r="P309" s="47" t="s">
        <v>19</v>
      </c>
      <c r="Q309" s="144">
        <v>14.79</v>
      </c>
      <c r="R309" s="43">
        <v>0</v>
      </c>
      <c r="S309" s="16" t="s">
        <v>20</v>
      </c>
      <c r="T309" s="215">
        <v>0.7</v>
      </c>
      <c r="U309" s="215">
        <v>0.3</v>
      </c>
      <c r="V309" s="215"/>
      <c r="W309" s="485"/>
      <c r="X309" s="215"/>
      <c r="Y309" s="43"/>
      <c r="Z309" s="46"/>
      <c r="AA309" s="43"/>
      <c r="AB309" s="43"/>
      <c r="AC309" s="46">
        <v>0</v>
      </c>
      <c r="AD309" s="17"/>
      <c r="AE309" s="48"/>
      <c r="AF309" s="37" t="s">
        <v>991</v>
      </c>
      <c r="AG309" s="47"/>
      <c r="AH309" s="49">
        <f>Table2[[#This Row],[Prix de vente ($)]]/Table2[[#This Row],[Superficie totale (ha)]]</f>
        <v>12170.385395537525</v>
      </c>
      <c r="AI309" s="49"/>
    </row>
    <row r="310" spans="1:35" ht="33" customHeight="1">
      <c r="A310" s="189">
        <v>28371970</v>
      </c>
      <c r="B310" s="80"/>
      <c r="C310" s="318">
        <v>45236</v>
      </c>
      <c r="D310" s="80" t="s">
        <v>1956</v>
      </c>
      <c r="E310" s="80" t="s">
        <v>1957</v>
      </c>
      <c r="F310" s="80">
        <v>6543718</v>
      </c>
      <c r="G310" s="134">
        <v>95000</v>
      </c>
      <c r="H310" s="80"/>
      <c r="I310" s="80" t="s">
        <v>29</v>
      </c>
      <c r="J310" s="80" t="s">
        <v>1958</v>
      </c>
      <c r="K310" s="80" t="s">
        <v>1959</v>
      </c>
      <c r="L310" s="199">
        <v>46.728980999999997</v>
      </c>
      <c r="M310" s="199">
        <v>-70.042401999999996</v>
      </c>
      <c r="N310" s="199">
        <v>41.49</v>
      </c>
      <c r="O310" s="80" t="s">
        <v>508</v>
      </c>
      <c r="P310" s="80" t="s">
        <v>173</v>
      </c>
      <c r="Q310" s="199">
        <v>41.49</v>
      </c>
      <c r="R310" s="80"/>
      <c r="S310" s="80" t="s">
        <v>20</v>
      </c>
      <c r="T310" s="216">
        <v>0.8</v>
      </c>
      <c r="U310" s="216">
        <v>0.2</v>
      </c>
      <c r="V310" s="216">
        <v>0.65</v>
      </c>
      <c r="W310" s="199"/>
      <c r="X310" s="216"/>
      <c r="Y310" s="80"/>
      <c r="Z310" s="80"/>
      <c r="AA310" s="80"/>
      <c r="AB310" s="80"/>
      <c r="AC310" s="80">
        <v>11.3</v>
      </c>
      <c r="AD310" s="80"/>
      <c r="AE310" s="80"/>
      <c r="AF310" s="43" t="s">
        <v>1960</v>
      </c>
      <c r="AG310" s="80"/>
      <c r="AH310" s="49">
        <f>Table2[[#This Row],[Prix de vente ($)]]/Table2[[#This Row],[Superficie totale (ha)]]</f>
        <v>2289.7083634610749</v>
      </c>
      <c r="AI310" s="80"/>
    </row>
    <row r="311" spans="1:35" ht="33" customHeight="1">
      <c r="A311" s="196">
        <v>28386133</v>
      </c>
      <c r="C311" s="318">
        <v>45243</v>
      </c>
      <c r="D311" t="s">
        <v>1961</v>
      </c>
      <c r="E311" t="s">
        <v>1962</v>
      </c>
      <c r="F311" s="269">
        <v>4327865</v>
      </c>
      <c r="G311" s="134">
        <v>152000</v>
      </c>
      <c r="I311" t="s">
        <v>53</v>
      </c>
      <c r="J311" t="s">
        <v>1963</v>
      </c>
      <c r="K311" t="s">
        <v>1964</v>
      </c>
      <c r="L311" s="205" t="s">
        <v>1965</v>
      </c>
      <c r="M311" s="270" t="s">
        <v>1966</v>
      </c>
      <c r="N311" s="211">
        <v>60.97</v>
      </c>
      <c r="O311" t="s">
        <v>18</v>
      </c>
      <c r="P311" t="s">
        <v>110</v>
      </c>
      <c r="S311" s="94" t="s">
        <v>102</v>
      </c>
      <c r="T311" s="222">
        <v>0.4</v>
      </c>
      <c r="U311" s="222">
        <v>0.6</v>
      </c>
      <c r="V311" s="222" t="s">
        <v>362</v>
      </c>
      <c r="AF311" t="s">
        <v>1967</v>
      </c>
      <c r="AH311" s="49">
        <f>Table2[[#This Row],[Prix de vente ($)]]/Table2[[#This Row],[Superficie totale (ha)]]</f>
        <v>2493.0293587010005</v>
      </c>
    </row>
    <row r="312" spans="1:35">
      <c r="A312" s="196" t="s">
        <v>1968</v>
      </c>
      <c r="C312" s="318">
        <v>45245</v>
      </c>
      <c r="D312" t="s">
        <v>1969</v>
      </c>
      <c r="E312" t="s">
        <v>1970</v>
      </c>
      <c r="F312" t="s">
        <v>1971</v>
      </c>
      <c r="G312" s="93">
        <v>80000</v>
      </c>
      <c r="I312" t="s">
        <v>75</v>
      </c>
      <c r="J312" t="s">
        <v>1972</v>
      </c>
      <c r="L312" s="205">
        <v>46.638053999999997</v>
      </c>
      <c r="M312" s="270" t="s">
        <v>1973</v>
      </c>
      <c r="N312" s="211">
        <v>7.24</v>
      </c>
      <c r="P312" t="s">
        <v>206</v>
      </c>
      <c r="S312" s="94" t="s">
        <v>33</v>
      </c>
      <c r="T312" s="222">
        <v>0.35</v>
      </c>
      <c r="U312" s="222">
        <v>0.65</v>
      </c>
      <c r="V312" s="222">
        <v>0.85</v>
      </c>
      <c r="AC312" s="63">
        <v>1.7</v>
      </c>
      <c r="AF312" t="s">
        <v>43</v>
      </c>
      <c r="AH312" s="49">
        <f>Table2[[#This Row],[Prix de vente ($)]]/Table2[[#This Row],[Superficie totale (ha)]]</f>
        <v>11049.723756906076</v>
      </c>
    </row>
    <row r="313" spans="1:35" ht="30">
      <c r="A313" s="187">
        <v>28392332</v>
      </c>
      <c r="B313" s="43"/>
      <c r="C313" s="148">
        <v>45245</v>
      </c>
      <c r="D313" s="37" t="s">
        <v>1974</v>
      </c>
      <c r="E313" s="37" t="s">
        <v>1975</v>
      </c>
      <c r="F313" s="45">
        <v>5943856</v>
      </c>
      <c r="G313" s="15">
        <v>210000</v>
      </c>
      <c r="H313" s="43"/>
      <c r="I313" s="43" t="s">
        <v>328</v>
      </c>
      <c r="J313" s="43" t="s">
        <v>329</v>
      </c>
      <c r="K313" s="43" t="s">
        <v>754</v>
      </c>
      <c r="L313" s="151" t="s">
        <v>1976</v>
      </c>
      <c r="M313" s="155" t="s">
        <v>1977</v>
      </c>
      <c r="N313" s="144">
        <v>44.13</v>
      </c>
      <c r="O313" s="43" t="s">
        <v>25</v>
      </c>
      <c r="P313" s="47" t="s">
        <v>19</v>
      </c>
      <c r="Q313" s="144">
        <v>44.13</v>
      </c>
      <c r="R313" s="43">
        <v>0</v>
      </c>
      <c r="S313" s="16" t="s">
        <v>20</v>
      </c>
      <c r="T313" s="215">
        <v>0.75</v>
      </c>
      <c r="U313" s="215">
        <v>0.25</v>
      </c>
      <c r="V313" s="215"/>
      <c r="W313" s="485"/>
      <c r="X313" s="215"/>
      <c r="Y313" s="43"/>
      <c r="Z313" s="46"/>
      <c r="AA313" s="43"/>
      <c r="AB313" s="43"/>
      <c r="AC313" s="46">
        <v>20.100000000000001</v>
      </c>
      <c r="AD313" s="17"/>
      <c r="AE313" s="48"/>
      <c r="AF313" s="37" t="s">
        <v>1444</v>
      </c>
      <c r="AG313" s="47"/>
      <c r="AH313" s="49">
        <f>Table2[[#This Row],[Prix de vente ($)]]/Table2[[#This Row],[Superficie totale (ha)]]</f>
        <v>4758.6675730795378</v>
      </c>
      <c r="AI313" s="49"/>
    </row>
    <row r="314" spans="1:35" ht="33.75" customHeight="1">
      <c r="A314" s="187">
        <v>28397062</v>
      </c>
      <c r="B314" s="43"/>
      <c r="C314" s="148">
        <v>45247</v>
      </c>
      <c r="D314" s="37" t="s">
        <v>1978</v>
      </c>
      <c r="E314" s="37" t="s">
        <v>1979</v>
      </c>
      <c r="F314" s="45">
        <v>5883849</v>
      </c>
      <c r="G314" s="15">
        <v>20000</v>
      </c>
      <c r="H314" s="43"/>
      <c r="I314" s="43" t="s">
        <v>747</v>
      </c>
      <c r="J314" s="43" t="s">
        <v>936</v>
      </c>
      <c r="K314" s="43" t="s">
        <v>1980</v>
      </c>
      <c r="L314" s="151" t="s">
        <v>1981</v>
      </c>
      <c r="M314" s="155" t="s">
        <v>1982</v>
      </c>
      <c r="N314" s="144">
        <v>9.2799999999999994</v>
      </c>
      <c r="O314" s="43" t="s">
        <v>18</v>
      </c>
      <c r="P314" s="47" t="s">
        <v>26</v>
      </c>
      <c r="Q314" s="144">
        <v>9.2799999999999994</v>
      </c>
      <c r="R314" s="43">
        <v>0</v>
      </c>
      <c r="S314" s="16" t="s">
        <v>20</v>
      </c>
      <c r="T314" s="215">
        <v>0.9</v>
      </c>
      <c r="U314" s="215">
        <v>0.1</v>
      </c>
      <c r="V314" s="215"/>
      <c r="W314" s="485"/>
      <c r="X314" s="215"/>
      <c r="Y314" s="43"/>
      <c r="Z314" s="46"/>
      <c r="AA314" s="43"/>
      <c r="AB314" s="43"/>
      <c r="AC314" s="46">
        <v>0</v>
      </c>
      <c r="AD314" s="17"/>
      <c r="AE314" s="48"/>
      <c r="AF314" s="37" t="s">
        <v>126</v>
      </c>
      <c r="AG314" s="47"/>
      <c r="AH314" s="49">
        <f>Table2[[#This Row],[Prix de vente ($)]]/Table2[[#This Row],[Superficie totale (ha)]]</f>
        <v>2155.1724137931037</v>
      </c>
      <c r="AI314" s="49"/>
    </row>
    <row r="315" spans="1:35" ht="33.75" customHeight="1">
      <c r="A315" s="189">
        <v>28397965</v>
      </c>
      <c r="B315" s="80"/>
      <c r="C315" s="318">
        <v>45247</v>
      </c>
      <c r="D315" s="80" t="s">
        <v>1983</v>
      </c>
      <c r="E315" s="80" t="s">
        <v>1984</v>
      </c>
      <c r="F315" s="80" t="s">
        <v>1985</v>
      </c>
      <c r="G315" s="253">
        <v>109000</v>
      </c>
      <c r="H315" s="80"/>
      <c r="I315" s="80" t="s">
        <v>722</v>
      </c>
      <c r="J315" s="80" t="s">
        <v>1031</v>
      </c>
      <c r="K315" s="80" t="s">
        <v>1986</v>
      </c>
      <c r="L315" s="199">
        <v>46.562612999999999</v>
      </c>
      <c r="M315" s="199">
        <v>-71.310686000000004</v>
      </c>
      <c r="N315" s="199">
        <v>26</v>
      </c>
      <c r="O315" s="80" t="s">
        <v>18</v>
      </c>
      <c r="P315" s="80" t="s">
        <v>110</v>
      </c>
      <c r="Q315" s="199">
        <v>26</v>
      </c>
      <c r="R315" s="80">
        <v>0</v>
      </c>
      <c r="S315" s="80" t="s">
        <v>310</v>
      </c>
      <c r="T315" s="216">
        <v>0.2</v>
      </c>
      <c r="U315" s="216">
        <v>0.8</v>
      </c>
      <c r="V315" s="216">
        <v>0.65</v>
      </c>
      <c r="W315" s="199"/>
      <c r="X315" s="216"/>
      <c r="Y315" s="80"/>
      <c r="Z315" s="80"/>
      <c r="AA315" s="80"/>
      <c r="AB315" s="80"/>
      <c r="AC315" s="80">
        <v>0</v>
      </c>
      <c r="AD315" s="80"/>
      <c r="AE315" s="80"/>
      <c r="AF315" s="80" t="s">
        <v>1987</v>
      </c>
      <c r="AG315" s="80"/>
      <c r="AH315" s="49">
        <f>Table2[[#This Row],[Prix de vente ($)]]/Table2[[#This Row],[Superficie totale (ha)]]</f>
        <v>4192.3076923076924</v>
      </c>
      <c r="AI315" s="80"/>
    </row>
    <row r="316" spans="1:35" ht="33.75" customHeight="1">
      <c r="A316" s="187">
        <v>28466291</v>
      </c>
      <c r="B316" s="43"/>
      <c r="C316" s="148">
        <v>45249</v>
      </c>
      <c r="D316" s="37" t="s">
        <v>1988</v>
      </c>
      <c r="E316" s="37" t="s">
        <v>1989</v>
      </c>
      <c r="F316" s="45">
        <v>6574564</v>
      </c>
      <c r="G316" s="15">
        <v>180000</v>
      </c>
      <c r="H316" s="43"/>
      <c r="I316" s="43" t="s">
        <v>258</v>
      </c>
      <c r="J316" s="43" t="s">
        <v>1315</v>
      </c>
      <c r="K316" s="43" t="s">
        <v>1990</v>
      </c>
      <c r="L316" s="151" t="s">
        <v>1991</v>
      </c>
      <c r="M316" s="155" t="s">
        <v>1992</v>
      </c>
      <c r="N316" s="144">
        <v>17.079999999999998</v>
      </c>
      <c r="O316" s="43" t="s">
        <v>132</v>
      </c>
      <c r="P316" s="47" t="s">
        <v>19</v>
      </c>
      <c r="Q316" s="144">
        <v>17.079999999999998</v>
      </c>
      <c r="R316" s="43">
        <v>0</v>
      </c>
      <c r="S316" s="16" t="s">
        <v>20</v>
      </c>
      <c r="T316" s="215">
        <v>0.75</v>
      </c>
      <c r="U316" s="215">
        <v>0.25</v>
      </c>
      <c r="V316" s="215"/>
      <c r="W316" s="485"/>
      <c r="X316" s="215"/>
      <c r="Y316" s="43"/>
      <c r="Z316" s="46"/>
      <c r="AA316" s="43"/>
      <c r="AB316" s="43"/>
      <c r="AC316" s="46">
        <v>0</v>
      </c>
      <c r="AD316" s="17"/>
      <c r="AE316" s="48"/>
      <c r="AF316" s="37" t="s">
        <v>1993</v>
      </c>
      <c r="AG316" s="47"/>
      <c r="AH316" s="49">
        <f>Table2[[#This Row],[Prix de vente ($)]]/Table2[[#This Row],[Superficie totale (ha)]]</f>
        <v>10538.641686182671</v>
      </c>
      <c r="AI316" s="49"/>
    </row>
    <row r="317" spans="1:35" ht="33.75" customHeight="1">
      <c r="A317" s="187">
        <v>28442161</v>
      </c>
      <c r="B317" s="43"/>
      <c r="C317" s="148">
        <v>45251</v>
      </c>
      <c r="D317" s="37" t="s">
        <v>1994</v>
      </c>
      <c r="E317" s="37" t="s">
        <v>1995</v>
      </c>
      <c r="F317" s="43">
        <v>5381737</v>
      </c>
      <c r="G317" s="15">
        <v>40000</v>
      </c>
      <c r="H317" s="43"/>
      <c r="I317" s="43" t="s">
        <v>16</v>
      </c>
      <c r="J317" s="43" t="s">
        <v>1996</v>
      </c>
      <c r="K317" s="43" t="s">
        <v>1996</v>
      </c>
      <c r="L317" s="151" t="s">
        <v>1997</v>
      </c>
      <c r="M317" s="155" t="s">
        <v>1998</v>
      </c>
      <c r="N317" s="144">
        <v>9.74</v>
      </c>
      <c r="O317" s="43" t="s">
        <v>18</v>
      </c>
      <c r="P317" s="47" t="s">
        <v>35</v>
      </c>
      <c r="Q317" s="139">
        <v>9.74</v>
      </c>
      <c r="R317" s="43"/>
      <c r="S317" s="16" t="s">
        <v>590</v>
      </c>
      <c r="T317" s="215">
        <v>0.4</v>
      </c>
      <c r="U317" s="215">
        <v>0.6</v>
      </c>
      <c r="V317" s="215" t="s">
        <v>1999</v>
      </c>
      <c r="W317" s="485"/>
      <c r="X317" s="215"/>
      <c r="Y317" s="43"/>
      <c r="Z317" s="46"/>
      <c r="AA317" s="43"/>
      <c r="AB317" s="43"/>
      <c r="AC317" s="46">
        <v>0</v>
      </c>
      <c r="AD317" s="17"/>
      <c r="AE317" s="48"/>
      <c r="AF317" s="37" t="s">
        <v>2000</v>
      </c>
      <c r="AG317" s="47"/>
      <c r="AH317" s="49">
        <f>Table2[[#This Row],[Prix de vente ($)]]/Table2[[#This Row],[Superficie totale (ha)]]</f>
        <v>4106.7761806981516</v>
      </c>
      <c r="AI317" s="43" t="e">
        <v>#DIV/0!</v>
      </c>
    </row>
    <row r="318" spans="1:35" ht="33.75" customHeight="1">
      <c r="A318" s="196">
        <v>28409671</v>
      </c>
      <c r="C318" s="318">
        <v>45254</v>
      </c>
      <c r="D318" s="20" t="s">
        <v>2001</v>
      </c>
      <c r="E318" t="s">
        <v>2002</v>
      </c>
      <c r="F318" s="88" t="s">
        <v>2003</v>
      </c>
      <c r="G318" s="134">
        <v>220000</v>
      </c>
      <c r="I318" t="s">
        <v>1516</v>
      </c>
      <c r="J318" t="s">
        <v>2004</v>
      </c>
      <c r="K318" t="s">
        <v>2005</v>
      </c>
      <c r="L318" s="205">
        <v>45.697983999999998</v>
      </c>
      <c r="M318" s="205">
        <v>-74.247251000000006</v>
      </c>
      <c r="N318" s="211">
        <v>40.5</v>
      </c>
      <c r="O318" t="s">
        <v>25</v>
      </c>
      <c r="P318" t="s">
        <v>173</v>
      </c>
      <c r="Q318" s="199">
        <v>40.5</v>
      </c>
      <c r="S318" s="94" t="s">
        <v>62</v>
      </c>
      <c r="T318" s="222">
        <v>0.85</v>
      </c>
      <c r="U318" s="222">
        <v>0.15</v>
      </c>
      <c r="V318" s="222">
        <v>0.85</v>
      </c>
      <c r="AF318" t="s">
        <v>2006</v>
      </c>
      <c r="AH318" s="49">
        <f>Table2[[#This Row],[Prix de vente ($)]]/Table2[[#This Row],[Superficie totale (ha)]]</f>
        <v>5432.0987654320988</v>
      </c>
    </row>
    <row r="319" spans="1:35" ht="33.75" customHeight="1">
      <c r="A319" s="196">
        <v>28415388</v>
      </c>
      <c r="C319" s="318">
        <v>45258</v>
      </c>
      <c r="D319" s="240" t="s">
        <v>2007</v>
      </c>
      <c r="E319" t="s">
        <v>2008</v>
      </c>
      <c r="F319" s="88" t="s">
        <v>2009</v>
      </c>
      <c r="G319" s="134">
        <v>40000</v>
      </c>
      <c r="I319" t="s">
        <v>1516</v>
      </c>
      <c r="J319" t="s">
        <v>2004</v>
      </c>
      <c r="L319" s="205">
        <v>45.706727000000001</v>
      </c>
      <c r="M319" s="205">
        <v>-74.256111000000004</v>
      </c>
      <c r="N319" s="211">
        <v>20.05</v>
      </c>
      <c r="O319" t="s">
        <v>25</v>
      </c>
      <c r="P319" t="s">
        <v>361</v>
      </c>
      <c r="Q319" s="199">
        <v>20.05</v>
      </c>
      <c r="S319" s="94" t="s">
        <v>62</v>
      </c>
      <c r="T319" s="222">
        <v>1</v>
      </c>
      <c r="U319" s="222">
        <v>0</v>
      </c>
      <c r="V319" s="222">
        <v>0.75</v>
      </c>
      <c r="AF319" t="s">
        <v>2010</v>
      </c>
      <c r="AH319" s="49">
        <f>Table2[[#This Row],[Prix de vente ($)]]/Table2[[#This Row],[Superficie totale (ha)]]</f>
        <v>1995.0124688279302</v>
      </c>
    </row>
    <row r="320" spans="1:35" ht="33.75" customHeight="1">
      <c r="A320" s="196">
        <v>28423449</v>
      </c>
      <c r="C320" s="318">
        <v>45261</v>
      </c>
      <c r="F320" s="269">
        <v>4188537</v>
      </c>
      <c r="G320" s="134">
        <v>200000</v>
      </c>
      <c r="I320" t="s">
        <v>58</v>
      </c>
      <c r="J320" t="s">
        <v>1357</v>
      </c>
      <c r="L320" s="205" t="s">
        <v>2011</v>
      </c>
      <c r="M320" s="270" t="s">
        <v>2012</v>
      </c>
      <c r="N320" s="211">
        <v>42.63</v>
      </c>
      <c r="O320" t="s">
        <v>18</v>
      </c>
      <c r="P320" t="s">
        <v>35</v>
      </c>
      <c r="S320" s="94" t="s">
        <v>62</v>
      </c>
      <c r="T320" s="222">
        <v>0.9</v>
      </c>
      <c r="U320" s="222">
        <v>0.1</v>
      </c>
      <c r="V320" s="222" t="s">
        <v>599</v>
      </c>
      <c r="AC320" s="63">
        <v>10.199999999999999</v>
      </c>
      <c r="AF320" t="s">
        <v>2013</v>
      </c>
      <c r="AH320" s="49">
        <f>Table2[[#This Row],[Prix de vente ($)]]/Table2[[#This Row],[Superficie totale (ha)]]</f>
        <v>4691.5317851278442</v>
      </c>
    </row>
    <row r="321" spans="1:35" ht="33.75" customHeight="1">
      <c r="A321" s="187">
        <v>28514612</v>
      </c>
      <c r="B321" s="43"/>
      <c r="C321" s="148">
        <v>45263</v>
      </c>
      <c r="D321" s="88" t="s">
        <v>2014</v>
      </c>
      <c r="E321" s="37" t="s">
        <v>2015</v>
      </c>
      <c r="F321" s="45" t="s">
        <v>2016</v>
      </c>
      <c r="G321" s="15">
        <v>180000</v>
      </c>
      <c r="H321" s="43"/>
      <c r="I321" s="43" t="s">
        <v>1075</v>
      </c>
      <c r="J321" s="43" t="s">
        <v>2017</v>
      </c>
      <c r="K321" s="43" t="s">
        <v>2018</v>
      </c>
      <c r="L321" s="151" t="s">
        <v>2019</v>
      </c>
      <c r="M321" s="155" t="s">
        <v>2020</v>
      </c>
      <c r="N321" s="144">
        <v>8.92</v>
      </c>
      <c r="O321" s="43" t="s">
        <v>18</v>
      </c>
      <c r="P321" s="47" t="s">
        <v>26</v>
      </c>
      <c r="Q321" s="144">
        <v>8.92</v>
      </c>
      <c r="R321" s="43">
        <v>0</v>
      </c>
      <c r="S321" s="16" t="s">
        <v>20</v>
      </c>
      <c r="T321" s="215">
        <v>0.75</v>
      </c>
      <c r="U321" s="215">
        <v>0.25</v>
      </c>
      <c r="V321" s="215"/>
      <c r="W321" s="485"/>
      <c r="X321" s="215"/>
      <c r="Y321" s="43"/>
      <c r="Z321" s="46"/>
      <c r="AA321" s="43"/>
      <c r="AB321" s="43"/>
      <c r="AC321" s="46">
        <f>3.3+0.16</f>
        <v>3.46</v>
      </c>
      <c r="AD321" s="17"/>
      <c r="AE321" s="48"/>
      <c r="AF321" s="37" t="s">
        <v>2021</v>
      </c>
      <c r="AG321" s="47"/>
      <c r="AH321" s="49">
        <f>Table2[[#This Row],[Prix de vente ($)]]/Table2[[#This Row],[Superficie totale (ha)]]</f>
        <v>20179.372197309418</v>
      </c>
      <c r="AI321" s="49"/>
    </row>
    <row r="322" spans="1:35" ht="33.75" customHeight="1">
      <c r="A322" s="187">
        <v>28426843</v>
      </c>
      <c r="B322" s="43"/>
      <c r="C322" s="148">
        <v>45264</v>
      </c>
      <c r="D322" s="37" t="s">
        <v>2022</v>
      </c>
      <c r="E322" s="37" t="s">
        <v>2023</v>
      </c>
      <c r="F322" s="45" t="s">
        <v>2024</v>
      </c>
      <c r="G322" s="15">
        <v>425000</v>
      </c>
      <c r="H322" s="43"/>
      <c r="I322" s="43" t="s">
        <v>258</v>
      </c>
      <c r="J322" s="43" t="s">
        <v>1241</v>
      </c>
      <c r="K322" s="43" t="s">
        <v>1661</v>
      </c>
      <c r="L322" s="151" t="s">
        <v>2025</v>
      </c>
      <c r="M322" s="155" t="s">
        <v>2026</v>
      </c>
      <c r="N322" s="144">
        <v>134.94999999999999</v>
      </c>
      <c r="O322" s="43" t="s">
        <v>18</v>
      </c>
      <c r="P322" s="47" t="s">
        <v>19</v>
      </c>
      <c r="Q322" s="144">
        <v>101.95</v>
      </c>
      <c r="R322" s="43">
        <v>33</v>
      </c>
      <c r="S322" s="16" t="s">
        <v>20</v>
      </c>
      <c r="T322" s="215">
        <v>0.6</v>
      </c>
      <c r="U322" s="215">
        <v>0.4</v>
      </c>
      <c r="V322" s="215"/>
      <c r="W322" s="485"/>
      <c r="X322" s="215"/>
      <c r="Y322" s="43"/>
      <c r="Z322" s="46"/>
      <c r="AA322" s="43"/>
      <c r="AB322" s="43"/>
      <c r="AC322" s="46">
        <v>0</v>
      </c>
      <c r="AD322" s="17"/>
      <c r="AE322" s="48"/>
      <c r="AF322" s="37" t="s">
        <v>2027</v>
      </c>
      <c r="AG322" s="47"/>
      <c r="AH322" s="49">
        <f>Table2[[#This Row],[Prix de vente ($)]]/Table2[[#This Row],[Superficie totale (ha)]]</f>
        <v>3149.3145609484995</v>
      </c>
      <c r="AI322" s="49"/>
    </row>
    <row r="323" spans="1:35" ht="33.75" customHeight="1">
      <c r="A323" s="196">
        <v>28427765</v>
      </c>
      <c r="C323" s="318">
        <v>45265</v>
      </c>
      <c r="D323" t="s">
        <v>2028</v>
      </c>
      <c r="E323" t="s">
        <v>1809</v>
      </c>
      <c r="F323" t="s">
        <v>2029</v>
      </c>
      <c r="G323" s="93">
        <v>60000</v>
      </c>
      <c r="I323" t="s">
        <v>65</v>
      </c>
      <c r="J323" t="s">
        <v>700</v>
      </c>
      <c r="K323" t="s">
        <v>2030</v>
      </c>
      <c r="L323" s="205" t="s">
        <v>2031</v>
      </c>
      <c r="M323" s="270" t="s">
        <v>2032</v>
      </c>
      <c r="N323" s="211">
        <f>0.27+40.41</f>
        <v>40.68</v>
      </c>
      <c r="O323" t="s">
        <v>25</v>
      </c>
      <c r="P323" t="s">
        <v>317</v>
      </c>
      <c r="S323" s="94" t="s">
        <v>20</v>
      </c>
      <c r="T323" s="222">
        <v>0.65</v>
      </c>
      <c r="U323" s="222">
        <v>0.35</v>
      </c>
      <c r="V323" s="222">
        <v>0.85</v>
      </c>
      <c r="AC323" s="63">
        <v>17.2</v>
      </c>
      <c r="AF323" t="s">
        <v>2033</v>
      </c>
      <c r="AH323" s="49">
        <f>Table2[[#This Row],[Prix de vente ($)]]/Table2[[#This Row],[Superficie totale (ha)]]</f>
        <v>1474.9262536873157</v>
      </c>
    </row>
    <row r="324" spans="1:35" ht="33.75" customHeight="1">
      <c r="A324" s="187">
        <v>28434968</v>
      </c>
      <c r="B324" s="43"/>
      <c r="C324" s="148">
        <v>45267</v>
      </c>
      <c r="D324" s="37" t="s">
        <v>2034</v>
      </c>
      <c r="E324" s="37" t="s">
        <v>2035</v>
      </c>
      <c r="F324" s="45">
        <v>5401092</v>
      </c>
      <c r="G324" s="15">
        <v>60000</v>
      </c>
      <c r="H324" s="43"/>
      <c r="I324" s="43" t="s">
        <v>679</v>
      </c>
      <c r="J324" s="43" t="s">
        <v>680</v>
      </c>
      <c r="K324" s="43" t="s">
        <v>2036</v>
      </c>
      <c r="L324" s="151" t="s">
        <v>2037</v>
      </c>
      <c r="M324" s="155" t="s">
        <v>2038</v>
      </c>
      <c r="N324" s="144">
        <v>13.52</v>
      </c>
      <c r="O324" s="43" t="s">
        <v>25</v>
      </c>
      <c r="P324" s="47" t="s">
        <v>19</v>
      </c>
      <c r="Q324" s="144">
        <v>13.52</v>
      </c>
      <c r="R324" s="43">
        <v>0</v>
      </c>
      <c r="S324" s="16" t="s">
        <v>20</v>
      </c>
      <c r="T324" s="215">
        <v>0.6</v>
      </c>
      <c r="U324" s="215">
        <v>0.4</v>
      </c>
      <c r="V324" s="215"/>
      <c r="W324" s="485"/>
      <c r="X324" s="215"/>
      <c r="Y324" s="43"/>
      <c r="Z324" s="46"/>
      <c r="AA324" s="43"/>
      <c r="AB324" s="43"/>
      <c r="AC324" s="46">
        <v>0</v>
      </c>
      <c r="AD324" s="17"/>
      <c r="AE324" s="48"/>
      <c r="AF324" s="37" t="s">
        <v>991</v>
      </c>
      <c r="AG324" s="47"/>
      <c r="AH324" s="49">
        <f>Table2[[#This Row],[Prix de vente ($)]]/Table2[[#This Row],[Superficie totale (ha)]]</f>
        <v>4437.8698224852069</v>
      </c>
      <c r="AI324" s="49"/>
    </row>
    <row r="325" spans="1:35" ht="33.75" customHeight="1">
      <c r="A325" s="196">
        <v>28438801</v>
      </c>
      <c r="C325" s="318">
        <v>45271</v>
      </c>
      <c r="D325" s="250" t="s">
        <v>2039</v>
      </c>
      <c r="E325" s="249" t="s">
        <v>2040</v>
      </c>
      <c r="F325" s="249" t="s">
        <v>2041</v>
      </c>
      <c r="G325" s="134">
        <v>274182</v>
      </c>
      <c r="I325" t="s">
        <v>274</v>
      </c>
      <c r="J325" t="s">
        <v>860</v>
      </c>
      <c r="K325" t="s">
        <v>2042</v>
      </c>
      <c r="L325" s="205">
        <v>45.674449000000003</v>
      </c>
      <c r="M325" s="205">
        <v>-72.105199999999996</v>
      </c>
      <c r="N325" s="211">
        <v>29.69</v>
      </c>
      <c r="O325" t="s">
        <v>18</v>
      </c>
      <c r="P325" t="s">
        <v>173</v>
      </c>
      <c r="Q325" s="199">
        <v>29.69</v>
      </c>
      <c r="S325" s="94" t="s">
        <v>20</v>
      </c>
      <c r="T325" s="222">
        <v>0.8</v>
      </c>
      <c r="U325" s="222">
        <v>0.2</v>
      </c>
      <c r="V325" s="222">
        <v>0.9</v>
      </c>
      <c r="AF325" t="s">
        <v>2043</v>
      </c>
      <c r="AH325" s="49">
        <f>Table2[[#This Row],[Prix de vente ($)]]/Table2[[#This Row],[Superficie totale (ha)]]</f>
        <v>9234.8265409228698</v>
      </c>
    </row>
    <row r="326" spans="1:35" ht="33.75" customHeight="1">
      <c r="A326" s="196">
        <v>28441840</v>
      </c>
      <c r="C326" s="318">
        <v>45272</v>
      </c>
      <c r="D326" t="s">
        <v>2044</v>
      </c>
      <c r="E326" t="s">
        <v>2045</v>
      </c>
      <c r="F326" s="269">
        <v>1818235</v>
      </c>
      <c r="G326" s="93">
        <v>174812</v>
      </c>
      <c r="I326" t="s">
        <v>37</v>
      </c>
      <c r="J326" t="s">
        <v>2046</v>
      </c>
      <c r="K326" t="s">
        <v>2047</v>
      </c>
      <c r="L326" s="205" t="s">
        <v>2048</v>
      </c>
      <c r="M326" s="270" t="s">
        <v>2049</v>
      </c>
      <c r="N326" s="211">
        <v>7.95</v>
      </c>
      <c r="O326" t="s">
        <v>18</v>
      </c>
      <c r="P326" t="s">
        <v>206</v>
      </c>
      <c r="S326" s="94" t="s">
        <v>22</v>
      </c>
      <c r="T326" s="222">
        <v>0.5</v>
      </c>
      <c r="U326" s="222">
        <v>0.5</v>
      </c>
      <c r="V326" s="222" t="s">
        <v>243</v>
      </c>
      <c r="AC326" s="63">
        <v>1.4</v>
      </c>
      <c r="AF326" t="s">
        <v>392</v>
      </c>
      <c r="AH326" s="49">
        <f>Table2[[#This Row],[Prix de vente ($)]]/Table2[[#This Row],[Superficie totale (ha)]]</f>
        <v>21988.930817610064</v>
      </c>
    </row>
    <row r="327" spans="1:35" ht="33.75" customHeight="1">
      <c r="A327" s="196">
        <v>28445323</v>
      </c>
      <c r="C327" s="318">
        <v>45273</v>
      </c>
      <c r="D327" t="s">
        <v>2050</v>
      </c>
      <c r="E327" t="s">
        <v>2051</v>
      </c>
      <c r="F327" t="s">
        <v>2052</v>
      </c>
      <c r="G327" s="134">
        <v>400000</v>
      </c>
      <c r="I327" t="s">
        <v>1516</v>
      </c>
      <c r="J327" t="s">
        <v>1517</v>
      </c>
      <c r="K327" s="20" t="s">
        <v>2053</v>
      </c>
      <c r="L327" s="205">
        <v>45.739846</v>
      </c>
      <c r="M327" s="205">
        <v>-74.287569000000005</v>
      </c>
      <c r="N327" s="211">
        <v>21.45</v>
      </c>
      <c r="O327" t="s">
        <v>25</v>
      </c>
      <c r="P327" t="s">
        <v>361</v>
      </c>
      <c r="Q327" s="199">
        <v>21.45</v>
      </c>
      <c r="S327" s="94" t="s">
        <v>20</v>
      </c>
      <c r="T327" s="222">
        <v>1</v>
      </c>
      <c r="U327" s="222">
        <v>0</v>
      </c>
      <c r="V327" s="222">
        <v>0.85</v>
      </c>
      <c r="AF327" t="s">
        <v>2054</v>
      </c>
      <c r="AH327" s="49">
        <f>Table2[[#This Row],[Prix de vente ($)]]/Table2[[#This Row],[Superficie totale (ha)]]</f>
        <v>18648.018648018649</v>
      </c>
    </row>
    <row r="328" spans="1:35" ht="33.75" customHeight="1">
      <c r="A328" s="193">
        <v>28445077</v>
      </c>
      <c r="B328" s="43"/>
      <c r="C328" s="148">
        <v>45273</v>
      </c>
      <c r="D328" s="37" t="s">
        <v>2055</v>
      </c>
      <c r="E328" s="37" t="s">
        <v>2056</v>
      </c>
      <c r="F328" s="45" t="s">
        <v>2057</v>
      </c>
      <c r="G328" s="15">
        <v>300000</v>
      </c>
      <c r="H328" s="43"/>
      <c r="I328" s="43" t="s">
        <v>328</v>
      </c>
      <c r="J328" s="43" t="s">
        <v>777</v>
      </c>
      <c r="K328" s="43" t="s">
        <v>2058</v>
      </c>
      <c r="L328" s="151" t="s">
        <v>2059</v>
      </c>
      <c r="M328" s="155" t="s">
        <v>2060</v>
      </c>
      <c r="N328" s="144">
        <v>83.38</v>
      </c>
      <c r="O328" s="43" t="s">
        <v>25</v>
      </c>
      <c r="P328" s="47" t="s">
        <v>19</v>
      </c>
      <c r="Q328" s="144">
        <v>83.38</v>
      </c>
      <c r="R328" s="43">
        <v>0</v>
      </c>
      <c r="S328" s="16" t="s">
        <v>102</v>
      </c>
      <c r="T328" s="215">
        <v>0.85</v>
      </c>
      <c r="U328" s="215">
        <v>0.15</v>
      </c>
      <c r="V328" s="215"/>
      <c r="W328" s="485"/>
      <c r="X328" s="215"/>
      <c r="Y328" s="43"/>
      <c r="Z328" s="46"/>
      <c r="AA328" s="43"/>
      <c r="AB328" s="43"/>
      <c r="AC328" s="46">
        <v>2.4</v>
      </c>
      <c r="AD328" s="17"/>
      <c r="AE328" s="48"/>
      <c r="AF328" s="37" t="s">
        <v>2061</v>
      </c>
      <c r="AG328" s="47"/>
      <c r="AH328" s="49">
        <f>Table2[[#This Row],[Prix de vente ($)]]/Table2[[#This Row],[Superficie totale (ha)]]</f>
        <v>3597.9851283281364</v>
      </c>
      <c r="AI328" s="49"/>
    </row>
    <row r="329" spans="1:35" ht="33.75" customHeight="1">
      <c r="A329" s="187">
        <v>28448264</v>
      </c>
      <c r="B329" s="43"/>
      <c r="C329" s="148">
        <v>45274</v>
      </c>
      <c r="D329" s="37" t="s">
        <v>2062</v>
      </c>
      <c r="E329" s="37" t="s">
        <v>2063</v>
      </c>
      <c r="F329" s="45" t="s">
        <v>2064</v>
      </c>
      <c r="G329" s="15">
        <v>150000</v>
      </c>
      <c r="H329" s="43"/>
      <c r="I329" s="43" t="s">
        <v>610</v>
      </c>
      <c r="J329" s="43" t="s">
        <v>611</v>
      </c>
      <c r="K329" s="43" t="s">
        <v>2065</v>
      </c>
      <c r="L329" s="155" t="s">
        <v>2066</v>
      </c>
      <c r="M329" s="155" t="s">
        <v>2067</v>
      </c>
      <c r="N329" s="144">
        <v>9.5399999999999991</v>
      </c>
      <c r="O329" s="43" t="s">
        <v>18</v>
      </c>
      <c r="P329" s="47" t="s">
        <v>206</v>
      </c>
      <c r="Q329" s="144">
        <v>9.5399999999999991</v>
      </c>
      <c r="R329" s="43">
        <v>0</v>
      </c>
      <c r="S329" s="16" t="s">
        <v>20</v>
      </c>
      <c r="T329" s="215">
        <v>1</v>
      </c>
      <c r="U329" s="215">
        <v>0</v>
      </c>
      <c r="V329" s="215" t="s">
        <v>1214</v>
      </c>
      <c r="W329" s="485"/>
      <c r="X329" s="215"/>
      <c r="Y329" s="43"/>
      <c r="Z329" s="46"/>
      <c r="AA329" s="43"/>
      <c r="AB329" s="43"/>
      <c r="AC329" s="46">
        <v>2</v>
      </c>
      <c r="AD329" s="17"/>
      <c r="AE329" s="48"/>
      <c r="AF329" s="37"/>
      <c r="AG329" s="47"/>
      <c r="AH329" s="49">
        <f>Table2[[#This Row],[Prix de vente ($)]]/Table2[[#This Row],[Superficie totale (ha)]]</f>
        <v>15723.270440251574</v>
      </c>
      <c r="AI329" s="49"/>
    </row>
    <row r="330" spans="1:35" ht="33.75" customHeight="1">
      <c r="A330" s="196">
        <v>28458023</v>
      </c>
      <c r="C330" s="318">
        <v>45279</v>
      </c>
      <c r="D330" t="s">
        <v>2068</v>
      </c>
      <c r="E330" t="s">
        <v>2069</v>
      </c>
      <c r="F330" t="s">
        <v>2070</v>
      </c>
      <c r="G330" s="93">
        <v>110000</v>
      </c>
      <c r="I330" t="s">
        <v>53</v>
      </c>
      <c r="J330" t="s">
        <v>577</v>
      </c>
      <c r="K330" t="s">
        <v>2071</v>
      </c>
      <c r="L330" s="205" t="s">
        <v>2072</v>
      </c>
      <c r="M330" s="270" t="s">
        <v>2073</v>
      </c>
      <c r="N330" s="211">
        <f>48.38+3.43</f>
        <v>51.81</v>
      </c>
      <c r="O330" t="s">
        <v>25</v>
      </c>
      <c r="P330" t="s">
        <v>63</v>
      </c>
      <c r="S330" s="94" t="s">
        <v>33</v>
      </c>
      <c r="T330" s="222">
        <v>0.4</v>
      </c>
      <c r="U330" s="222">
        <v>0.6</v>
      </c>
      <c r="V330" s="222">
        <v>0.75</v>
      </c>
      <c r="AC330" s="63">
        <v>8.4</v>
      </c>
      <c r="AF330" t="s">
        <v>2074</v>
      </c>
      <c r="AH330" s="49">
        <f>Table2[[#This Row],[Prix de vente ($)]]/Table2[[#This Row],[Superficie totale (ha)]]</f>
        <v>2123.1422505307855</v>
      </c>
    </row>
    <row r="331" spans="1:35" ht="33.75" customHeight="1">
      <c r="A331" s="187">
        <v>28462498</v>
      </c>
      <c r="B331" s="43"/>
      <c r="C331" s="148">
        <v>45280</v>
      </c>
      <c r="D331" s="37" t="s">
        <v>2075</v>
      </c>
      <c r="E331" s="37" t="s">
        <v>2076</v>
      </c>
      <c r="F331" s="43" t="s">
        <v>2077</v>
      </c>
      <c r="G331" s="15">
        <v>50000</v>
      </c>
      <c r="H331" s="43"/>
      <c r="I331" s="43" t="s">
        <v>75</v>
      </c>
      <c r="J331" s="43" t="s">
        <v>1759</v>
      </c>
      <c r="K331" s="43" t="s">
        <v>2078</v>
      </c>
      <c r="L331" s="151" t="s">
        <v>2079</v>
      </c>
      <c r="M331" s="155" t="s">
        <v>2080</v>
      </c>
      <c r="N331" s="144">
        <f>4.17+2.42</f>
        <v>6.59</v>
      </c>
      <c r="O331" s="43" t="s">
        <v>18</v>
      </c>
      <c r="P331" s="47" t="s">
        <v>35</v>
      </c>
      <c r="Q331" s="144">
        <f>N331</f>
        <v>6.59</v>
      </c>
      <c r="R331" s="43"/>
      <c r="S331" s="16" t="s">
        <v>20</v>
      </c>
      <c r="T331" s="215">
        <v>0.6</v>
      </c>
      <c r="U331" s="215">
        <v>0.4</v>
      </c>
      <c r="V331" s="215"/>
      <c r="W331" s="485"/>
      <c r="X331" s="215"/>
      <c r="Y331" s="43"/>
      <c r="Z331" s="46"/>
      <c r="AA331" s="43"/>
      <c r="AB331" s="43"/>
      <c r="AC331" s="46">
        <v>0</v>
      </c>
      <c r="AD331" s="17"/>
      <c r="AE331" s="48"/>
      <c r="AF331" s="37" t="s">
        <v>2081</v>
      </c>
      <c r="AG331" s="47"/>
      <c r="AH331" s="49">
        <f>Table2[[#This Row],[Prix de vente ($)]]/Table2[[#This Row],[Superficie totale (ha)]]</f>
        <v>7587.253414264037</v>
      </c>
      <c r="AI331" s="43"/>
    </row>
    <row r="332" spans="1:35" ht="33.75" customHeight="1">
      <c r="A332" s="189">
        <v>28461689</v>
      </c>
      <c r="B332" s="80"/>
      <c r="C332" s="318">
        <v>45280</v>
      </c>
      <c r="D332" s="80" t="s">
        <v>2082</v>
      </c>
      <c r="E332" s="80" t="s">
        <v>2083</v>
      </c>
      <c r="F332" s="80" t="s">
        <v>2084</v>
      </c>
      <c r="G332" s="134">
        <v>346000</v>
      </c>
      <c r="H332" s="80"/>
      <c r="I332" s="80" t="s">
        <v>722</v>
      </c>
      <c r="J332" s="80" t="s">
        <v>723</v>
      </c>
      <c r="K332" s="80" t="s">
        <v>2085</v>
      </c>
      <c r="L332" s="199">
        <v>46.489519000000001</v>
      </c>
      <c r="M332" s="199">
        <v>-71.262354999999999</v>
      </c>
      <c r="N332" s="199">
        <v>42.4</v>
      </c>
      <c r="O332" s="80" t="s">
        <v>18</v>
      </c>
      <c r="P332" s="80" t="s">
        <v>206</v>
      </c>
      <c r="Q332" s="199">
        <v>16.2</v>
      </c>
      <c r="R332" s="80">
        <v>26.2</v>
      </c>
      <c r="S332" s="80" t="s">
        <v>20</v>
      </c>
      <c r="T332" s="216">
        <v>0.8</v>
      </c>
      <c r="U332" s="216">
        <v>0.2</v>
      </c>
      <c r="V332" s="216">
        <v>0.85</v>
      </c>
      <c r="W332" s="199"/>
      <c r="X332" s="216"/>
      <c r="Y332" s="80"/>
      <c r="Z332" s="80"/>
      <c r="AA332" s="80"/>
      <c r="AB332" s="80"/>
      <c r="AC332" s="80">
        <v>11</v>
      </c>
      <c r="AD332" s="80"/>
      <c r="AE332" s="80"/>
      <c r="AF332" s="43" t="s">
        <v>2086</v>
      </c>
      <c r="AG332" s="80"/>
      <c r="AH332" s="49">
        <f>Table2[[#This Row],[Prix de vente ($)]]/Table2[[#This Row],[Superficie totale (ha)]]</f>
        <v>8160.3773584905666</v>
      </c>
      <c r="AI332" s="80"/>
    </row>
    <row r="333" spans="1:35" ht="33.75" customHeight="1">
      <c r="A333" s="188">
        <v>28466596</v>
      </c>
      <c r="B333" s="67"/>
      <c r="C333" s="361">
        <v>45281</v>
      </c>
      <c r="D333" s="68" t="s">
        <v>2087</v>
      </c>
      <c r="E333" s="68" t="s">
        <v>2088</v>
      </c>
      <c r="F333" s="67" t="s">
        <v>2089</v>
      </c>
      <c r="G333" s="21">
        <v>6000</v>
      </c>
      <c r="H333" s="67"/>
      <c r="I333" s="67" t="s">
        <v>75</v>
      </c>
      <c r="J333" s="67" t="s">
        <v>585</v>
      </c>
      <c r="K333" s="67" t="s">
        <v>713</v>
      </c>
      <c r="L333" s="206" t="s">
        <v>2090</v>
      </c>
      <c r="M333" s="200" t="s">
        <v>2091</v>
      </c>
      <c r="N333" s="153">
        <f xml:space="preserve"> 0.03+0.68</f>
        <v>0.71000000000000008</v>
      </c>
      <c r="O333" s="67" t="s">
        <v>18</v>
      </c>
      <c r="P333" s="71" t="s">
        <v>35</v>
      </c>
      <c r="Q333" s="147">
        <v>0.71</v>
      </c>
      <c r="R333" s="67">
        <v>0</v>
      </c>
      <c r="S333" s="22" t="s">
        <v>2092</v>
      </c>
      <c r="T333" s="218"/>
      <c r="U333" s="218"/>
      <c r="V333" s="218"/>
      <c r="W333" s="490"/>
      <c r="X333" s="218"/>
      <c r="Y333" s="67"/>
      <c r="Z333" s="70"/>
      <c r="AA333" s="67"/>
      <c r="AB333" s="67"/>
      <c r="AC333" s="70"/>
      <c r="AD333" s="72"/>
      <c r="AE333" s="73"/>
      <c r="AF333" s="68"/>
      <c r="AG333" s="71"/>
      <c r="AH333" s="49">
        <f>Table2[[#This Row],[Prix de vente ($)]]/Table2[[#This Row],[Superficie totale (ha)]]</f>
        <v>8450.7042253521122</v>
      </c>
      <c r="AI333" s="74" t="e">
        <v>#DIV/0!</v>
      </c>
    </row>
    <row r="334" spans="1:35" ht="33.75" customHeight="1">
      <c r="A334" s="196">
        <v>28464795</v>
      </c>
      <c r="C334" s="318">
        <v>45281</v>
      </c>
      <c r="D334" t="s">
        <v>2093</v>
      </c>
      <c r="E334" t="s">
        <v>2094</v>
      </c>
      <c r="F334" t="s">
        <v>2095</v>
      </c>
      <c r="G334" s="134">
        <v>260000</v>
      </c>
      <c r="I334" t="s">
        <v>53</v>
      </c>
      <c r="J334" t="s">
        <v>1615</v>
      </c>
      <c r="K334" t="s">
        <v>2096</v>
      </c>
      <c r="L334" s="205" t="s">
        <v>2097</v>
      </c>
      <c r="M334" s="270" t="s">
        <v>2098</v>
      </c>
      <c r="N334" s="211">
        <f>3.82+36.19</f>
        <v>40.01</v>
      </c>
      <c r="O334" t="s">
        <v>25</v>
      </c>
      <c r="P334" t="s">
        <v>63</v>
      </c>
      <c r="S334" s="94" t="s">
        <v>62</v>
      </c>
      <c r="T334" s="222">
        <v>0.7</v>
      </c>
      <c r="U334" s="222">
        <v>0.3</v>
      </c>
      <c r="V334" s="222" t="s">
        <v>243</v>
      </c>
      <c r="AC334" s="63">
        <v>16</v>
      </c>
      <c r="AF334" t="s">
        <v>2099</v>
      </c>
      <c r="AH334" s="49">
        <f>Table2[[#This Row],[Prix de vente ($)]]/Table2[[#This Row],[Superficie totale (ha)]]</f>
        <v>6498.3754061484633</v>
      </c>
    </row>
    <row r="335" spans="1:35" ht="33.75" customHeight="1">
      <c r="A335" s="189">
        <v>28470855</v>
      </c>
      <c r="B335" s="80"/>
      <c r="C335" s="318">
        <v>45288</v>
      </c>
      <c r="D335" s="80" t="s">
        <v>2100</v>
      </c>
      <c r="E335" s="80" t="s">
        <v>2101</v>
      </c>
      <c r="F335" s="80" t="s">
        <v>2102</v>
      </c>
      <c r="G335" s="134">
        <v>100000</v>
      </c>
      <c r="H335" s="80"/>
      <c r="I335" s="80" t="s">
        <v>29</v>
      </c>
      <c r="J335" s="80" t="s">
        <v>506</v>
      </c>
      <c r="K335" s="80" t="s">
        <v>2103</v>
      </c>
      <c r="L335" s="205">
        <v>46.642522</v>
      </c>
      <c r="M335" s="199">
        <v>-70.05932</v>
      </c>
      <c r="N335" s="199">
        <v>41.62</v>
      </c>
      <c r="O335" s="80" t="s">
        <v>508</v>
      </c>
      <c r="P335" s="80" t="s">
        <v>19</v>
      </c>
      <c r="Q335" s="199">
        <v>41.62</v>
      </c>
      <c r="R335" s="80"/>
      <c r="S335" s="80" t="s">
        <v>175</v>
      </c>
      <c r="T335" s="216">
        <v>0.5</v>
      </c>
      <c r="U335" s="216">
        <v>0.5</v>
      </c>
      <c r="V335" s="216">
        <v>0.05</v>
      </c>
      <c r="W335" s="199"/>
      <c r="X335" s="216"/>
      <c r="Y335" s="80"/>
      <c r="Z335" s="80"/>
      <c r="AA335" s="80"/>
      <c r="AB335" s="80"/>
      <c r="AC335" s="80"/>
      <c r="AD335" s="80"/>
      <c r="AE335" s="80"/>
      <c r="AF335" s="80" t="s">
        <v>2104</v>
      </c>
      <c r="AG335" s="80"/>
      <c r="AH335" s="49">
        <f>Table2[[#This Row],[Prix de vente ($)]]/Table2[[#This Row],[Superficie totale (ha)]]</f>
        <v>2402.6910139356082</v>
      </c>
      <c r="AI335" s="80"/>
    </row>
    <row r="336" spans="1:35" ht="33.75" customHeight="1">
      <c r="A336" s="196">
        <v>28521882</v>
      </c>
      <c r="C336" s="318">
        <v>45297</v>
      </c>
      <c r="D336" s="247" t="s">
        <v>2105</v>
      </c>
      <c r="E336" t="s">
        <v>2106</v>
      </c>
      <c r="F336" s="247" t="s">
        <v>2107</v>
      </c>
      <c r="G336" s="134">
        <v>140000</v>
      </c>
      <c r="I336" t="s">
        <v>2108</v>
      </c>
      <c r="J336" t="s">
        <v>2109</v>
      </c>
      <c r="N336" s="211">
        <v>11.52</v>
      </c>
      <c r="O336" t="s">
        <v>25</v>
      </c>
      <c r="P336" t="s">
        <v>63</v>
      </c>
      <c r="Q336" s="211">
        <v>11.52</v>
      </c>
      <c r="S336" s="181" t="s">
        <v>20</v>
      </c>
      <c r="T336" s="222">
        <v>0.7</v>
      </c>
      <c r="U336" s="222">
        <v>0.3</v>
      </c>
      <c r="V336" s="222">
        <v>0.85</v>
      </c>
      <c r="AC336" s="63">
        <v>4</v>
      </c>
      <c r="AF336" t="s">
        <v>2110</v>
      </c>
      <c r="AH336" s="49">
        <f>Table2[[#This Row],[Prix de vente ($)]]/Table2[[#This Row],[Superficie totale (ha)]]</f>
        <v>12152.777777777777</v>
      </c>
    </row>
    <row r="337" spans="1:35" ht="33.75" customHeight="1">
      <c r="A337" s="196">
        <v>28481895</v>
      </c>
      <c r="C337" s="318">
        <v>45303</v>
      </c>
      <c r="D337" s="266" t="s">
        <v>2111</v>
      </c>
      <c r="E337" s="266" t="s">
        <v>2112</v>
      </c>
      <c r="F337" s="266" t="s">
        <v>2113</v>
      </c>
      <c r="G337" s="134">
        <v>65000</v>
      </c>
      <c r="I337" t="s">
        <v>223</v>
      </c>
      <c r="J337" t="s">
        <v>484</v>
      </c>
      <c r="L337" s="205">
        <v>47.145217000000002</v>
      </c>
      <c r="M337" s="205">
        <v>-70.195586000000006</v>
      </c>
      <c r="N337" s="211">
        <v>16.3</v>
      </c>
      <c r="O337" t="s">
        <v>18</v>
      </c>
      <c r="P337" t="s">
        <v>173</v>
      </c>
      <c r="Q337" s="211">
        <v>16.3</v>
      </c>
      <c r="S337" s="94" t="s">
        <v>175</v>
      </c>
      <c r="T337" s="222">
        <v>0.5</v>
      </c>
      <c r="U337" s="222">
        <v>0.5</v>
      </c>
      <c r="V337" s="222">
        <v>0.75</v>
      </c>
      <c r="AF337" t="s">
        <v>2114</v>
      </c>
      <c r="AH337" s="49">
        <f>Table2[[#This Row],[Prix de vente ($)]]/Table2[[#This Row],[Superficie totale (ha)]]</f>
        <v>3987.7300613496932</v>
      </c>
    </row>
    <row r="338" spans="1:35" ht="33.75" customHeight="1">
      <c r="A338" s="187">
        <v>28483796</v>
      </c>
      <c r="B338" s="43"/>
      <c r="C338" s="148">
        <v>45306</v>
      </c>
      <c r="D338" s="37" t="s">
        <v>2115</v>
      </c>
      <c r="E338" s="37" t="s">
        <v>2116</v>
      </c>
      <c r="F338" s="45" t="s">
        <v>2117</v>
      </c>
      <c r="G338" s="15">
        <v>60000</v>
      </c>
      <c r="H338" s="43"/>
      <c r="I338" s="43" t="s">
        <v>679</v>
      </c>
      <c r="J338" s="43" t="s">
        <v>680</v>
      </c>
      <c r="K338" s="43" t="s">
        <v>2118</v>
      </c>
      <c r="L338" s="151" t="s">
        <v>2119</v>
      </c>
      <c r="M338" s="155" t="s">
        <v>2120</v>
      </c>
      <c r="N338" s="144">
        <v>58.53</v>
      </c>
      <c r="O338" s="43" t="s">
        <v>25</v>
      </c>
      <c r="P338" s="47" t="s">
        <v>165</v>
      </c>
      <c r="Q338" s="144">
        <v>58.53</v>
      </c>
      <c r="R338" s="43">
        <v>0</v>
      </c>
      <c r="S338" s="16" t="s">
        <v>102</v>
      </c>
      <c r="T338" s="215">
        <v>0.2</v>
      </c>
      <c r="U338" s="215">
        <v>0.8</v>
      </c>
      <c r="V338" s="215"/>
      <c r="W338" s="485"/>
      <c r="X338" s="215"/>
      <c r="Y338" s="43"/>
      <c r="Z338" s="46"/>
      <c r="AA338" s="43"/>
      <c r="AB338" s="43"/>
      <c r="AC338" s="46">
        <v>0</v>
      </c>
      <c r="AD338" s="17"/>
      <c r="AE338" s="48"/>
      <c r="AF338" s="37" t="s">
        <v>2121</v>
      </c>
      <c r="AG338" s="47"/>
      <c r="AH338" s="49">
        <f>Table2[[#This Row],[Prix de vente ($)]]/Table2[[#This Row],[Superficie totale (ha)]]</f>
        <v>1025.1153254741157</v>
      </c>
      <c r="AI338" s="49"/>
    </row>
    <row r="339" spans="1:35" ht="33.75" customHeight="1">
      <c r="A339" s="187">
        <v>28486914</v>
      </c>
      <c r="B339" s="43"/>
      <c r="C339" s="148">
        <v>45307</v>
      </c>
      <c r="D339" s="37" t="s">
        <v>2122</v>
      </c>
      <c r="E339" s="37" t="s">
        <v>2123</v>
      </c>
      <c r="F339" s="45">
        <v>2059382</v>
      </c>
      <c r="G339" s="15">
        <v>280000</v>
      </c>
      <c r="H339" s="43"/>
      <c r="I339" s="43" t="s">
        <v>515</v>
      </c>
      <c r="J339" s="43" t="s">
        <v>515</v>
      </c>
      <c r="K339" s="43" t="s">
        <v>2124</v>
      </c>
      <c r="L339" s="151" t="s">
        <v>2125</v>
      </c>
      <c r="M339" s="155" t="s">
        <v>2126</v>
      </c>
      <c r="N339" s="144">
        <v>18.47</v>
      </c>
      <c r="O339" s="43" t="s">
        <v>18</v>
      </c>
      <c r="P339" s="47" t="s">
        <v>35</v>
      </c>
      <c r="Q339" s="144">
        <v>16.47</v>
      </c>
      <c r="R339" s="43">
        <v>0</v>
      </c>
      <c r="S339" s="16" t="s">
        <v>20</v>
      </c>
      <c r="T339" s="215">
        <v>0.75</v>
      </c>
      <c r="U339" s="215">
        <v>0.25</v>
      </c>
      <c r="V339" s="215"/>
      <c r="W339" s="485"/>
      <c r="X339" s="215"/>
      <c r="Y339" s="43"/>
      <c r="Z339" s="46"/>
      <c r="AA339" s="43"/>
      <c r="AB339" s="43"/>
      <c r="AC339" s="46">
        <v>9.4</v>
      </c>
      <c r="AD339" s="17"/>
      <c r="AE339" s="48"/>
      <c r="AF339" s="37" t="s">
        <v>2127</v>
      </c>
      <c r="AG339" s="47"/>
      <c r="AH339" s="49">
        <f>Table2[[#This Row],[Prix de vente ($)]]/Table2[[#This Row],[Superficie totale (ha)]]</f>
        <v>15159.718462371415</v>
      </c>
      <c r="AI339" s="49"/>
    </row>
    <row r="340" spans="1:35" ht="33.75" customHeight="1">
      <c r="A340" s="187">
        <v>28489112</v>
      </c>
      <c r="B340" s="43"/>
      <c r="C340" s="148">
        <v>45308</v>
      </c>
      <c r="D340" s="37" t="s">
        <v>2128</v>
      </c>
      <c r="E340" s="37" t="s">
        <v>2129</v>
      </c>
      <c r="F340" s="45" t="s">
        <v>2130</v>
      </c>
      <c r="G340" s="15">
        <v>50000</v>
      </c>
      <c r="H340" s="43"/>
      <c r="I340" s="43" t="s">
        <v>602</v>
      </c>
      <c r="J340" s="43" t="s">
        <v>1552</v>
      </c>
      <c r="K340" s="43" t="s">
        <v>2131</v>
      </c>
      <c r="L340" s="151" t="s">
        <v>2132</v>
      </c>
      <c r="M340" s="155" t="s">
        <v>2133</v>
      </c>
      <c r="N340" s="144">
        <f>16+0.57</f>
        <v>16.57</v>
      </c>
      <c r="O340" s="43" t="s">
        <v>25</v>
      </c>
      <c r="P340" s="47" t="s">
        <v>165</v>
      </c>
      <c r="Q340" s="144">
        <v>16.57</v>
      </c>
      <c r="R340" s="43">
        <v>0</v>
      </c>
      <c r="S340" s="16" t="s">
        <v>20</v>
      </c>
      <c r="T340" s="215">
        <v>0.8</v>
      </c>
      <c r="U340" s="215">
        <v>0.2</v>
      </c>
      <c r="V340" s="215"/>
      <c r="W340" s="485"/>
      <c r="X340" s="215"/>
      <c r="Y340" s="43"/>
      <c r="Z340" s="46"/>
      <c r="AA340" s="43"/>
      <c r="AB340" s="43"/>
      <c r="AC340" s="46">
        <v>0.6</v>
      </c>
      <c r="AD340" s="17"/>
      <c r="AE340" s="48"/>
      <c r="AF340" s="37" t="s">
        <v>2134</v>
      </c>
      <c r="AG340" s="47"/>
      <c r="AH340" s="49">
        <f>Table2[[#This Row],[Prix de vente ($)]]/Table2[[#This Row],[Superficie totale (ha)]]</f>
        <v>3017.5015087507545</v>
      </c>
      <c r="AI340" s="49"/>
    </row>
    <row r="341" spans="1:35" ht="33.75" customHeight="1">
      <c r="A341" s="187">
        <v>28496638</v>
      </c>
      <c r="B341" s="43"/>
      <c r="C341" s="148">
        <v>45313</v>
      </c>
      <c r="D341" s="37" t="s">
        <v>2135</v>
      </c>
      <c r="E341" s="37" t="s">
        <v>2136</v>
      </c>
      <c r="F341" s="45">
        <v>6596780</v>
      </c>
      <c r="G341" s="15">
        <v>400000</v>
      </c>
      <c r="H341" s="43"/>
      <c r="I341" s="43" t="s">
        <v>1366</v>
      </c>
      <c r="J341" s="43" t="s">
        <v>1367</v>
      </c>
      <c r="K341" s="43" t="s">
        <v>2137</v>
      </c>
      <c r="L341" s="151" t="s">
        <v>2138</v>
      </c>
      <c r="M341" s="155" t="s">
        <v>2139</v>
      </c>
      <c r="N341" s="144">
        <v>13.86</v>
      </c>
      <c r="O341" s="43" t="s">
        <v>18</v>
      </c>
      <c r="P341" s="47" t="s">
        <v>35</v>
      </c>
      <c r="Q341" s="144">
        <v>8.9</v>
      </c>
      <c r="R341" s="43">
        <v>3.9</v>
      </c>
      <c r="S341" s="16" t="s">
        <v>20</v>
      </c>
      <c r="T341" s="215">
        <v>0.95</v>
      </c>
      <c r="U341" s="215">
        <v>0.05</v>
      </c>
      <c r="V341" s="215"/>
      <c r="W341" s="485"/>
      <c r="X341" s="215"/>
      <c r="Y341" s="43"/>
      <c r="Z341" s="46"/>
      <c r="AA341" s="43"/>
      <c r="AB341" s="43"/>
      <c r="AC341" s="46">
        <v>8.9</v>
      </c>
      <c r="AD341" s="17"/>
      <c r="AE341" s="48"/>
      <c r="AF341" s="37" t="s">
        <v>2140</v>
      </c>
      <c r="AG341" s="47"/>
      <c r="AH341" s="49">
        <f>Table2[[#This Row],[Prix de vente ($)]]/Table2[[#This Row],[Superficie totale (ha)]]</f>
        <v>28860.028860028862</v>
      </c>
      <c r="AI341" s="43"/>
    </row>
    <row r="342" spans="1:35" ht="33.75" customHeight="1">
      <c r="A342" s="196">
        <v>28498799</v>
      </c>
      <c r="C342" s="318">
        <v>45314</v>
      </c>
      <c r="D342" s="20" t="s">
        <v>2141</v>
      </c>
      <c r="E342" t="s">
        <v>2142</v>
      </c>
      <c r="F342" t="s">
        <v>2143</v>
      </c>
      <c r="G342" s="134">
        <v>8000</v>
      </c>
      <c r="I342" t="s">
        <v>1516</v>
      </c>
      <c r="J342" t="s">
        <v>1517</v>
      </c>
      <c r="K342" t="s">
        <v>2144</v>
      </c>
      <c r="L342" s="205">
        <v>45.800257000000002</v>
      </c>
      <c r="M342" s="205">
        <v>-74.222297999999995</v>
      </c>
      <c r="N342" s="211">
        <v>17.010000000000002</v>
      </c>
      <c r="O342" t="s">
        <v>25</v>
      </c>
      <c r="P342" t="s">
        <v>384</v>
      </c>
      <c r="Q342" s="199">
        <f>17.01-7.2</f>
        <v>9.8100000000000023</v>
      </c>
      <c r="S342" s="94" t="s">
        <v>20</v>
      </c>
      <c r="T342" s="222">
        <v>0.8</v>
      </c>
      <c r="U342" s="222">
        <v>0.2</v>
      </c>
      <c r="V342" s="222">
        <v>0.85</v>
      </c>
      <c r="AF342" s="20" t="s">
        <v>2145</v>
      </c>
      <c r="AH342" s="49">
        <f>Table2[[#This Row],[Prix de vente ($)]]/Table2[[#This Row],[Superficie totale (ha)]]</f>
        <v>470.31158142269248</v>
      </c>
    </row>
    <row r="343" spans="1:35" ht="33.75" customHeight="1">
      <c r="A343" s="196">
        <v>28498784</v>
      </c>
      <c r="C343" s="318">
        <v>45314</v>
      </c>
      <c r="D343" t="s">
        <v>2146</v>
      </c>
      <c r="E343" t="s">
        <v>2147</v>
      </c>
      <c r="F343" s="269">
        <v>5842644</v>
      </c>
      <c r="G343" s="134">
        <v>128000</v>
      </c>
      <c r="I343" t="s">
        <v>1352</v>
      </c>
      <c r="J343" t="s">
        <v>2148</v>
      </c>
      <c r="K343" t="s">
        <v>2149</v>
      </c>
      <c r="L343" s="205" t="s">
        <v>2150</v>
      </c>
      <c r="M343" s="270" t="s">
        <v>2151</v>
      </c>
      <c r="N343" s="211">
        <v>43.71</v>
      </c>
      <c r="O343" t="s">
        <v>25</v>
      </c>
      <c r="P343" t="s">
        <v>173</v>
      </c>
      <c r="Q343" s="211">
        <f>Table2[[#This Row],[Superficie totale (ha)]]</f>
        <v>43.71</v>
      </c>
      <c r="S343" s="94" t="s">
        <v>20</v>
      </c>
      <c r="T343" s="222">
        <v>0.9</v>
      </c>
      <c r="U343" s="222">
        <v>0.1</v>
      </c>
      <c r="V343" s="222" t="s">
        <v>599</v>
      </c>
      <c r="AC343" s="63">
        <v>17</v>
      </c>
      <c r="AF343" t="s">
        <v>2152</v>
      </c>
      <c r="AH343" s="49">
        <f>Table2[[#This Row],[Prix de vente ($)]]/Table2[[#This Row],[Superficie totale (ha)]]</f>
        <v>2928.3916723861817</v>
      </c>
    </row>
    <row r="344" spans="1:35" ht="33.75" customHeight="1">
      <c r="A344" s="196" t="s">
        <v>2153</v>
      </c>
      <c r="C344" s="318">
        <v>45314</v>
      </c>
      <c r="D344" t="s">
        <v>2154</v>
      </c>
      <c r="E344" t="s">
        <v>2155</v>
      </c>
      <c r="F344" t="s">
        <v>2156</v>
      </c>
      <c r="G344" s="93">
        <v>425000</v>
      </c>
      <c r="I344" t="s">
        <v>2157</v>
      </c>
      <c r="J344" t="s">
        <v>2158</v>
      </c>
      <c r="K344" t="s">
        <v>2159</v>
      </c>
      <c r="L344" s="205">
        <v>45.111561000000002</v>
      </c>
      <c r="M344" s="270" t="s">
        <v>2160</v>
      </c>
      <c r="N344" s="211">
        <f>17.27+19.5</f>
        <v>36.769999999999996</v>
      </c>
      <c r="O344" t="s">
        <v>18</v>
      </c>
      <c r="P344" t="s">
        <v>26</v>
      </c>
      <c r="S344" s="94" t="s">
        <v>20</v>
      </c>
      <c r="T344" s="222">
        <v>0.85</v>
      </c>
      <c r="U344" s="222">
        <v>0.15</v>
      </c>
      <c r="V344" s="222">
        <v>0.85</v>
      </c>
      <c r="AC344" s="63">
        <v>20.6</v>
      </c>
      <c r="AH344" s="49">
        <f>Table2[[#This Row],[Prix de vente ($)]]/Table2[[#This Row],[Superficie totale (ha)]]</f>
        <v>11558.335599673648</v>
      </c>
    </row>
    <row r="345" spans="1:35" ht="33.75" customHeight="1">
      <c r="A345" s="196">
        <v>28503835</v>
      </c>
      <c r="C345" s="318">
        <v>45316</v>
      </c>
      <c r="D345" t="s">
        <v>2161</v>
      </c>
      <c r="E345" t="s">
        <v>2162</v>
      </c>
      <c r="F345" s="269">
        <v>4616801</v>
      </c>
      <c r="G345" s="93">
        <v>50000</v>
      </c>
      <c r="I345" s="139" t="s">
        <v>2163</v>
      </c>
      <c r="J345" t="s">
        <v>2164</v>
      </c>
      <c r="K345" t="s">
        <v>2164</v>
      </c>
      <c r="L345" s="205" t="s">
        <v>2165</v>
      </c>
      <c r="M345" s="270" t="s">
        <v>2166</v>
      </c>
      <c r="N345" s="211">
        <v>19.5</v>
      </c>
      <c r="O345" t="s">
        <v>18</v>
      </c>
      <c r="P345" t="s">
        <v>63</v>
      </c>
      <c r="S345" s="94" t="s">
        <v>20</v>
      </c>
      <c r="T345" s="222">
        <v>0.8</v>
      </c>
      <c r="U345" s="222">
        <v>0.2</v>
      </c>
      <c r="V345" s="222">
        <v>0.85</v>
      </c>
      <c r="AF345" t="s">
        <v>2167</v>
      </c>
      <c r="AH345" s="49">
        <f>Table2[[#This Row],[Prix de vente ($)]]/Table2[[#This Row],[Superficie totale (ha)]]</f>
        <v>2564.102564102564</v>
      </c>
    </row>
    <row r="346" spans="1:35" ht="33.75" customHeight="1">
      <c r="A346" s="307" t="s">
        <v>2168</v>
      </c>
      <c r="B346" s="293"/>
      <c r="C346" s="413">
        <v>45316</v>
      </c>
      <c r="D346" s="293" t="s">
        <v>2169</v>
      </c>
      <c r="E346" s="293" t="s">
        <v>2170</v>
      </c>
      <c r="F346" s="293" t="s">
        <v>2171</v>
      </c>
      <c r="G346" s="414">
        <v>2350000</v>
      </c>
      <c r="H346" s="293"/>
      <c r="I346" s="293" t="s">
        <v>2172</v>
      </c>
      <c r="J346" s="293" t="s">
        <v>2173</v>
      </c>
      <c r="K346" s="293" t="s">
        <v>2174</v>
      </c>
      <c r="L346" s="415">
        <v>48.636760000000002</v>
      </c>
      <c r="M346" s="420" t="s">
        <v>2175</v>
      </c>
      <c r="N346" s="411">
        <f>67.53+42.18+42.13+42.08</f>
        <v>193.92000000000002</v>
      </c>
      <c r="O346" s="293" t="s">
        <v>2176</v>
      </c>
      <c r="P346" s="293" t="s">
        <v>2177</v>
      </c>
      <c r="Q346" s="416"/>
      <c r="R346" s="293"/>
      <c r="S346" s="421" t="s">
        <v>33</v>
      </c>
      <c r="T346" s="417">
        <v>0.25</v>
      </c>
      <c r="U346" s="417">
        <v>0.75</v>
      </c>
      <c r="V346" s="417">
        <v>0.9</v>
      </c>
      <c r="W346" s="492"/>
      <c r="X346" s="417"/>
      <c r="Y346" s="293" t="s">
        <v>2178</v>
      </c>
      <c r="Z346" s="412"/>
      <c r="AA346" s="293"/>
      <c r="AB346" s="293" t="s">
        <v>2179</v>
      </c>
      <c r="AC346" s="412">
        <v>38.5</v>
      </c>
      <c r="AD346" s="418"/>
      <c r="AE346" s="412" t="s">
        <v>2180</v>
      </c>
      <c r="AF346" s="293"/>
      <c r="AG346" s="293"/>
      <c r="AH346" s="419"/>
      <c r="AI346" s="293"/>
    </row>
    <row r="347" spans="1:35" ht="33.75" customHeight="1">
      <c r="A347" s="196">
        <v>28511097</v>
      </c>
      <c r="C347" s="318">
        <v>45321</v>
      </c>
      <c r="D347" t="s">
        <v>2181</v>
      </c>
      <c r="E347" t="s">
        <v>2182</v>
      </c>
      <c r="F347" s="269">
        <v>1815160</v>
      </c>
      <c r="G347" s="93">
        <v>187600</v>
      </c>
      <c r="I347" t="s">
        <v>37</v>
      </c>
      <c r="J347" t="s">
        <v>2046</v>
      </c>
      <c r="L347" s="205" t="s">
        <v>2183</v>
      </c>
      <c r="M347" s="270" t="s">
        <v>2184</v>
      </c>
      <c r="N347" s="211">
        <v>6.71</v>
      </c>
      <c r="O347" t="s">
        <v>18</v>
      </c>
      <c r="P347" t="s">
        <v>206</v>
      </c>
      <c r="S347" s="94" t="s">
        <v>20</v>
      </c>
      <c r="T347" s="222">
        <v>0.7</v>
      </c>
      <c r="U347" s="222">
        <v>0.3</v>
      </c>
      <c r="V347" s="222" t="s">
        <v>243</v>
      </c>
      <c r="AC347" s="63">
        <v>4.0999999999999996</v>
      </c>
      <c r="AF347" t="s">
        <v>2185</v>
      </c>
      <c r="AH347" s="49">
        <f>Table2[[#This Row],[Prix de vente ($)]]/Table2[[#This Row],[Superficie totale (ha)]]</f>
        <v>27958.271236959761</v>
      </c>
    </row>
    <row r="348" spans="1:35" ht="33.75" customHeight="1">
      <c r="A348" s="187">
        <v>28511818</v>
      </c>
      <c r="B348" s="43"/>
      <c r="C348" s="148">
        <v>45321</v>
      </c>
      <c r="D348" s="37" t="s">
        <v>2186</v>
      </c>
      <c r="E348" s="37" t="s">
        <v>2187</v>
      </c>
      <c r="F348" s="45">
        <v>5660090</v>
      </c>
      <c r="G348" s="15">
        <v>40000</v>
      </c>
      <c r="H348" s="43"/>
      <c r="I348" s="43" t="s">
        <v>160</v>
      </c>
      <c r="J348" s="43" t="s">
        <v>1560</v>
      </c>
      <c r="K348" s="43" t="s">
        <v>2188</v>
      </c>
      <c r="L348" s="151" t="s">
        <v>2189</v>
      </c>
      <c r="M348" s="151" t="s">
        <v>2190</v>
      </c>
      <c r="N348" s="144">
        <v>22.56</v>
      </c>
      <c r="O348" s="43" t="s">
        <v>18</v>
      </c>
      <c r="P348" s="47" t="s">
        <v>165</v>
      </c>
      <c r="Q348" s="144">
        <v>22.56</v>
      </c>
      <c r="R348" s="43">
        <v>0</v>
      </c>
      <c r="S348" s="16" t="s">
        <v>102</v>
      </c>
      <c r="T348" s="215">
        <v>0.2</v>
      </c>
      <c r="U348" s="215">
        <v>0.8</v>
      </c>
      <c r="V348" s="215"/>
      <c r="W348" s="485"/>
      <c r="X348" s="215"/>
      <c r="Y348" s="43"/>
      <c r="Z348" s="46"/>
      <c r="AA348" s="43"/>
      <c r="AB348" s="43"/>
      <c r="AC348" s="46">
        <v>1.7</v>
      </c>
      <c r="AD348" s="17"/>
      <c r="AE348" s="48"/>
      <c r="AF348" s="37" t="s">
        <v>126</v>
      </c>
      <c r="AG348" s="47"/>
      <c r="AH348" s="49">
        <f>Table2[[#This Row],[Prix de vente ($)]]/Table2[[#This Row],[Superficie totale (ha)]]</f>
        <v>1773.049645390071</v>
      </c>
      <c r="AI348" s="49"/>
    </row>
    <row r="349" spans="1:35" ht="33.75" customHeight="1">
      <c r="A349" s="196" t="s">
        <v>2191</v>
      </c>
      <c r="C349" s="318">
        <v>45321</v>
      </c>
      <c r="D349" t="s">
        <v>2192</v>
      </c>
      <c r="E349" t="s">
        <v>2193</v>
      </c>
      <c r="F349" t="s">
        <v>2194</v>
      </c>
      <c r="G349" s="93">
        <v>500000</v>
      </c>
      <c r="I349" t="s">
        <v>2195</v>
      </c>
      <c r="J349" t="s">
        <v>2195</v>
      </c>
      <c r="K349" t="s">
        <v>2196</v>
      </c>
      <c r="L349" s="205">
        <v>45.410665999999999</v>
      </c>
      <c r="M349" s="270" t="s">
        <v>2197</v>
      </c>
      <c r="N349" s="211" t="s">
        <v>2198</v>
      </c>
      <c r="O349" t="s">
        <v>36</v>
      </c>
      <c r="P349" t="s">
        <v>206</v>
      </c>
      <c r="Y349" t="s">
        <v>2199</v>
      </c>
      <c r="Z349" s="63" t="s">
        <v>2200</v>
      </c>
      <c r="AF349" t="s">
        <v>2201</v>
      </c>
      <c r="AG349" t="s">
        <v>2202</v>
      </c>
      <c r="AH349" s="49">
        <f>Table2[[#This Row],[Prix de vente ($)]]/Table2[[#This Row],[Superficie totale (ha)]]</f>
        <v>16041.065126724414</v>
      </c>
    </row>
    <row r="350" spans="1:35" ht="33.75" customHeight="1">
      <c r="A350" s="187">
        <v>28564373</v>
      </c>
      <c r="B350" s="43"/>
      <c r="C350" s="148">
        <v>45322</v>
      </c>
      <c r="D350" s="37" t="s">
        <v>2203</v>
      </c>
      <c r="E350" s="37" t="s">
        <v>2204</v>
      </c>
      <c r="F350" s="45" t="s">
        <v>2205</v>
      </c>
      <c r="G350" s="15">
        <v>180000</v>
      </c>
      <c r="H350" s="43"/>
      <c r="I350" s="43" t="s">
        <v>16</v>
      </c>
      <c r="J350" s="43" t="s">
        <v>2206</v>
      </c>
      <c r="K350" s="43" t="s">
        <v>2207</v>
      </c>
      <c r="L350" s="151" t="s">
        <v>2208</v>
      </c>
      <c r="M350" s="155" t="s">
        <v>2209</v>
      </c>
      <c r="N350" s="144">
        <v>32.24</v>
      </c>
      <c r="O350" s="43" t="s">
        <v>18</v>
      </c>
      <c r="P350" s="47" t="s">
        <v>165</v>
      </c>
      <c r="Q350" s="144">
        <v>32.24</v>
      </c>
      <c r="R350" s="43">
        <v>0</v>
      </c>
      <c r="S350" s="16" t="s">
        <v>102</v>
      </c>
      <c r="T350" s="215">
        <v>0.4</v>
      </c>
      <c r="U350" s="215">
        <v>0.6</v>
      </c>
      <c r="V350" s="215"/>
      <c r="W350" s="485"/>
      <c r="X350" s="215"/>
      <c r="Y350" s="43"/>
      <c r="Z350" s="46"/>
      <c r="AA350" s="43"/>
      <c r="AB350" s="43"/>
      <c r="AC350" s="46">
        <v>2.5</v>
      </c>
      <c r="AD350" s="17"/>
      <c r="AE350" s="48"/>
      <c r="AF350" s="37" t="s">
        <v>1444</v>
      </c>
      <c r="AG350" s="47"/>
      <c r="AH350" s="49">
        <f>Table2[[#This Row],[Prix de vente ($)]]/Table2[[#This Row],[Superficie totale (ha)]]</f>
        <v>5583.1265508684864</v>
      </c>
      <c r="AI350" s="49"/>
    </row>
    <row r="351" spans="1:35" ht="33.75" customHeight="1">
      <c r="A351" s="196">
        <v>28513445</v>
      </c>
      <c r="C351" s="318">
        <v>45322</v>
      </c>
      <c r="D351" t="s">
        <v>2210</v>
      </c>
      <c r="E351" t="s">
        <v>2211</v>
      </c>
      <c r="F351" s="20" t="s">
        <v>2212</v>
      </c>
      <c r="G351" s="134">
        <v>150000</v>
      </c>
      <c r="I351" t="s">
        <v>1352</v>
      </c>
      <c r="J351" t="s">
        <v>2213</v>
      </c>
      <c r="K351" t="s">
        <v>2214</v>
      </c>
      <c r="L351" s="205" t="s">
        <v>2215</v>
      </c>
      <c r="M351" s="270" t="s">
        <v>2216</v>
      </c>
      <c r="N351" s="211">
        <f>39.38+0.79+0.17+39.77+4.92+0.06</f>
        <v>85.090000000000018</v>
      </c>
      <c r="O351" t="s">
        <v>25</v>
      </c>
      <c r="P351" t="s">
        <v>19</v>
      </c>
      <c r="Q351" s="211">
        <f>Table2[[#This Row],[Superficie totale (ha)]]</f>
        <v>85.090000000000018</v>
      </c>
      <c r="S351" s="94" t="s">
        <v>310</v>
      </c>
      <c r="T351" s="222">
        <v>0.2</v>
      </c>
      <c r="U351" s="222">
        <v>0.8</v>
      </c>
      <c r="V351" s="222" t="s">
        <v>362</v>
      </c>
      <c r="AC351" s="63">
        <v>0</v>
      </c>
      <c r="AF351" t="s">
        <v>2217</v>
      </c>
      <c r="AH351" s="49">
        <f>Table2[[#This Row],[Prix de vente ($)]]/Table2[[#This Row],[Superficie totale (ha)]]</f>
        <v>1762.8393465742151</v>
      </c>
    </row>
    <row r="352" spans="1:35" ht="33.75" customHeight="1">
      <c r="A352" s="196">
        <v>28524935</v>
      </c>
      <c r="C352" s="318">
        <v>45329</v>
      </c>
      <c r="D352" s="249" t="s">
        <v>2218</v>
      </c>
      <c r="E352" s="250" t="s">
        <v>2219</v>
      </c>
      <c r="F352" s="249" t="s">
        <v>2220</v>
      </c>
      <c r="G352" s="134">
        <v>272000</v>
      </c>
      <c r="I352" s="43" t="s">
        <v>909</v>
      </c>
      <c r="J352" t="s">
        <v>910</v>
      </c>
      <c r="K352" s="249" t="s">
        <v>2221</v>
      </c>
      <c r="L352" s="205">
        <v>46.848334000000001</v>
      </c>
      <c r="M352" s="205">
        <v>-71.578400000000002</v>
      </c>
      <c r="N352" s="211">
        <v>3.06</v>
      </c>
      <c r="O352" t="s">
        <v>25</v>
      </c>
      <c r="P352" t="s">
        <v>19</v>
      </c>
      <c r="Q352" s="199">
        <v>3.06</v>
      </c>
      <c r="S352" s="94" t="s">
        <v>310</v>
      </c>
      <c r="T352" s="222">
        <v>0.3</v>
      </c>
      <c r="U352" s="222">
        <v>0.7</v>
      </c>
      <c r="V352" s="222">
        <v>0.7</v>
      </c>
      <c r="AF352" t="s">
        <v>2222</v>
      </c>
      <c r="AH352" s="49">
        <f>Table2[[#This Row],[Prix de vente ($)]]/Table2[[#This Row],[Superficie totale (ha)]]</f>
        <v>88888.888888888891</v>
      </c>
    </row>
    <row r="353" spans="1:35" ht="33.75" customHeight="1">
      <c r="A353" s="187">
        <v>28525633</v>
      </c>
      <c r="B353" s="43"/>
      <c r="C353" s="148">
        <v>45330</v>
      </c>
      <c r="D353" s="37" t="s">
        <v>2223</v>
      </c>
      <c r="E353" s="37" t="s">
        <v>2224</v>
      </c>
      <c r="F353" s="45">
        <v>5465980</v>
      </c>
      <c r="G353" s="15">
        <v>25000</v>
      </c>
      <c r="H353" s="43"/>
      <c r="I353" s="43" t="s">
        <v>476</v>
      </c>
      <c r="J353" s="43" t="s">
        <v>2225</v>
      </c>
      <c r="K353" s="43" t="s">
        <v>2226</v>
      </c>
      <c r="L353" s="151" t="s">
        <v>2227</v>
      </c>
      <c r="M353" s="155" t="s">
        <v>2228</v>
      </c>
      <c r="N353" s="144">
        <v>5.12</v>
      </c>
      <c r="O353" s="43" t="s">
        <v>18</v>
      </c>
      <c r="P353" s="47" t="s">
        <v>35</v>
      </c>
      <c r="Q353" s="144">
        <v>5.12</v>
      </c>
      <c r="R353" s="43">
        <v>0</v>
      </c>
      <c r="S353" s="16" t="s">
        <v>175</v>
      </c>
      <c r="T353" s="215">
        <v>0.5</v>
      </c>
      <c r="U353" s="215">
        <v>0.5</v>
      </c>
      <c r="V353" s="215"/>
      <c r="W353" s="485"/>
      <c r="X353" s="215"/>
      <c r="Y353" s="43"/>
      <c r="Z353" s="46"/>
      <c r="AA353" s="43"/>
      <c r="AB353" s="43"/>
      <c r="AC353" s="78">
        <v>1.2</v>
      </c>
      <c r="AD353" s="17"/>
      <c r="AE353" s="48"/>
      <c r="AF353" s="37"/>
      <c r="AG353" s="47"/>
      <c r="AH353" s="49">
        <f>Table2[[#This Row],[Prix de vente ($)]]/Table2[[#This Row],[Superficie totale (ha)]]</f>
        <v>4882.8125</v>
      </c>
      <c r="AI353" s="49"/>
    </row>
    <row r="354" spans="1:35" ht="33.75" customHeight="1">
      <c r="A354" s="196" t="s">
        <v>2229</v>
      </c>
      <c r="C354" s="318">
        <v>45331</v>
      </c>
      <c r="F354" t="s">
        <v>2230</v>
      </c>
      <c r="G354" s="93">
        <v>325000</v>
      </c>
      <c r="I354" t="s">
        <v>515</v>
      </c>
      <c r="AH354" s="49" t="e">
        <f>Table2[[#This Row],[Prix de vente ($)]]/Table2[[#This Row],[Superficie totale (ha)]]</f>
        <v>#DIV/0!</v>
      </c>
    </row>
    <row r="355" spans="1:35" ht="33.75" customHeight="1">
      <c r="A355" s="187">
        <v>28538798</v>
      </c>
      <c r="B355" s="43"/>
      <c r="C355" s="148">
        <v>45332</v>
      </c>
      <c r="D355" s="37" t="s">
        <v>2231</v>
      </c>
      <c r="E355" s="37" t="s">
        <v>2232</v>
      </c>
      <c r="F355" s="45">
        <v>3587506</v>
      </c>
      <c r="G355" s="15">
        <v>110000</v>
      </c>
      <c r="H355" s="43"/>
      <c r="I355" s="43" t="s">
        <v>16</v>
      </c>
      <c r="J355" s="43" t="s">
        <v>2233</v>
      </c>
      <c r="K355" s="43" t="s">
        <v>2234</v>
      </c>
      <c r="L355" s="151" t="s">
        <v>2235</v>
      </c>
      <c r="M355" s="155" t="s">
        <v>2236</v>
      </c>
      <c r="N355" s="144">
        <v>5.19</v>
      </c>
      <c r="O355" s="43" t="s">
        <v>18</v>
      </c>
      <c r="P355" s="47" t="s">
        <v>165</v>
      </c>
      <c r="Q355" s="144">
        <v>5.19</v>
      </c>
      <c r="R355" s="43">
        <v>0</v>
      </c>
      <c r="S355" s="16" t="s">
        <v>20</v>
      </c>
      <c r="T355" s="215">
        <v>0.75</v>
      </c>
      <c r="U355" s="215">
        <v>0.25</v>
      </c>
      <c r="V355" s="215">
        <v>0.75</v>
      </c>
      <c r="W355" s="485"/>
      <c r="X355" s="215"/>
      <c r="Y355" s="43"/>
      <c r="Z355" s="46"/>
      <c r="AA355" s="43"/>
      <c r="AB355" s="43"/>
      <c r="AC355" s="46">
        <v>3.5</v>
      </c>
      <c r="AD355" s="17"/>
      <c r="AE355" s="48"/>
      <c r="AF355" s="37" t="s">
        <v>2237</v>
      </c>
      <c r="AG355" s="47"/>
      <c r="AH355" s="49">
        <f>Table2[[#This Row],[Prix de vente ($)]]/Table2[[#This Row],[Superficie totale (ha)]]</f>
        <v>21194.60500963391</v>
      </c>
      <c r="AI355" s="49"/>
    </row>
    <row r="356" spans="1:35" ht="33.75" customHeight="1">
      <c r="A356" s="196">
        <v>28537553</v>
      </c>
      <c r="C356" s="318">
        <v>45337</v>
      </c>
      <c r="D356" t="s">
        <v>2238</v>
      </c>
      <c r="E356" t="s">
        <v>2239</v>
      </c>
      <c r="F356" t="s">
        <v>2240</v>
      </c>
      <c r="G356" s="134">
        <v>210000</v>
      </c>
      <c r="I356" t="s">
        <v>1516</v>
      </c>
      <c r="J356" t="s">
        <v>1517</v>
      </c>
      <c r="K356" t="s">
        <v>2241</v>
      </c>
      <c r="L356" s="205">
        <v>45.766247</v>
      </c>
      <c r="M356" s="205">
        <v>-74.255131000000006</v>
      </c>
      <c r="N356" s="211">
        <v>11.34</v>
      </c>
      <c r="O356" t="s">
        <v>25</v>
      </c>
      <c r="P356" t="s">
        <v>173</v>
      </c>
      <c r="Q356" s="199">
        <v>11.34</v>
      </c>
      <c r="S356" s="94" t="s">
        <v>20</v>
      </c>
      <c r="T356" s="222">
        <v>0.75</v>
      </c>
      <c r="U356" s="222">
        <v>0.25</v>
      </c>
      <c r="V356" s="222">
        <v>0.65</v>
      </c>
      <c r="AF356" t="s">
        <v>2242</v>
      </c>
      <c r="AH356" s="49">
        <f>Table2[[#This Row],[Prix de vente ($)]]/Table2[[#This Row],[Superficie totale (ha)]]</f>
        <v>18518.518518518518</v>
      </c>
    </row>
    <row r="357" spans="1:35" ht="33.75" customHeight="1">
      <c r="A357" s="196">
        <v>28537508</v>
      </c>
      <c r="C357" s="318">
        <v>45337</v>
      </c>
      <c r="D357" t="s">
        <v>2243</v>
      </c>
      <c r="E357" t="s">
        <v>2244</v>
      </c>
      <c r="F357" s="269">
        <v>5252535</v>
      </c>
      <c r="G357" s="134">
        <v>20000</v>
      </c>
      <c r="I357" t="s">
        <v>2245</v>
      </c>
      <c r="J357" t="s">
        <v>2246</v>
      </c>
      <c r="K357" t="s">
        <v>2247</v>
      </c>
      <c r="L357" s="205" t="s">
        <v>2248</v>
      </c>
      <c r="M357" s="270" t="s">
        <v>2249</v>
      </c>
      <c r="N357" s="211">
        <v>21.16</v>
      </c>
      <c r="O357" t="s">
        <v>25</v>
      </c>
      <c r="P357" t="s">
        <v>1179</v>
      </c>
      <c r="Q357" s="211">
        <f>Table2[[#This Row],[Superficie totale (ha)]]</f>
        <v>21.16</v>
      </c>
      <c r="S357" s="16" t="s">
        <v>33</v>
      </c>
      <c r="T357" s="222">
        <v>0.4</v>
      </c>
      <c r="U357" s="222">
        <v>0.6</v>
      </c>
      <c r="V357" s="222" t="s">
        <v>1214</v>
      </c>
      <c r="AF357" t="s">
        <v>1870</v>
      </c>
      <c r="AH357" s="49">
        <f>Table2[[#This Row],[Prix de vente ($)]]/Table2[[#This Row],[Superficie totale (ha)]]</f>
        <v>945.17958412098301</v>
      </c>
    </row>
    <row r="358" spans="1:35" ht="33.75" customHeight="1">
      <c r="A358" s="187">
        <v>28538977</v>
      </c>
      <c r="B358" s="43"/>
      <c r="C358" s="148">
        <v>45338</v>
      </c>
      <c r="D358" s="37" t="s">
        <v>2250</v>
      </c>
      <c r="E358" s="37" t="s">
        <v>2251</v>
      </c>
      <c r="F358" s="45">
        <v>1827665</v>
      </c>
      <c r="G358" s="15">
        <v>34000</v>
      </c>
      <c r="H358" s="43"/>
      <c r="I358" s="43" t="s">
        <v>97</v>
      </c>
      <c r="J358" s="43" t="s">
        <v>98</v>
      </c>
      <c r="K358" s="50" t="s">
        <v>873</v>
      </c>
      <c r="L358" s="151" t="s">
        <v>2252</v>
      </c>
      <c r="M358" s="155" t="s">
        <v>2253</v>
      </c>
      <c r="N358" s="144">
        <v>4.12</v>
      </c>
      <c r="O358" s="43" t="s">
        <v>25</v>
      </c>
      <c r="P358" s="47" t="s">
        <v>19</v>
      </c>
      <c r="Q358" s="144">
        <v>4.12</v>
      </c>
      <c r="R358" s="43">
        <v>0</v>
      </c>
      <c r="S358" s="16" t="s">
        <v>20</v>
      </c>
      <c r="T358" s="215">
        <v>0.85</v>
      </c>
      <c r="U358" s="215">
        <v>0.25</v>
      </c>
      <c r="V358" s="215"/>
      <c r="W358" s="485"/>
      <c r="X358" s="215"/>
      <c r="Y358" s="43"/>
      <c r="Z358" s="46"/>
      <c r="AA358" s="43"/>
      <c r="AB358" s="43"/>
      <c r="AC358" s="46">
        <v>0</v>
      </c>
      <c r="AD358" s="17"/>
      <c r="AE358" s="48"/>
      <c r="AF358" s="37"/>
      <c r="AG358" s="47"/>
      <c r="AH358" s="49">
        <f>Table2[[#This Row],[Prix de vente ($)]]/Table2[[#This Row],[Superficie totale (ha)]]</f>
        <v>8252.4271844660198</v>
      </c>
      <c r="AI358" s="49"/>
    </row>
    <row r="359" spans="1:35" ht="33.75" customHeight="1">
      <c r="A359" s="187">
        <v>28539441</v>
      </c>
      <c r="B359" s="43"/>
      <c r="C359" s="148">
        <v>45338</v>
      </c>
      <c r="D359" s="37" t="s">
        <v>2254</v>
      </c>
      <c r="E359" s="37" t="s">
        <v>2255</v>
      </c>
      <c r="F359" s="45">
        <v>5394783</v>
      </c>
      <c r="G359" s="15">
        <v>20000</v>
      </c>
      <c r="H359" s="43"/>
      <c r="I359" s="43" t="s">
        <v>75</v>
      </c>
      <c r="J359" s="43" t="s">
        <v>2256</v>
      </c>
      <c r="K359" s="43" t="s">
        <v>2257</v>
      </c>
      <c r="L359" s="151" t="s">
        <v>2258</v>
      </c>
      <c r="M359" s="155" t="s">
        <v>2259</v>
      </c>
      <c r="N359" s="144">
        <v>8.2899999999999991</v>
      </c>
      <c r="O359" s="43" t="s">
        <v>18</v>
      </c>
      <c r="P359" s="47" t="s">
        <v>165</v>
      </c>
      <c r="Q359" s="144">
        <v>8.2899999999999991</v>
      </c>
      <c r="R359" s="43">
        <v>0</v>
      </c>
      <c r="S359" s="16" t="s">
        <v>20</v>
      </c>
      <c r="T359" s="215">
        <v>0.8</v>
      </c>
      <c r="U359" s="215">
        <v>0.2</v>
      </c>
      <c r="V359" s="215"/>
      <c r="W359" s="485"/>
      <c r="X359" s="215"/>
      <c r="Y359" s="43"/>
      <c r="Z359" s="46"/>
      <c r="AA359" s="43"/>
      <c r="AB359" s="43"/>
      <c r="AC359" s="46">
        <v>6.2</v>
      </c>
      <c r="AD359" s="17"/>
      <c r="AE359" s="48"/>
      <c r="AF359" s="37" t="s">
        <v>126</v>
      </c>
      <c r="AG359" s="47"/>
      <c r="AH359" s="49">
        <f>Table2[[#This Row],[Prix de vente ($)]]/Table2[[#This Row],[Superficie totale (ha)]]</f>
        <v>2412.5452352231605</v>
      </c>
      <c r="AI359" s="49"/>
    </row>
    <row r="360" spans="1:35" ht="33.75" customHeight="1">
      <c r="A360" s="196" t="s">
        <v>2260</v>
      </c>
      <c r="C360" s="318">
        <v>45341</v>
      </c>
      <c r="D360" t="s">
        <v>2261</v>
      </c>
      <c r="E360" t="s">
        <v>2262</v>
      </c>
      <c r="F360" t="s">
        <v>2263</v>
      </c>
      <c r="G360" s="93">
        <v>14330</v>
      </c>
      <c r="I360" t="s">
        <v>2264</v>
      </c>
      <c r="J360" t="s">
        <v>171</v>
      </c>
      <c r="K360" t="s">
        <v>2265</v>
      </c>
      <c r="L360" s="205">
        <v>49.066935000000001</v>
      </c>
      <c r="M360" s="270" t="s">
        <v>2266</v>
      </c>
      <c r="N360" s="211">
        <v>17.16</v>
      </c>
      <c r="O360" t="s">
        <v>18</v>
      </c>
      <c r="P360" t="s">
        <v>317</v>
      </c>
      <c r="S360" s="94" t="s">
        <v>22</v>
      </c>
      <c r="T360" s="222">
        <v>0.5</v>
      </c>
      <c r="U360" s="222">
        <v>0.5</v>
      </c>
      <c r="V360" s="222">
        <v>0.6</v>
      </c>
      <c r="AF360" t="s">
        <v>2267</v>
      </c>
      <c r="AH360" s="49"/>
    </row>
    <row r="361" spans="1:35" ht="33.75" customHeight="1">
      <c r="A361" s="196">
        <v>28546788</v>
      </c>
      <c r="C361" s="318">
        <v>45343</v>
      </c>
      <c r="D361" t="s">
        <v>2268</v>
      </c>
      <c r="E361" t="s">
        <v>2269</v>
      </c>
      <c r="F361" s="269">
        <v>6512196</v>
      </c>
      <c r="G361" s="134">
        <v>488000</v>
      </c>
      <c r="I361" t="s">
        <v>1352</v>
      </c>
      <c r="J361" t="s">
        <v>1353</v>
      </c>
      <c r="K361" t="s">
        <v>1353</v>
      </c>
      <c r="L361" s="205" t="s">
        <v>2270</v>
      </c>
      <c r="M361" s="270" t="s">
        <v>2271</v>
      </c>
      <c r="N361" s="211">
        <v>166.88</v>
      </c>
      <c r="O361" t="s">
        <v>25</v>
      </c>
      <c r="P361" t="s">
        <v>173</v>
      </c>
      <c r="Q361" s="211">
        <f>Table2[[#This Row],[Superficie totale (ha)]]</f>
        <v>166.88</v>
      </c>
      <c r="S361" s="181" t="s">
        <v>20</v>
      </c>
      <c r="T361" s="222">
        <v>0.7</v>
      </c>
      <c r="U361" s="222">
        <v>0.3</v>
      </c>
      <c r="V361" s="222" t="s">
        <v>362</v>
      </c>
      <c r="AC361" s="63">
        <f>29+7.3+31.5</f>
        <v>67.8</v>
      </c>
      <c r="AF361" t="s">
        <v>2272</v>
      </c>
      <c r="AH361" s="49">
        <f>Table2[[#This Row],[Prix de vente ($)]]/Table2[[#This Row],[Superficie totale (ha)]]</f>
        <v>2924.2569511025886</v>
      </c>
    </row>
    <row r="362" spans="1:35" ht="33.75" customHeight="1">
      <c r="A362" s="187">
        <v>28555899</v>
      </c>
      <c r="B362" s="43"/>
      <c r="C362" s="148">
        <v>45349</v>
      </c>
      <c r="D362" s="37" t="s">
        <v>2273</v>
      </c>
      <c r="E362" s="37" t="s">
        <v>2274</v>
      </c>
      <c r="F362" s="45">
        <v>4504054</v>
      </c>
      <c r="G362" s="15">
        <v>30000</v>
      </c>
      <c r="H362" s="43"/>
      <c r="I362" s="43" t="s">
        <v>75</v>
      </c>
      <c r="J362" s="43" t="s">
        <v>2275</v>
      </c>
      <c r="K362" s="43" t="s">
        <v>2276</v>
      </c>
      <c r="L362" s="151" t="s">
        <v>2277</v>
      </c>
      <c r="M362" s="155" t="s">
        <v>2278</v>
      </c>
      <c r="N362" s="144">
        <v>10.35</v>
      </c>
      <c r="O362" s="43" t="s">
        <v>18</v>
      </c>
      <c r="P362" s="47" t="s">
        <v>35</v>
      </c>
      <c r="Q362" s="144">
        <v>10.35</v>
      </c>
      <c r="R362" s="43">
        <v>0</v>
      </c>
      <c r="S362" s="16" t="s">
        <v>102</v>
      </c>
      <c r="T362" s="215">
        <v>0.85</v>
      </c>
      <c r="U362" s="215">
        <v>0.15</v>
      </c>
      <c r="V362" s="215"/>
      <c r="W362" s="485"/>
      <c r="X362" s="215"/>
      <c r="Y362" s="43"/>
      <c r="Z362" s="46"/>
      <c r="AA362" s="43"/>
      <c r="AB362" s="43"/>
      <c r="AC362" s="46">
        <v>0</v>
      </c>
      <c r="AD362" s="17"/>
      <c r="AE362" s="48"/>
      <c r="AF362" s="37" t="s">
        <v>2279</v>
      </c>
      <c r="AG362" s="47"/>
      <c r="AH362" s="49">
        <f>Table2[[#This Row],[Prix de vente ($)]]/Table2[[#This Row],[Superficie totale (ha)]]</f>
        <v>2898.5507246376815</v>
      </c>
      <c r="AI362" s="49"/>
    </row>
    <row r="363" spans="1:35" ht="33.75" customHeight="1">
      <c r="A363" s="196">
        <v>28554158</v>
      </c>
      <c r="C363" s="318">
        <v>45349</v>
      </c>
      <c r="D363" s="249" t="s">
        <v>2280</v>
      </c>
      <c r="E363" s="249" t="s">
        <v>2281</v>
      </c>
      <c r="F363" s="249" t="s">
        <v>2282</v>
      </c>
      <c r="G363" s="134">
        <v>70000</v>
      </c>
      <c r="I363" t="s">
        <v>2283</v>
      </c>
      <c r="J363" t="s">
        <v>1567</v>
      </c>
      <c r="L363" s="205">
        <v>46.614154999999997</v>
      </c>
      <c r="M363" s="270" t="s">
        <v>2284</v>
      </c>
      <c r="N363" s="211">
        <v>18.39</v>
      </c>
      <c r="O363" s="43" t="s">
        <v>18</v>
      </c>
      <c r="P363" s="47" t="s">
        <v>35</v>
      </c>
      <c r="Q363" s="211">
        <v>18.39</v>
      </c>
      <c r="R363">
        <v>0</v>
      </c>
      <c r="S363" s="94" t="s">
        <v>2285</v>
      </c>
      <c r="T363" s="222">
        <v>0.5</v>
      </c>
      <c r="U363" s="222">
        <v>0.5</v>
      </c>
      <c r="V363" s="222">
        <v>0.85</v>
      </c>
      <c r="AC363" s="63">
        <v>1.9</v>
      </c>
      <c r="AH363" s="49">
        <f>Table2[[#This Row],[Prix de vente ($)]]/Table2[[#This Row],[Superficie totale (ha)]]</f>
        <v>3806.4165307232192</v>
      </c>
    </row>
    <row r="364" spans="1:35" ht="33.75" customHeight="1">
      <c r="A364" s="196">
        <v>28560432</v>
      </c>
      <c r="C364" s="318">
        <v>45351</v>
      </c>
      <c r="D364" t="s">
        <v>2286</v>
      </c>
      <c r="E364" s="247" t="s">
        <v>2287</v>
      </c>
      <c r="F364" s="247" t="s">
        <v>2288</v>
      </c>
      <c r="G364" s="134">
        <v>130000</v>
      </c>
      <c r="I364" t="s">
        <v>223</v>
      </c>
      <c r="J364" t="s">
        <v>2289</v>
      </c>
      <c r="L364" s="205">
        <v>47.084279000000002</v>
      </c>
      <c r="M364" s="205">
        <v>-70.238934</v>
      </c>
      <c r="N364" s="211">
        <v>13.1</v>
      </c>
      <c r="O364" t="s">
        <v>18</v>
      </c>
      <c r="P364" t="s">
        <v>19</v>
      </c>
      <c r="Q364" s="211">
        <v>13.1</v>
      </c>
      <c r="S364" s="94" t="s">
        <v>62</v>
      </c>
      <c r="T364" s="222">
        <v>0.8</v>
      </c>
      <c r="U364" s="222">
        <v>0.2</v>
      </c>
      <c r="V364" s="222">
        <v>0.8</v>
      </c>
      <c r="AF364" t="s">
        <v>2290</v>
      </c>
      <c r="AH364" s="49">
        <f>Table2[[#This Row],[Prix de vente ($)]]/Table2[[#This Row],[Superficie totale (ha)]]</f>
        <v>9923.6641221374048</v>
      </c>
    </row>
    <row r="365" spans="1:35" ht="33.75" customHeight="1">
      <c r="A365" s="196" t="s">
        <v>2291</v>
      </c>
      <c r="C365" s="318">
        <v>45351</v>
      </c>
      <c r="D365" t="s">
        <v>2292</v>
      </c>
      <c r="E365" t="s">
        <v>2293</v>
      </c>
      <c r="F365" t="s">
        <v>2294</v>
      </c>
      <c r="G365" s="93">
        <v>1060850</v>
      </c>
      <c r="I365" t="s">
        <v>53</v>
      </c>
      <c r="J365" t="s">
        <v>54</v>
      </c>
      <c r="K365" t="s">
        <v>2295</v>
      </c>
      <c r="L365" s="205">
        <v>47.487954000000002</v>
      </c>
      <c r="M365" s="270" t="s">
        <v>2296</v>
      </c>
      <c r="N365" s="211">
        <f>40.96+20.55+4.83+56.06</f>
        <v>122.4</v>
      </c>
      <c r="O365" t="s">
        <v>2176</v>
      </c>
      <c r="P365" t="s">
        <v>2177</v>
      </c>
      <c r="R365">
        <v>3</v>
      </c>
      <c r="S365" s="94" t="s">
        <v>20</v>
      </c>
      <c r="T365" s="222">
        <v>0.7</v>
      </c>
      <c r="U365" s="222">
        <v>0.3</v>
      </c>
      <c r="V365" s="222">
        <v>0.8</v>
      </c>
      <c r="Y365" t="s">
        <v>2297</v>
      </c>
      <c r="AB365" t="s">
        <v>2298</v>
      </c>
      <c r="AC365" s="63">
        <v>73</v>
      </c>
      <c r="AE365" s="63" t="s">
        <v>2299</v>
      </c>
      <c r="AF365" t="s">
        <v>2300</v>
      </c>
      <c r="AH365" s="49"/>
    </row>
    <row r="366" spans="1:35" ht="33.75" customHeight="1">
      <c r="A366" s="196">
        <v>28566866</v>
      </c>
      <c r="C366" s="318">
        <v>45356</v>
      </c>
      <c r="D366" s="265" t="s">
        <v>2301</v>
      </c>
      <c r="E366" s="265" t="s">
        <v>2302</v>
      </c>
      <c r="F366" s="272" t="s">
        <v>2303</v>
      </c>
      <c r="G366" s="134">
        <v>45000</v>
      </c>
      <c r="I366" t="s">
        <v>223</v>
      </c>
      <c r="J366" t="s">
        <v>2304</v>
      </c>
      <c r="K366" s="265" t="s">
        <v>2305</v>
      </c>
      <c r="L366" s="205">
        <v>46.955424000000001</v>
      </c>
      <c r="M366" s="205">
        <v>-69.931573999999998</v>
      </c>
      <c r="N366" s="211">
        <v>10.42</v>
      </c>
      <c r="O366" t="s">
        <v>25</v>
      </c>
      <c r="P366" t="s">
        <v>110</v>
      </c>
      <c r="Q366" s="199">
        <v>10.42</v>
      </c>
      <c r="S366" s="94" t="s">
        <v>102</v>
      </c>
      <c r="T366" s="222">
        <v>0</v>
      </c>
      <c r="U366" s="222">
        <v>1</v>
      </c>
      <c r="V366" s="222">
        <v>0.8</v>
      </c>
      <c r="AF366" t="s">
        <v>2306</v>
      </c>
      <c r="AH366" s="49">
        <f>Table2[[#This Row],[Prix de vente ($)]]/Table2[[#This Row],[Superficie totale (ha)]]</f>
        <v>4318.6180422264879</v>
      </c>
    </row>
    <row r="367" spans="1:35" ht="33.75" customHeight="1">
      <c r="A367" s="196" t="s">
        <v>2307</v>
      </c>
      <c r="C367" s="318">
        <v>45356</v>
      </c>
      <c r="F367" t="s">
        <v>2308</v>
      </c>
      <c r="G367" s="93">
        <f>400000+122000+1515000</f>
        <v>2037000</v>
      </c>
      <c r="I367" t="s">
        <v>50</v>
      </c>
      <c r="N367" s="50">
        <v>53.53</v>
      </c>
      <c r="AC367" s="63">
        <v>0</v>
      </c>
      <c r="AH367" s="49"/>
    </row>
    <row r="368" spans="1:35" ht="33.75" customHeight="1">
      <c r="A368" s="190">
        <v>28604126</v>
      </c>
      <c r="B368" s="43"/>
      <c r="C368" s="148">
        <v>45357</v>
      </c>
      <c r="D368" s="37" t="s">
        <v>2309</v>
      </c>
      <c r="E368" s="37" t="s">
        <v>2310</v>
      </c>
      <c r="F368" s="45" t="s">
        <v>2311</v>
      </c>
      <c r="G368" s="15">
        <v>950000</v>
      </c>
      <c r="H368" s="43"/>
      <c r="I368" s="43" t="s">
        <v>610</v>
      </c>
      <c r="J368" s="43" t="s">
        <v>611</v>
      </c>
      <c r="K368" s="43" t="s">
        <v>2312</v>
      </c>
      <c r="L368" s="155" t="s">
        <v>2313</v>
      </c>
      <c r="M368" s="155" t="s">
        <v>2314</v>
      </c>
      <c r="N368" s="144">
        <f>53.26</f>
        <v>53.26</v>
      </c>
      <c r="O368" s="43" t="s">
        <v>18</v>
      </c>
      <c r="P368" s="47" t="s">
        <v>206</v>
      </c>
      <c r="Q368" s="144">
        <v>29.5</v>
      </c>
      <c r="R368" s="43">
        <f>7.1+13.2</f>
        <v>20.299999999999997</v>
      </c>
      <c r="S368" s="16" t="s">
        <v>20</v>
      </c>
      <c r="T368" s="215">
        <v>1</v>
      </c>
      <c r="U368" s="215">
        <v>0</v>
      </c>
      <c r="V368" s="215" t="s">
        <v>2315</v>
      </c>
      <c r="W368" s="485"/>
      <c r="X368" s="215"/>
      <c r="Y368" s="43"/>
      <c r="Z368" s="46"/>
      <c r="AA368" s="43"/>
      <c r="AB368" s="43"/>
      <c r="AC368" s="46">
        <v>9.4</v>
      </c>
      <c r="AD368" s="17"/>
      <c r="AE368" s="48"/>
      <c r="AF368" s="37"/>
      <c r="AG368" s="47"/>
      <c r="AH368" s="49">
        <f>Table2[[#This Row],[Prix de vente ($)]]/Table2[[#This Row],[Superficie totale (ha)]]</f>
        <v>17837.025910627111</v>
      </c>
      <c r="AI368" s="49"/>
    </row>
    <row r="369" spans="1:35" ht="33.75" customHeight="1">
      <c r="A369" s="187">
        <v>28575548</v>
      </c>
      <c r="B369" s="43"/>
      <c r="C369" s="148">
        <v>45363</v>
      </c>
      <c r="D369" s="37" t="s">
        <v>2316</v>
      </c>
      <c r="E369" s="37" t="s">
        <v>2317</v>
      </c>
      <c r="F369" s="45">
        <v>3506769</v>
      </c>
      <c r="G369" s="15">
        <v>10000</v>
      </c>
      <c r="H369" s="43"/>
      <c r="I369" s="43" t="s">
        <v>654</v>
      </c>
      <c r="J369" s="43" t="s">
        <v>793</v>
      </c>
      <c r="K369" s="43" t="s">
        <v>793</v>
      </c>
      <c r="L369" s="151" t="s">
        <v>2318</v>
      </c>
      <c r="M369" s="155" t="s">
        <v>2319</v>
      </c>
      <c r="N369" s="144">
        <v>4.45</v>
      </c>
      <c r="O369" s="43" t="s">
        <v>18</v>
      </c>
      <c r="P369" s="47" t="s">
        <v>35</v>
      </c>
      <c r="Q369" s="144">
        <v>4.45</v>
      </c>
      <c r="R369" s="43"/>
      <c r="S369" s="16" t="s">
        <v>20</v>
      </c>
      <c r="T369" s="215">
        <v>0.75</v>
      </c>
      <c r="U369" s="215">
        <v>0.25</v>
      </c>
      <c r="V369" s="215"/>
      <c r="W369" s="485"/>
      <c r="X369" s="215"/>
      <c r="Y369" s="43"/>
      <c r="Z369" s="46"/>
      <c r="AA369" s="43"/>
      <c r="AB369" s="43"/>
      <c r="AC369" s="46">
        <v>2</v>
      </c>
      <c r="AD369" s="17"/>
      <c r="AE369" s="48"/>
      <c r="AF369" s="37" t="s">
        <v>2320</v>
      </c>
      <c r="AG369" s="47"/>
      <c r="AH369" s="49">
        <f>Table2[[#This Row],[Prix de vente ($)]]/Table2[[#This Row],[Superficie totale (ha)]]</f>
        <v>2247.1910112359551</v>
      </c>
      <c r="AI369" s="49"/>
    </row>
    <row r="370" spans="1:35" ht="33.75" customHeight="1">
      <c r="A370" s="196">
        <v>28576199</v>
      </c>
      <c r="C370" s="318">
        <v>45363</v>
      </c>
      <c r="D370" t="s">
        <v>2321</v>
      </c>
      <c r="E370" t="s">
        <v>2322</v>
      </c>
      <c r="F370" s="269">
        <v>4370289</v>
      </c>
      <c r="G370" s="93">
        <v>90000</v>
      </c>
      <c r="I370" s="139" t="s">
        <v>2163</v>
      </c>
      <c r="J370" t="s">
        <v>2323</v>
      </c>
      <c r="K370" t="s">
        <v>2324</v>
      </c>
      <c r="L370" s="205" t="s">
        <v>2325</v>
      </c>
      <c r="M370" s="270" t="s">
        <v>2326</v>
      </c>
      <c r="N370" s="211">
        <v>45.14</v>
      </c>
      <c r="O370" t="s">
        <v>18</v>
      </c>
      <c r="P370" t="s">
        <v>317</v>
      </c>
      <c r="S370" s="94" t="s">
        <v>20</v>
      </c>
      <c r="T370" s="222">
        <v>0.7</v>
      </c>
      <c r="U370" s="222">
        <v>0.3</v>
      </c>
      <c r="V370" s="222">
        <v>0.7</v>
      </c>
      <c r="AC370" s="63">
        <v>12.8</v>
      </c>
      <c r="AF370" t="s">
        <v>2327</v>
      </c>
      <c r="AH370" s="49">
        <f>Table2[[#This Row],[Prix de vente ($)]]/Table2[[#This Row],[Superficie totale (ha)]]</f>
        <v>1993.7970757642888</v>
      </c>
    </row>
    <row r="371" spans="1:35" ht="33.75" customHeight="1">
      <c r="A371" s="187">
        <v>28584807</v>
      </c>
      <c r="B371" s="43"/>
      <c r="C371" s="148">
        <v>45369</v>
      </c>
      <c r="D371" s="37" t="s">
        <v>2328</v>
      </c>
      <c r="E371" s="37" t="s">
        <v>2329</v>
      </c>
      <c r="F371" s="45">
        <v>4582994</v>
      </c>
      <c r="G371" s="15">
        <v>70000</v>
      </c>
      <c r="H371" s="43"/>
      <c r="I371" s="43" t="s">
        <v>230</v>
      </c>
      <c r="J371" s="43" t="s">
        <v>267</v>
      </c>
      <c r="K371" s="43" t="s">
        <v>2330</v>
      </c>
      <c r="L371" s="151" t="s">
        <v>2331</v>
      </c>
      <c r="M371" s="155" t="s">
        <v>2332</v>
      </c>
      <c r="N371" s="144">
        <v>7.73</v>
      </c>
      <c r="O371" s="43" t="s">
        <v>25</v>
      </c>
      <c r="P371" s="47" t="s">
        <v>26</v>
      </c>
      <c r="Q371" s="144">
        <v>7.73</v>
      </c>
      <c r="R371" s="43">
        <v>0</v>
      </c>
      <c r="S371" s="16" t="s">
        <v>20</v>
      </c>
      <c r="T371" s="215">
        <v>1</v>
      </c>
      <c r="U371" s="215">
        <v>0</v>
      </c>
      <c r="V371" s="215"/>
      <c r="W371" s="485"/>
      <c r="X371" s="215"/>
      <c r="Y371" s="43"/>
      <c r="Z371" s="46"/>
      <c r="AA371" s="43"/>
      <c r="AB371" s="43"/>
      <c r="AC371" s="46">
        <v>7.73</v>
      </c>
      <c r="AD371" s="17"/>
      <c r="AE371" s="48"/>
      <c r="AF371" s="37" t="s">
        <v>2333</v>
      </c>
      <c r="AG371" s="47"/>
      <c r="AH371" s="49">
        <f>Table2[[#This Row],[Prix de vente ($)]]/Table2[[#This Row],[Superficie totale (ha)]]</f>
        <v>9055.6274256144879</v>
      </c>
      <c r="AI371" s="49"/>
    </row>
    <row r="372" spans="1:35" ht="33.75" customHeight="1">
      <c r="A372" s="196">
        <v>28584076</v>
      </c>
      <c r="C372" s="318">
        <v>45369</v>
      </c>
      <c r="D372" t="s">
        <v>2334</v>
      </c>
      <c r="E372" t="s">
        <v>2335</v>
      </c>
      <c r="F372" t="s">
        <v>2336</v>
      </c>
      <c r="G372" s="134">
        <v>400000</v>
      </c>
      <c r="I372" t="s">
        <v>2245</v>
      </c>
      <c r="J372" t="s">
        <v>2337</v>
      </c>
      <c r="K372" t="s">
        <v>2337</v>
      </c>
      <c r="L372" s="205" t="s">
        <v>2338</v>
      </c>
      <c r="M372" s="270" t="s">
        <v>2339</v>
      </c>
      <c r="N372" s="211">
        <f>39.26+32.27</f>
        <v>71.53</v>
      </c>
      <c r="O372" t="s">
        <v>25</v>
      </c>
      <c r="P372" t="s">
        <v>384</v>
      </c>
      <c r="Q372" s="211">
        <f>Table2[[#This Row],[Superficie totale (ha)]]</f>
        <v>71.53</v>
      </c>
      <c r="S372" s="16" t="s">
        <v>33</v>
      </c>
      <c r="T372" s="222">
        <v>0.3</v>
      </c>
      <c r="U372" s="222">
        <v>0.7</v>
      </c>
      <c r="V372" s="222" t="s">
        <v>362</v>
      </c>
      <c r="AF372" t="s">
        <v>2340</v>
      </c>
      <c r="AH372" s="49">
        <f>Table2[[#This Row],[Prix de vente ($)]]/Table2[[#This Row],[Superficie totale (ha)]]</f>
        <v>5592.0592758283237</v>
      </c>
    </row>
    <row r="373" spans="1:35" ht="33.75" customHeight="1">
      <c r="A373" s="196">
        <v>28778632</v>
      </c>
      <c r="C373" s="318">
        <v>45371</v>
      </c>
      <c r="D373" s="239" t="s">
        <v>2341</v>
      </c>
      <c r="E373" t="s">
        <v>2342</v>
      </c>
      <c r="F373" t="s">
        <v>2343</v>
      </c>
      <c r="G373" s="134">
        <v>200000</v>
      </c>
      <c r="I373" t="s">
        <v>1477</v>
      </c>
      <c r="J373" t="s">
        <v>2344</v>
      </c>
      <c r="N373" s="211">
        <v>16.739999999999998</v>
      </c>
      <c r="O373" s="80" t="s">
        <v>18</v>
      </c>
      <c r="P373" s="47" t="s">
        <v>35</v>
      </c>
      <c r="Q373" s="211">
        <v>16.739999999999998</v>
      </c>
      <c r="S373" s="181" t="s">
        <v>20</v>
      </c>
      <c r="T373" s="222">
        <v>1</v>
      </c>
      <c r="U373" s="222">
        <v>0</v>
      </c>
      <c r="V373" s="222">
        <v>0.7</v>
      </c>
      <c r="AC373" s="63">
        <v>3.7</v>
      </c>
      <c r="AF373" t="s">
        <v>2345</v>
      </c>
      <c r="AH373" s="49">
        <f>Table2[[#This Row],[Prix de vente ($)]]/Table2[[#This Row],[Superficie totale (ha)]]</f>
        <v>11947.431302270013</v>
      </c>
    </row>
    <row r="374" spans="1:35" ht="33.75" customHeight="1">
      <c r="A374" s="196">
        <v>28594886</v>
      </c>
      <c r="C374" s="318">
        <v>45373</v>
      </c>
      <c r="F374" s="269">
        <v>6333793</v>
      </c>
      <c r="G374" s="134">
        <v>147000</v>
      </c>
      <c r="I374" t="s">
        <v>58</v>
      </c>
      <c r="J374" t="s">
        <v>2346</v>
      </c>
      <c r="L374" s="205" t="s">
        <v>2347</v>
      </c>
      <c r="M374" s="270" t="s">
        <v>2348</v>
      </c>
      <c r="N374" s="211">
        <v>19.52</v>
      </c>
      <c r="O374" t="s">
        <v>25</v>
      </c>
      <c r="P374" t="s">
        <v>35</v>
      </c>
      <c r="S374" s="94" t="s">
        <v>102</v>
      </c>
      <c r="T374" s="222">
        <v>0.2</v>
      </c>
      <c r="U374" s="222">
        <v>0.8</v>
      </c>
      <c r="V374" s="222" t="s">
        <v>1486</v>
      </c>
      <c r="AF374" t="s">
        <v>2349</v>
      </c>
      <c r="AH374" s="49">
        <f>Table2[[#This Row],[Prix de vente ($)]]/Table2[[#This Row],[Superficie totale (ha)]]</f>
        <v>7530.7377049180332</v>
      </c>
    </row>
    <row r="375" spans="1:35" ht="33.75" customHeight="1">
      <c r="A375" s="187">
        <v>28592723</v>
      </c>
      <c r="B375" s="43"/>
      <c r="C375" s="148">
        <v>45373</v>
      </c>
      <c r="D375" s="37" t="s">
        <v>2350</v>
      </c>
      <c r="E375" s="37" t="s">
        <v>2351</v>
      </c>
      <c r="F375" s="45" t="s">
        <v>2352</v>
      </c>
      <c r="G375" s="15">
        <v>140000</v>
      </c>
      <c r="H375" s="43"/>
      <c r="I375" s="43" t="s">
        <v>74</v>
      </c>
      <c r="J375" s="43" t="s">
        <v>184</v>
      </c>
      <c r="K375" s="43" t="s">
        <v>2353</v>
      </c>
      <c r="L375" s="151" t="s">
        <v>2354</v>
      </c>
      <c r="M375" s="155" t="s">
        <v>2355</v>
      </c>
      <c r="N375" s="144">
        <f>10.62+10.63</f>
        <v>21.25</v>
      </c>
      <c r="O375" s="43" t="s">
        <v>18</v>
      </c>
      <c r="P375" s="47" t="s">
        <v>26</v>
      </c>
      <c r="Q375" s="144">
        <v>21.25</v>
      </c>
      <c r="R375" s="43">
        <v>0</v>
      </c>
      <c r="S375" s="16" t="s">
        <v>20</v>
      </c>
      <c r="T375" s="215">
        <v>0.8</v>
      </c>
      <c r="U375" s="215">
        <v>0.2</v>
      </c>
      <c r="V375" s="215"/>
      <c r="W375" s="485"/>
      <c r="X375" s="215"/>
      <c r="Y375" s="43"/>
      <c r="Z375" s="46"/>
      <c r="AA375" s="43"/>
      <c r="AB375" s="43"/>
      <c r="AC375" s="46">
        <v>13.6</v>
      </c>
      <c r="AD375" s="17"/>
      <c r="AE375" s="48"/>
      <c r="AF375" s="37" t="s">
        <v>2356</v>
      </c>
      <c r="AG375" s="47"/>
      <c r="AH375" s="49">
        <f>Table2[[#This Row],[Prix de vente ($)]]/Table2[[#This Row],[Superficie totale (ha)]]</f>
        <v>6588.2352941176468</v>
      </c>
      <c r="AI375" s="49"/>
    </row>
    <row r="376" spans="1:35" ht="33.75" customHeight="1">
      <c r="A376" s="187">
        <v>28749474</v>
      </c>
      <c r="B376" s="43"/>
      <c r="C376" s="148">
        <v>45381</v>
      </c>
      <c r="D376" s="37" t="s">
        <v>2357</v>
      </c>
      <c r="E376" s="37" t="s">
        <v>2358</v>
      </c>
      <c r="F376" s="45">
        <v>5992948</v>
      </c>
      <c r="G376" s="15">
        <v>180000</v>
      </c>
      <c r="H376" s="43"/>
      <c r="I376" s="43" t="s">
        <v>321</v>
      </c>
      <c r="J376" s="43" t="s">
        <v>2359</v>
      </c>
      <c r="K376" s="43" t="s">
        <v>2360</v>
      </c>
      <c r="L376" s="151" t="s">
        <v>2361</v>
      </c>
      <c r="M376" s="155" t="s">
        <v>2362</v>
      </c>
      <c r="N376" s="144">
        <v>18.670000000000002</v>
      </c>
      <c r="O376" s="43" t="s">
        <v>18</v>
      </c>
      <c r="P376" s="47" t="s">
        <v>165</v>
      </c>
      <c r="Q376" s="144">
        <v>16.670000000000002</v>
      </c>
      <c r="R376" s="43">
        <v>0</v>
      </c>
      <c r="S376" s="16" t="s">
        <v>20</v>
      </c>
      <c r="T376" s="215">
        <v>0.6</v>
      </c>
      <c r="U376" s="215">
        <v>0.4</v>
      </c>
      <c r="V376" s="215">
        <v>0.8</v>
      </c>
      <c r="W376" s="485">
        <v>5</v>
      </c>
      <c r="X376" s="215" t="s">
        <v>1923</v>
      </c>
      <c r="Y376" s="43"/>
      <c r="Z376" s="46"/>
      <c r="AA376" s="43"/>
      <c r="AB376" s="43"/>
      <c r="AC376" s="46">
        <v>0</v>
      </c>
      <c r="AD376" s="17"/>
      <c r="AE376" s="48"/>
      <c r="AF376" s="37" t="s">
        <v>176</v>
      </c>
      <c r="AG376" s="47"/>
      <c r="AH376" s="49">
        <f>Table2[[#This Row],[Prix de vente ($)]]/Table2[[#This Row],[Superficie totale (ha)]]</f>
        <v>9641.1355115158003</v>
      </c>
      <c r="AI376" s="49"/>
    </row>
    <row r="377" spans="1:35" ht="33.75" customHeight="1">
      <c r="A377" s="187">
        <v>28613842</v>
      </c>
      <c r="B377" s="43"/>
      <c r="C377" s="148">
        <v>45386</v>
      </c>
      <c r="D377" s="37" t="s">
        <v>2363</v>
      </c>
      <c r="E377" s="37" t="s">
        <v>2364</v>
      </c>
      <c r="F377" s="45">
        <v>5041261</v>
      </c>
      <c r="G377" s="15">
        <v>107000</v>
      </c>
      <c r="H377" s="43"/>
      <c r="I377" s="43" t="s">
        <v>74</v>
      </c>
      <c r="J377" s="43" t="s">
        <v>1273</v>
      </c>
      <c r="K377" s="43" t="s">
        <v>2365</v>
      </c>
      <c r="L377" s="151" t="s">
        <v>2366</v>
      </c>
      <c r="M377" s="155" t="s">
        <v>2367</v>
      </c>
      <c r="N377" s="144">
        <v>20.37</v>
      </c>
      <c r="O377" s="43" t="s">
        <v>18</v>
      </c>
      <c r="P377" s="47" t="s">
        <v>438</v>
      </c>
      <c r="Q377" s="144">
        <f>20.37-3</f>
        <v>17.37</v>
      </c>
      <c r="R377" s="43">
        <v>0</v>
      </c>
      <c r="S377" s="16" t="s">
        <v>20</v>
      </c>
      <c r="T377" s="215">
        <v>0.6</v>
      </c>
      <c r="U377" s="215">
        <v>0.4</v>
      </c>
      <c r="V377" s="215">
        <v>0.75</v>
      </c>
      <c r="W377" s="485"/>
      <c r="X377" s="215"/>
      <c r="Y377" s="43"/>
      <c r="Z377" s="46"/>
      <c r="AA377" s="43"/>
      <c r="AB377" s="43"/>
      <c r="AC377" s="46">
        <v>7</v>
      </c>
      <c r="AD377" s="17"/>
      <c r="AE377" s="48"/>
      <c r="AF377" s="37" t="s">
        <v>2368</v>
      </c>
      <c r="AG377" s="47"/>
      <c r="AH377" s="49">
        <f>Table2[[#This Row],[Prix de vente ($)]]/Table2[[#This Row],[Superficie totale (ha)]]</f>
        <v>5252.8227785959743</v>
      </c>
      <c r="AI377" s="49"/>
    </row>
    <row r="378" spans="1:35" ht="33.75" customHeight="1">
      <c r="A378" s="196">
        <v>28613385</v>
      </c>
      <c r="C378" s="318">
        <v>45386</v>
      </c>
      <c r="D378" t="s">
        <v>2369</v>
      </c>
      <c r="E378" t="s">
        <v>2370</v>
      </c>
      <c r="F378" t="s">
        <v>2371</v>
      </c>
      <c r="G378" s="134">
        <v>65000</v>
      </c>
      <c r="I378" t="s">
        <v>223</v>
      </c>
      <c r="J378" t="s">
        <v>2372</v>
      </c>
      <c r="K378" t="s">
        <v>2373</v>
      </c>
      <c r="L378" s="205">
        <v>47.094082</v>
      </c>
      <c r="M378" s="205">
        <v>-69.974405000000004</v>
      </c>
      <c r="N378" s="211">
        <v>12.47</v>
      </c>
      <c r="O378" t="s">
        <v>25</v>
      </c>
      <c r="P378" t="s">
        <v>110</v>
      </c>
      <c r="Q378" s="199">
        <v>12.47</v>
      </c>
      <c r="S378" s="94" t="s">
        <v>62</v>
      </c>
      <c r="T378" s="222">
        <v>0.9</v>
      </c>
      <c r="U378" s="222">
        <v>0.1</v>
      </c>
      <c r="V378" s="222">
        <v>0.65</v>
      </c>
      <c r="AF378" t="s">
        <v>2374</v>
      </c>
      <c r="AH378" s="49">
        <f>Table2[[#This Row],[Prix de vente ($)]]/Table2[[#This Row],[Superficie totale (ha)]]</f>
        <v>5212.5100240577385</v>
      </c>
    </row>
    <row r="379" spans="1:35" ht="33.75" customHeight="1">
      <c r="A379" s="187">
        <v>28703381</v>
      </c>
      <c r="B379" s="43"/>
      <c r="C379" s="148">
        <v>45386</v>
      </c>
      <c r="D379" s="37" t="s">
        <v>2375</v>
      </c>
      <c r="E379" s="37" t="s">
        <v>2376</v>
      </c>
      <c r="F379" s="45">
        <v>5892817</v>
      </c>
      <c r="G379" s="15">
        <v>124000</v>
      </c>
      <c r="H379" s="43"/>
      <c r="I379" s="43" t="s">
        <v>408</v>
      </c>
      <c r="J379" s="43" t="s">
        <v>409</v>
      </c>
      <c r="K379" s="43" t="s">
        <v>2377</v>
      </c>
      <c r="L379" s="151" t="s">
        <v>2378</v>
      </c>
      <c r="M379" s="155" t="s">
        <v>2379</v>
      </c>
      <c r="N379" s="144">
        <v>23.14</v>
      </c>
      <c r="O379" s="43" t="s">
        <v>18</v>
      </c>
      <c r="P379" s="47" t="s">
        <v>19</v>
      </c>
      <c r="Q379" s="144">
        <v>23.14</v>
      </c>
      <c r="R379" s="43">
        <v>0</v>
      </c>
      <c r="S379" s="16" t="s">
        <v>102</v>
      </c>
      <c r="T379" s="215">
        <v>0.2</v>
      </c>
      <c r="U379" s="215">
        <v>0.8</v>
      </c>
      <c r="V379" s="215"/>
      <c r="W379" s="485"/>
      <c r="X379" s="215"/>
      <c r="Y379" s="43"/>
      <c r="Z379" s="46"/>
      <c r="AA379" s="43"/>
      <c r="AB379" s="43"/>
      <c r="AC379" s="46">
        <v>2.5</v>
      </c>
      <c r="AD379" s="17"/>
      <c r="AE379" s="48"/>
      <c r="AF379" s="37" t="s">
        <v>2380</v>
      </c>
      <c r="AG379" s="47"/>
      <c r="AH379" s="49">
        <f>Table2[[#This Row],[Prix de vente ($)]]/Table2[[#This Row],[Superficie totale (ha)]]</f>
        <v>5358.6862575626619</v>
      </c>
      <c r="AI379" s="49"/>
    </row>
    <row r="380" spans="1:35" ht="33.75" customHeight="1">
      <c r="A380" s="196">
        <v>28613119</v>
      </c>
      <c r="C380" s="318">
        <v>45386</v>
      </c>
      <c r="D380" s="239" t="s">
        <v>2381</v>
      </c>
      <c r="E380" s="239" t="s">
        <v>2382</v>
      </c>
      <c r="F380" s="239" t="s">
        <v>2383</v>
      </c>
      <c r="G380" s="134">
        <v>320000</v>
      </c>
      <c r="I380" s="43" t="s">
        <v>909</v>
      </c>
      <c r="J380" t="s">
        <v>910</v>
      </c>
      <c r="K380" s="239" t="s">
        <v>2384</v>
      </c>
      <c r="L380" s="204">
        <v>46.852953999999997</v>
      </c>
      <c r="M380" s="204">
        <v>-71.599975000000001</v>
      </c>
      <c r="N380" s="211">
        <v>8.23</v>
      </c>
      <c r="O380" t="s">
        <v>25</v>
      </c>
      <c r="P380" t="s">
        <v>35</v>
      </c>
      <c r="Q380" s="199">
        <v>8.23</v>
      </c>
      <c r="S380" s="94" t="s">
        <v>310</v>
      </c>
      <c r="T380" s="222">
        <v>0.2</v>
      </c>
      <c r="U380" s="222">
        <v>0.8</v>
      </c>
      <c r="V380" s="222">
        <v>0.65</v>
      </c>
      <c r="AF380" t="s">
        <v>2385</v>
      </c>
      <c r="AH380" s="49">
        <f>Table2[[#This Row],[Prix de vente ($)]]/Table2[[#This Row],[Superficie totale (ha)]]</f>
        <v>38882.13851761847</v>
      </c>
    </row>
    <row r="381" spans="1:35" ht="33.75" customHeight="1">
      <c r="A381" s="187">
        <v>28618974</v>
      </c>
      <c r="B381" s="43"/>
      <c r="C381" s="148">
        <v>45390</v>
      </c>
      <c r="D381" s="44" t="s">
        <v>2386</v>
      </c>
      <c r="E381" s="37" t="s">
        <v>2387</v>
      </c>
      <c r="F381" s="45">
        <v>5834906</v>
      </c>
      <c r="G381" s="15">
        <v>60000</v>
      </c>
      <c r="H381" s="43"/>
      <c r="I381" s="43" t="s">
        <v>160</v>
      </c>
      <c r="J381" s="43" t="s">
        <v>2388</v>
      </c>
      <c r="K381" s="43" t="s">
        <v>2389</v>
      </c>
      <c r="L381" s="151" t="s">
        <v>2390</v>
      </c>
      <c r="M381" s="155" t="s">
        <v>2391</v>
      </c>
      <c r="N381" s="144">
        <v>6.28</v>
      </c>
      <c r="O381" s="43" t="s">
        <v>18</v>
      </c>
      <c r="P381" s="47" t="s">
        <v>35</v>
      </c>
      <c r="Q381" s="144">
        <v>6.28</v>
      </c>
      <c r="R381" s="43">
        <v>0</v>
      </c>
      <c r="S381" s="16" t="s">
        <v>20</v>
      </c>
      <c r="T381" s="215">
        <v>0.8</v>
      </c>
      <c r="U381" s="215">
        <v>0.2</v>
      </c>
      <c r="V381" s="215"/>
      <c r="W381" s="485"/>
      <c r="X381" s="215"/>
      <c r="Y381" s="43"/>
      <c r="Z381" s="46"/>
      <c r="AA381" s="43"/>
      <c r="AB381" s="43"/>
      <c r="AC381" s="46">
        <v>4.8</v>
      </c>
      <c r="AD381" s="17"/>
      <c r="AE381" s="48"/>
      <c r="AF381" s="37" t="s">
        <v>2127</v>
      </c>
      <c r="AG381" s="47"/>
      <c r="AH381" s="49">
        <f>Table2[[#This Row],[Prix de vente ($)]]/Table2[[#This Row],[Superficie totale (ha)]]</f>
        <v>9554.1401273885349</v>
      </c>
      <c r="AI381" s="49"/>
    </row>
    <row r="382" spans="1:35" ht="33.75" customHeight="1">
      <c r="A382" s="196">
        <v>28621517</v>
      </c>
      <c r="C382" s="318">
        <v>45391</v>
      </c>
      <c r="D382" s="249" t="s">
        <v>2392</v>
      </c>
      <c r="E382" s="249" t="s">
        <v>2393</v>
      </c>
      <c r="F382" s="249" t="s">
        <v>2394</v>
      </c>
      <c r="G382" s="93">
        <v>75000</v>
      </c>
      <c r="I382" t="s">
        <v>654</v>
      </c>
      <c r="J382" t="s">
        <v>1448</v>
      </c>
      <c r="L382" s="205">
        <v>46.744557999999998</v>
      </c>
      <c r="M382" s="205">
        <v>-71.861059999999995</v>
      </c>
      <c r="N382" s="211">
        <v>4.6500000000000004</v>
      </c>
      <c r="O382" s="43" t="s">
        <v>18</v>
      </c>
      <c r="P382" t="s">
        <v>1179</v>
      </c>
      <c r="Q382" s="211">
        <v>4.6500000000000004</v>
      </c>
      <c r="S382" s="94" t="s">
        <v>20</v>
      </c>
      <c r="T382" s="222">
        <v>0.7</v>
      </c>
      <c r="U382" s="222">
        <v>0.3</v>
      </c>
      <c r="V382" s="222">
        <v>0.8</v>
      </c>
      <c r="AC382" s="63">
        <v>2.5</v>
      </c>
      <c r="AF382" t="s">
        <v>2395</v>
      </c>
      <c r="AH382" s="49">
        <f>Table2[[#This Row],[Prix de vente ($)]]/Table2[[#This Row],[Superficie totale (ha)]]</f>
        <v>16129.032258064515</v>
      </c>
    </row>
    <row r="383" spans="1:35" ht="33.75" customHeight="1">
      <c r="A383" s="196">
        <v>28626388</v>
      </c>
      <c r="C383" s="318">
        <v>45393</v>
      </c>
      <c r="D383" s="239" t="s">
        <v>2396</v>
      </c>
      <c r="E383" s="239" t="s">
        <v>2397</v>
      </c>
      <c r="F383" s="239" t="s">
        <v>2398</v>
      </c>
      <c r="G383" s="134">
        <v>18000</v>
      </c>
      <c r="I383" t="s">
        <v>223</v>
      </c>
      <c r="J383" t="s">
        <v>301</v>
      </c>
      <c r="L383" s="205">
        <v>47.266539999999999</v>
      </c>
      <c r="M383" s="205">
        <v>-70.033945000000003</v>
      </c>
      <c r="N383" s="211">
        <v>8.2799999999999994</v>
      </c>
      <c r="O383" t="s">
        <v>25</v>
      </c>
      <c r="P383" t="s">
        <v>173</v>
      </c>
      <c r="Q383" s="211">
        <v>8.2799999999999994</v>
      </c>
      <c r="S383" s="94" t="s">
        <v>62</v>
      </c>
      <c r="T383" s="222">
        <v>0.6</v>
      </c>
      <c r="U383" s="222">
        <v>0.4</v>
      </c>
      <c r="V383" s="222">
        <v>0.7</v>
      </c>
      <c r="AF383" t="s">
        <v>2399</v>
      </c>
      <c r="AH383" s="49">
        <f>Table2[[#This Row],[Prix de vente ($)]]/Table2[[#This Row],[Superficie totale (ha)]]</f>
        <v>2173.913043478261</v>
      </c>
    </row>
    <row r="384" spans="1:35" ht="33.75" customHeight="1">
      <c r="A384" s="196">
        <v>28625879</v>
      </c>
      <c r="C384" s="318">
        <v>45393</v>
      </c>
      <c r="D384" s="239" t="s">
        <v>2400</v>
      </c>
      <c r="E384" s="239" t="s">
        <v>2401</v>
      </c>
      <c r="F384" t="s">
        <v>2402</v>
      </c>
      <c r="G384" s="134">
        <v>250000</v>
      </c>
      <c r="I384" t="s">
        <v>1171</v>
      </c>
      <c r="J384" t="s">
        <v>2403</v>
      </c>
      <c r="K384" s="239" t="s">
        <v>2404</v>
      </c>
      <c r="L384" s="205">
        <v>45.807250000000003</v>
      </c>
      <c r="M384" s="205">
        <v>-72.022741999999994</v>
      </c>
      <c r="N384" s="211">
        <v>34.76</v>
      </c>
      <c r="O384" t="s">
        <v>18</v>
      </c>
      <c r="P384" t="s">
        <v>35</v>
      </c>
      <c r="Q384" s="199">
        <v>34.76</v>
      </c>
      <c r="S384" s="94" t="s">
        <v>20</v>
      </c>
      <c r="T384" s="222">
        <v>1</v>
      </c>
      <c r="U384" s="222">
        <v>0</v>
      </c>
      <c r="V384" s="222">
        <v>0.75</v>
      </c>
      <c r="AF384" t="s">
        <v>2405</v>
      </c>
      <c r="AH384" s="49">
        <f>Table2[[#This Row],[Prix de vente ($)]]/Table2[[#This Row],[Superficie totale (ha)]]</f>
        <v>7192.1749136939015</v>
      </c>
    </row>
    <row r="385" spans="1:35" ht="33.75" customHeight="1">
      <c r="A385" s="187">
        <v>28825033</v>
      </c>
      <c r="B385" s="43"/>
      <c r="C385" s="148">
        <v>45396</v>
      </c>
      <c r="D385" s="37" t="s">
        <v>2406</v>
      </c>
      <c r="E385" s="37" t="s">
        <v>2407</v>
      </c>
      <c r="F385" s="45">
        <v>5426703</v>
      </c>
      <c r="G385" s="15">
        <v>80000</v>
      </c>
      <c r="H385" s="43"/>
      <c r="I385" s="43" t="s">
        <v>602</v>
      </c>
      <c r="J385" s="43" t="s">
        <v>603</v>
      </c>
      <c r="K385" s="43" t="s">
        <v>2408</v>
      </c>
      <c r="L385" s="151" t="s">
        <v>2409</v>
      </c>
      <c r="M385" s="155" t="s">
        <v>2410</v>
      </c>
      <c r="N385" s="144">
        <v>21.11</v>
      </c>
      <c r="O385" s="43" t="s">
        <v>25</v>
      </c>
      <c r="P385" s="47" t="s">
        <v>165</v>
      </c>
      <c r="Q385" s="144">
        <v>20.51</v>
      </c>
      <c r="R385" s="43">
        <v>0</v>
      </c>
      <c r="S385" s="16" t="s">
        <v>22</v>
      </c>
      <c r="T385" s="215">
        <v>0.5</v>
      </c>
      <c r="U385" s="215">
        <v>0.5</v>
      </c>
      <c r="V385" s="215"/>
      <c r="W385" s="485"/>
      <c r="X385" s="215"/>
      <c r="Y385" s="43"/>
      <c r="Z385" s="46"/>
      <c r="AA385" s="43"/>
      <c r="AB385" s="43"/>
      <c r="AC385" s="46">
        <v>0</v>
      </c>
      <c r="AD385" s="17"/>
      <c r="AE385" s="48"/>
      <c r="AF385" s="37" t="s">
        <v>126</v>
      </c>
      <c r="AG385" s="47"/>
      <c r="AH385" s="49">
        <f>Table2[[#This Row],[Prix de vente ($)]]/Table2[[#This Row],[Superficie totale (ha)]]</f>
        <v>3789.6731406916156</v>
      </c>
      <c r="AI385" s="49"/>
    </row>
    <row r="386" spans="1:35" ht="33.75" customHeight="1">
      <c r="A386" s="190">
        <v>28633182</v>
      </c>
      <c r="B386" s="43"/>
      <c r="C386" s="148">
        <v>45397</v>
      </c>
      <c r="D386" s="37" t="s">
        <v>2411</v>
      </c>
      <c r="E386" s="37" t="s">
        <v>2412</v>
      </c>
      <c r="F386" s="45" t="s">
        <v>2413</v>
      </c>
      <c r="G386" s="15">
        <v>705030</v>
      </c>
      <c r="H386" s="43"/>
      <c r="I386" s="43" t="s">
        <v>610</v>
      </c>
      <c r="J386" s="43" t="s">
        <v>611</v>
      </c>
      <c r="K386" s="43" t="s">
        <v>2414</v>
      </c>
      <c r="L386" s="155" t="s">
        <v>2415</v>
      </c>
      <c r="M386" s="155" t="s">
        <v>2416</v>
      </c>
      <c r="N386" s="144">
        <f>39.54+3.24+1</f>
        <v>43.78</v>
      </c>
      <c r="O386" s="43" t="s">
        <v>18</v>
      </c>
      <c r="P386" s="47" t="s">
        <v>206</v>
      </c>
      <c r="Q386" s="144">
        <f>25.7</f>
        <v>25.7</v>
      </c>
      <c r="R386" s="43">
        <f>12.5+2.8+0.9</f>
        <v>16.2</v>
      </c>
      <c r="S386" s="16" t="s">
        <v>20</v>
      </c>
      <c r="T386" s="215">
        <v>0.9</v>
      </c>
      <c r="U386" s="215">
        <v>0.1</v>
      </c>
      <c r="V386" s="215" t="s">
        <v>2417</v>
      </c>
      <c r="W386" s="485"/>
      <c r="X386" s="215"/>
      <c r="Y386" s="43"/>
      <c r="Z386" s="46"/>
      <c r="AA386" s="43"/>
      <c r="AB386" s="43"/>
      <c r="AC386" s="46">
        <f>4.9</f>
        <v>4.9000000000000004</v>
      </c>
      <c r="AD386" s="17"/>
      <c r="AE386" s="48"/>
      <c r="AF386" s="37"/>
      <c r="AG386" s="47" t="s">
        <v>2418</v>
      </c>
      <c r="AH386" s="49">
        <f>Table2[[#This Row],[Prix de vente ($)]]/Table2[[#This Row],[Superficie totale (ha)]]</f>
        <v>16103.928734582001</v>
      </c>
      <c r="AI386" s="49"/>
    </row>
    <row r="387" spans="1:35" ht="33.75" customHeight="1">
      <c r="A387" s="196">
        <v>28650333</v>
      </c>
      <c r="C387" s="318">
        <v>45406</v>
      </c>
      <c r="D387" t="s">
        <v>2419</v>
      </c>
      <c r="E387" t="s">
        <v>2420</v>
      </c>
      <c r="F387" s="269">
        <v>3407655</v>
      </c>
      <c r="G387" s="93">
        <v>145000</v>
      </c>
      <c r="I387" t="s">
        <v>37</v>
      </c>
      <c r="J387" t="s">
        <v>1866</v>
      </c>
      <c r="L387" s="205" t="s">
        <v>2421</v>
      </c>
      <c r="M387" s="270" t="s">
        <v>2422</v>
      </c>
      <c r="N387" s="211">
        <v>6.82</v>
      </c>
      <c r="O387" t="s">
        <v>18</v>
      </c>
      <c r="P387" t="s">
        <v>206</v>
      </c>
      <c r="S387" s="94" t="s">
        <v>20</v>
      </c>
      <c r="T387" s="222">
        <v>0.8</v>
      </c>
      <c r="U387" s="222">
        <v>0.2</v>
      </c>
      <c r="V387" s="222" t="s">
        <v>362</v>
      </c>
      <c r="AC387" s="63">
        <v>4.3</v>
      </c>
      <c r="AF387" s="20" t="s">
        <v>2423</v>
      </c>
      <c r="AH387" s="49">
        <f>Table2[[#This Row],[Prix de vente ($)]]/Table2[[#This Row],[Superficie totale (ha)]]</f>
        <v>21260.997067448679</v>
      </c>
    </row>
    <row r="388" spans="1:35" ht="33.75" customHeight="1">
      <c r="A388" s="196">
        <v>28653222</v>
      </c>
      <c r="C388" s="318">
        <v>45407</v>
      </c>
      <c r="D388" s="247" t="s">
        <v>2424</v>
      </c>
      <c r="E388" s="247" t="s">
        <v>2425</v>
      </c>
      <c r="F388" s="249" t="s">
        <v>2426</v>
      </c>
      <c r="G388" s="134">
        <v>75000</v>
      </c>
      <c r="I388" s="80" t="s">
        <v>543</v>
      </c>
      <c r="J388" s="80" t="s">
        <v>543</v>
      </c>
      <c r="K388" s="247" t="s">
        <v>2427</v>
      </c>
      <c r="N388" s="211">
        <v>14.79</v>
      </c>
      <c r="O388" s="80" t="s">
        <v>18</v>
      </c>
      <c r="P388" s="47" t="s">
        <v>35</v>
      </c>
      <c r="Q388" s="211">
        <v>14.79</v>
      </c>
      <c r="R388">
        <v>0</v>
      </c>
      <c r="S388" s="80" t="s">
        <v>62</v>
      </c>
      <c r="T388" s="222">
        <v>0.7</v>
      </c>
      <c r="U388" s="222">
        <v>0.3</v>
      </c>
      <c r="V388" s="222">
        <v>0.8</v>
      </c>
      <c r="AH388" s="49">
        <f>Table2[[#This Row],[Prix de vente ($)]]/Table2[[#This Row],[Superficie totale (ha)]]</f>
        <v>5070.9939148073026</v>
      </c>
    </row>
    <row r="389" spans="1:35" ht="33.75" customHeight="1">
      <c r="A389" s="187">
        <v>28654000</v>
      </c>
      <c r="B389" s="43"/>
      <c r="C389" s="148">
        <v>45408</v>
      </c>
      <c r="D389" s="37" t="s">
        <v>2428</v>
      </c>
      <c r="E389" s="37" t="s">
        <v>2429</v>
      </c>
      <c r="F389" s="45">
        <v>6378727</v>
      </c>
      <c r="G389" s="15">
        <v>300000</v>
      </c>
      <c r="H389" s="43"/>
      <c r="I389" s="43" t="s">
        <v>328</v>
      </c>
      <c r="J389" s="43" t="s">
        <v>2430</v>
      </c>
      <c r="K389" s="43" t="s">
        <v>2431</v>
      </c>
      <c r="L389" s="151" t="s">
        <v>2432</v>
      </c>
      <c r="M389" s="155" t="s">
        <v>2433</v>
      </c>
      <c r="N389" s="144">
        <v>51.41</v>
      </c>
      <c r="O389" s="43" t="s">
        <v>25</v>
      </c>
      <c r="P389" s="47" t="s">
        <v>19</v>
      </c>
      <c r="Q389" s="144">
        <v>46.81</v>
      </c>
      <c r="R389" s="43">
        <v>0</v>
      </c>
      <c r="S389" s="16" t="s">
        <v>20</v>
      </c>
      <c r="T389" s="215">
        <v>1</v>
      </c>
      <c r="U389" s="215">
        <v>0</v>
      </c>
      <c r="V389" s="215"/>
      <c r="W389" s="485"/>
      <c r="X389" s="215"/>
      <c r="Y389" s="43"/>
      <c r="Z389" s="46"/>
      <c r="AA389" s="43"/>
      <c r="AB389" s="43"/>
      <c r="AC389" s="46">
        <v>46.81</v>
      </c>
      <c r="AD389" s="17"/>
      <c r="AE389" s="48"/>
      <c r="AF389" s="37" t="s">
        <v>2434</v>
      </c>
      <c r="AG389" s="47"/>
      <c r="AH389" s="49">
        <f>Table2[[#This Row],[Prix de vente ($)]]/Table2[[#This Row],[Superficie totale (ha)]]</f>
        <v>5835.4405757634704</v>
      </c>
      <c r="AI389" s="49"/>
    </row>
    <row r="390" spans="1:35" ht="33.75" customHeight="1">
      <c r="A390" s="189">
        <v>28663606</v>
      </c>
      <c r="B390" s="80"/>
      <c r="C390" s="318">
        <v>45413</v>
      </c>
      <c r="D390" s="276" t="s">
        <v>2435</v>
      </c>
      <c r="E390" s="276" t="s">
        <v>2436</v>
      </c>
      <c r="F390" s="276" t="s">
        <v>2437</v>
      </c>
      <c r="G390" s="134">
        <v>55000</v>
      </c>
      <c r="H390" s="80"/>
      <c r="I390" s="80" t="s">
        <v>543</v>
      </c>
      <c r="J390" s="80" t="s">
        <v>523</v>
      </c>
      <c r="K390" s="274"/>
      <c r="L390" s="199"/>
      <c r="M390" s="199"/>
      <c r="N390" s="211">
        <v>5.05</v>
      </c>
      <c r="O390" s="80" t="s">
        <v>18</v>
      </c>
      <c r="P390" s="47" t="s">
        <v>361</v>
      </c>
      <c r="Q390" s="211">
        <v>5.05</v>
      </c>
      <c r="R390" s="80">
        <v>0</v>
      </c>
      <c r="S390" s="80" t="s">
        <v>62</v>
      </c>
      <c r="T390" s="216">
        <v>1</v>
      </c>
      <c r="U390" s="216">
        <v>0</v>
      </c>
      <c r="V390" s="216">
        <v>0.7</v>
      </c>
      <c r="W390" s="199"/>
      <c r="X390" s="216"/>
      <c r="Y390" s="80"/>
      <c r="Z390" s="80"/>
      <c r="AA390" s="80"/>
      <c r="AB390" s="80"/>
      <c r="AC390" s="80">
        <v>5.05</v>
      </c>
      <c r="AD390" s="80"/>
      <c r="AE390" s="80"/>
      <c r="AF390" s="43"/>
      <c r="AG390" s="80"/>
      <c r="AH390" s="49">
        <f>Table2[[#This Row],[Prix de vente ($)]]/Table2[[#This Row],[Superficie totale (ha)]]</f>
        <v>10891.089108910892</v>
      </c>
      <c r="AI390" s="80"/>
    </row>
    <row r="391" spans="1:35" ht="33.75" customHeight="1">
      <c r="A391" s="196">
        <v>28730678</v>
      </c>
      <c r="C391" s="318">
        <v>45413</v>
      </c>
      <c r="D391" s="239" t="s">
        <v>2438</v>
      </c>
      <c r="E391" s="239" t="s">
        <v>2439</v>
      </c>
      <c r="F391" s="239" t="s">
        <v>2440</v>
      </c>
      <c r="G391" s="134">
        <v>60000</v>
      </c>
      <c r="I391" t="s">
        <v>223</v>
      </c>
      <c r="J391" t="s">
        <v>32</v>
      </c>
      <c r="K391" s="239" t="s">
        <v>2441</v>
      </c>
      <c r="L391" s="205">
        <v>46.872408</v>
      </c>
      <c r="M391" s="205">
        <v>-69.848012999999995</v>
      </c>
      <c r="N391" s="211">
        <v>23.63</v>
      </c>
      <c r="O391" t="s">
        <v>25</v>
      </c>
      <c r="P391" t="s">
        <v>35</v>
      </c>
      <c r="Q391" s="199">
        <v>23.63</v>
      </c>
      <c r="S391" s="94" t="s">
        <v>62</v>
      </c>
      <c r="T391" s="222">
        <v>0.7</v>
      </c>
      <c r="U391" s="222">
        <v>0.3</v>
      </c>
      <c r="V391" s="222">
        <v>0.85</v>
      </c>
      <c r="AF391" t="s">
        <v>2442</v>
      </c>
      <c r="AH391" s="49">
        <f>Table2[[#This Row],[Prix de vente ($)]]/Table2[[#This Row],[Superficie totale (ha)]]</f>
        <v>2539.1451544646638</v>
      </c>
    </row>
    <row r="392" spans="1:35" ht="33.75" customHeight="1">
      <c r="A392" s="196" t="s">
        <v>2443</v>
      </c>
      <c r="C392" s="318">
        <v>45420</v>
      </c>
      <c r="F392" t="s">
        <v>2444</v>
      </c>
      <c r="G392" s="366">
        <v>35000</v>
      </c>
      <c r="I392" t="s">
        <v>2445</v>
      </c>
      <c r="J392" t="s">
        <v>2446</v>
      </c>
      <c r="N392" s="50">
        <v>3.17</v>
      </c>
      <c r="O392" s="50" t="s">
        <v>18</v>
      </c>
      <c r="P392" s="424" t="s">
        <v>206</v>
      </c>
      <c r="Q392" s="50">
        <v>3.17</v>
      </c>
      <c r="S392" s="50" t="s">
        <v>62</v>
      </c>
      <c r="T392" s="425">
        <v>1</v>
      </c>
      <c r="U392" s="425">
        <v>0</v>
      </c>
      <c r="V392" s="425">
        <v>0.85</v>
      </c>
      <c r="W392" s="494"/>
      <c r="X392" s="425"/>
      <c r="AC392" s="50">
        <v>0</v>
      </c>
      <c r="AF392" s="424" t="s">
        <v>2447</v>
      </c>
      <c r="AH392" s="49">
        <f>Table2[[#This Row],[Prix de vente ($)]]/Table2[[#This Row],[Superficie totale (ha)]]</f>
        <v>11041.009463722397</v>
      </c>
    </row>
    <row r="393" spans="1:35" ht="33.75" customHeight="1">
      <c r="A393" s="196">
        <v>28681804</v>
      </c>
      <c r="C393" s="318">
        <v>45421</v>
      </c>
      <c r="D393" t="s">
        <v>2448</v>
      </c>
      <c r="E393" t="s">
        <v>2449</v>
      </c>
      <c r="F393" s="269">
        <v>5878734</v>
      </c>
      <c r="G393" s="93">
        <v>95000</v>
      </c>
      <c r="I393" s="139" t="s">
        <v>2163</v>
      </c>
      <c r="J393" t="s">
        <v>2450</v>
      </c>
      <c r="K393" t="s">
        <v>2451</v>
      </c>
      <c r="L393" s="205" t="s">
        <v>2452</v>
      </c>
      <c r="M393" s="270" t="s">
        <v>2453</v>
      </c>
      <c r="N393" s="211">
        <v>14.37</v>
      </c>
      <c r="O393" t="s">
        <v>18</v>
      </c>
      <c r="P393" t="s">
        <v>206</v>
      </c>
      <c r="S393" s="94" t="s">
        <v>33</v>
      </c>
      <c r="T393" s="222">
        <v>0.2</v>
      </c>
      <c r="U393" s="222">
        <v>0.8</v>
      </c>
      <c r="V393" s="222">
        <v>0.75</v>
      </c>
      <c r="AF393" t="s">
        <v>2454</v>
      </c>
      <c r="AH393" s="49">
        <f>Table2[[#This Row],[Prix de vente ($)]]/Table2[[#This Row],[Superficie totale (ha)]]</f>
        <v>6610.9951287404319</v>
      </c>
    </row>
    <row r="394" spans="1:35" ht="33.75" customHeight="1">
      <c r="A394" s="187">
        <v>28684463</v>
      </c>
      <c r="B394" s="43"/>
      <c r="C394" s="148">
        <v>45422</v>
      </c>
      <c r="D394" s="37" t="s">
        <v>2455</v>
      </c>
      <c r="E394" s="37" t="s">
        <v>2456</v>
      </c>
      <c r="F394" s="45" t="s">
        <v>2457</v>
      </c>
      <c r="G394" s="15">
        <v>137000</v>
      </c>
      <c r="H394" s="43"/>
      <c r="I394" s="43" t="s">
        <v>16</v>
      </c>
      <c r="J394" s="43" t="s">
        <v>2206</v>
      </c>
      <c r="K394" s="43" t="s">
        <v>2458</v>
      </c>
      <c r="L394" s="151" t="s">
        <v>2459</v>
      </c>
      <c r="M394" s="155" t="s">
        <v>2460</v>
      </c>
      <c r="N394" s="139">
        <v>28.48</v>
      </c>
      <c r="O394" s="43" t="s">
        <v>18</v>
      </c>
      <c r="P394" s="47" t="s">
        <v>19</v>
      </c>
      <c r="Q394" s="144">
        <v>28.48</v>
      </c>
      <c r="R394" s="43">
        <v>0</v>
      </c>
      <c r="S394" s="16" t="s">
        <v>22</v>
      </c>
      <c r="T394" s="215">
        <v>0.5</v>
      </c>
      <c r="U394" s="215">
        <v>0.5</v>
      </c>
      <c r="V394" s="222">
        <v>0.85</v>
      </c>
      <c r="W394" s="485"/>
      <c r="X394" s="215"/>
      <c r="Y394" s="43"/>
      <c r="Z394" s="46"/>
      <c r="AA394" s="43"/>
      <c r="AB394" s="43"/>
      <c r="AC394" s="46">
        <v>11.6</v>
      </c>
      <c r="AD394" s="17"/>
      <c r="AE394" s="48"/>
      <c r="AF394" s="37" t="s">
        <v>126</v>
      </c>
      <c r="AG394" s="47"/>
      <c r="AH394" s="49">
        <f>Table2[[#This Row],[Prix de vente ($)]]/Table2[[#This Row],[Superficie totale (ha)]]</f>
        <v>4810.393258426966</v>
      </c>
      <c r="AI394" s="49"/>
    </row>
    <row r="395" spans="1:35" ht="33.75" customHeight="1">
      <c r="A395" s="196" t="s">
        <v>2461</v>
      </c>
      <c r="C395" s="318">
        <v>45422</v>
      </c>
      <c r="D395" t="s">
        <v>2455</v>
      </c>
      <c r="E395" t="s">
        <v>2456</v>
      </c>
      <c r="F395" t="s">
        <v>2457</v>
      </c>
      <c r="G395" s="93">
        <v>137000</v>
      </c>
      <c r="I395" t="s">
        <v>16</v>
      </c>
      <c r="J395" t="s">
        <v>2206</v>
      </c>
      <c r="L395" s="205">
        <v>46.776128999999997</v>
      </c>
      <c r="M395" s="205">
        <v>-70.830724000000004</v>
      </c>
      <c r="N395" s="211">
        <v>28.48</v>
      </c>
      <c r="O395" t="s">
        <v>18</v>
      </c>
      <c r="P395" t="s">
        <v>19</v>
      </c>
      <c r="Q395" s="211">
        <v>28.48</v>
      </c>
      <c r="S395" s="94" t="s">
        <v>2462</v>
      </c>
      <c r="T395" s="222">
        <v>0.65</v>
      </c>
      <c r="U395" s="222">
        <v>0.35</v>
      </c>
      <c r="V395" s="222">
        <v>0.85</v>
      </c>
      <c r="AC395" s="63">
        <v>11.9</v>
      </c>
      <c r="AF395" t="s">
        <v>2463</v>
      </c>
      <c r="AH395" s="49">
        <f>Table2[[#This Row],[Prix de vente ($)]]/Table2[[#This Row],[Superficie totale (ha)]]</f>
        <v>4810.393258426966</v>
      </c>
    </row>
    <row r="396" spans="1:35" ht="33.75" customHeight="1">
      <c r="A396" s="187">
        <v>28794128</v>
      </c>
      <c r="B396" s="43"/>
      <c r="C396" s="148">
        <v>45423</v>
      </c>
      <c r="D396" s="37" t="s">
        <v>2464</v>
      </c>
      <c r="E396" s="37" t="s">
        <v>2465</v>
      </c>
      <c r="F396" s="45">
        <v>4001081</v>
      </c>
      <c r="G396" s="15">
        <v>19000</v>
      </c>
      <c r="H396" s="43"/>
      <c r="I396" s="43" t="s">
        <v>258</v>
      </c>
      <c r="J396" s="43" t="s">
        <v>1315</v>
      </c>
      <c r="K396" s="43" t="s">
        <v>2466</v>
      </c>
      <c r="L396" s="151" t="s">
        <v>2467</v>
      </c>
      <c r="M396" s="155" t="s">
        <v>2468</v>
      </c>
      <c r="N396" s="144">
        <v>6.41</v>
      </c>
      <c r="O396" s="43" t="s">
        <v>18</v>
      </c>
      <c r="P396" s="47" t="s">
        <v>19</v>
      </c>
      <c r="Q396" s="144">
        <v>6.41</v>
      </c>
      <c r="R396" s="43"/>
      <c r="S396" s="16" t="s">
        <v>22</v>
      </c>
      <c r="T396" s="215">
        <v>0.5</v>
      </c>
      <c r="U396" s="215">
        <v>0.5</v>
      </c>
      <c r="V396" s="215" t="s">
        <v>362</v>
      </c>
      <c r="W396" s="485"/>
      <c r="X396" s="215"/>
      <c r="Y396" s="43"/>
      <c r="Z396" s="46"/>
      <c r="AA396" s="43"/>
      <c r="AB396" s="43"/>
      <c r="AC396" s="46">
        <v>0</v>
      </c>
      <c r="AD396" s="17"/>
      <c r="AE396" s="48"/>
      <c r="AF396" s="37" t="s">
        <v>1870</v>
      </c>
      <c r="AG396" s="47"/>
      <c r="AH396" s="49">
        <f>Table2[[#This Row],[Prix de vente ($)]]/Table2[[#This Row],[Superficie totale (ha)]]</f>
        <v>2964.1185647425896</v>
      </c>
      <c r="AI396" s="49"/>
    </row>
    <row r="397" spans="1:35" ht="33.75" customHeight="1">
      <c r="A397" s="196">
        <v>28686649</v>
      </c>
      <c r="C397" s="318">
        <v>45425</v>
      </c>
      <c r="D397" s="249" t="s">
        <v>2469</v>
      </c>
      <c r="E397" s="249" t="s">
        <v>2470</v>
      </c>
      <c r="F397" s="249" t="s">
        <v>2471</v>
      </c>
      <c r="G397" s="134">
        <v>5000</v>
      </c>
      <c r="I397" t="s">
        <v>2108</v>
      </c>
      <c r="J397" t="s">
        <v>2472</v>
      </c>
      <c r="N397" s="211">
        <v>5.84</v>
      </c>
      <c r="O397" t="s">
        <v>25</v>
      </c>
      <c r="P397" t="s">
        <v>63</v>
      </c>
      <c r="Q397" s="211">
        <v>5.84</v>
      </c>
      <c r="S397" s="94" t="s">
        <v>310</v>
      </c>
      <c r="T397" s="222">
        <v>0.25</v>
      </c>
      <c r="U397" s="222">
        <v>0.75</v>
      </c>
      <c r="V397" s="222">
        <v>0.95</v>
      </c>
      <c r="AC397" s="63">
        <v>0.4</v>
      </c>
      <c r="AF397" t="s">
        <v>2473</v>
      </c>
      <c r="AH397" s="49">
        <f>Table2[[#This Row],[Prix de vente ($)]]/Table2[[#This Row],[Superficie totale (ha)]]</f>
        <v>856.16438356164383</v>
      </c>
    </row>
    <row r="398" spans="1:35" ht="33.75" customHeight="1">
      <c r="A398" s="196">
        <v>28696177</v>
      </c>
      <c r="C398" s="318">
        <v>45428</v>
      </c>
      <c r="D398" s="240" t="s">
        <v>2474</v>
      </c>
      <c r="E398" s="240" t="s">
        <v>2475</v>
      </c>
      <c r="F398" s="269">
        <v>6620985</v>
      </c>
      <c r="G398" s="134">
        <v>40000</v>
      </c>
      <c r="I398" t="s">
        <v>2245</v>
      </c>
      <c r="J398" t="s">
        <v>2337</v>
      </c>
      <c r="K398" t="s">
        <v>2337</v>
      </c>
      <c r="L398" s="205" t="s">
        <v>2476</v>
      </c>
      <c r="M398" s="270" t="s">
        <v>2477</v>
      </c>
      <c r="N398" s="211">
        <v>24.88</v>
      </c>
      <c r="O398" t="s">
        <v>25</v>
      </c>
      <c r="P398" t="s">
        <v>384</v>
      </c>
      <c r="Q398" s="211">
        <f>Table2[[#This Row],[Superficie totale (ha)]]</f>
        <v>24.88</v>
      </c>
      <c r="S398" s="16" t="s">
        <v>20</v>
      </c>
      <c r="T398" s="215">
        <v>0.7</v>
      </c>
      <c r="U398" s="215">
        <v>0.3</v>
      </c>
      <c r="V398" s="222" t="s">
        <v>362</v>
      </c>
      <c r="AF398" t="s">
        <v>2478</v>
      </c>
      <c r="AH398" s="49">
        <f>Table2[[#This Row],[Prix de vente ($)]]/Table2[[#This Row],[Superficie totale (ha)]]</f>
        <v>1607.7170418006431</v>
      </c>
    </row>
    <row r="399" spans="1:35" ht="33.75" customHeight="1">
      <c r="A399" s="197">
        <v>28700373</v>
      </c>
      <c r="C399" s="318">
        <v>45433</v>
      </c>
      <c r="D399" t="s">
        <v>2479</v>
      </c>
      <c r="E399" t="s">
        <v>2480</v>
      </c>
      <c r="F399" t="s">
        <v>2481</v>
      </c>
      <c r="G399" s="134">
        <v>20000</v>
      </c>
      <c r="I399" t="s">
        <v>29</v>
      </c>
      <c r="J399" t="s">
        <v>29</v>
      </c>
      <c r="K399" s="20" t="s">
        <v>2482</v>
      </c>
      <c r="L399" s="205" t="s">
        <v>2483</v>
      </c>
      <c r="M399" s="205" t="s">
        <v>2484</v>
      </c>
      <c r="N399" s="211">
        <v>8.1999999999999993</v>
      </c>
      <c r="O399" t="s">
        <v>25</v>
      </c>
      <c r="P399" t="s">
        <v>19</v>
      </c>
      <c r="Q399" s="199">
        <v>8.1999999999999993</v>
      </c>
      <c r="S399" s="94" t="s">
        <v>20</v>
      </c>
      <c r="T399" s="222">
        <v>0.65</v>
      </c>
      <c r="U399" s="222">
        <v>0.35</v>
      </c>
      <c r="AC399" s="63">
        <v>0</v>
      </c>
      <c r="AH399" s="49">
        <f>Table2[[#This Row],[Prix de vente ($)]]/Table2[[#This Row],[Superficie totale (ha)]]</f>
        <v>2439.0243902439029</v>
      </c>
    </row>
    <row r="400" spans="1:35" ht="33.75" customHeight="1">
      <c r="A400" s="196">
        <v>28712837</v>
      </c>
      <c r="C400" s="318">
        <v>45436</v>
      </c>
      <c r="D400" s="249" t="s">
        <v>2485</v>
      </c>
      <c r="E400" s="250" t="s">
        <v>2486</v>
      </c>
      <c r="F400" s="249" t="s">
        <v>2487</v>
      </c>
      <c r="G400" s="134">
        <v>80000</v>
      </c>
      <c r="I400" t="s">
        <v>2108</v>
      </c>
      <c r="J400" t="s">
        <v>2488</v>
      </c>
      <c r="K400" s="249" t="s">
        <v>2489</v>
      </c>
      <c r="N400" s="211">
        <v>21.26</v>
      </c>
      <c r="O400" t="s">
        <v>25</v>
      </c>
      <c r="P400" t="s">
        <v>173</v>
      </c>
      <c r="Q400" s="211">
        <v>21.26</v>
      </c>
      <c r="S400" s="94" t="s">
        <v>310</v>
      </c>
      <c r="T400" s="222">
        <v>0.35</v>
      </c>
      <c r="U400" s="222">
        <v>0.65</v>
      </c>
      <c r="V400" s="222">
        <v>0.65</v>
      </c>
      <c r="AC400" s="63">
        <v>5.8</v>
      </c>
      <c r="AF400" t="s">
        <v>2490</v>
      </c>
      <c r="AH400" s="49">
        <f>Table2[[#This Row],[Prix de vente ($)]]/Table2[[#This Row],[Superficie totale (ha)]]</f>
        <v>3762.9350893697083</v>
      </c>
    </row>
    <row r="401" spans="1:35" ht="33.75" customHeight="1">
      <c r="A401" s="196">
        <v>28714174</v>
      </c>
      <c r="C401" s="318">
        <v>45439</v>
      </c>
      <c r="D401" s="247" t="s">
        <v>2491</v>
      </c>
      <c r="E401" s="247" t="s">
        <v>2492</v>
      </c>
      <c r="F401" s="247" t="s">
        <v>2493</v>
      </c>
      <c r="G401" s="134">
        <v>100000</v>
      </c>
      <c r="I401" t="s">
        <v>2108</v>
      </c>
      <c r="J401" t="s">
        <v>2109</v>
      </c>
      <c r="N401" s="211">
        <v>3.93</v>
      </c>
      <c r="O401" t="s">
        <v>25</v>
      </c>
      <c r="P401" t="s">
        <v>63</v>
      </c>
      <c r="Q401" s="211">
        <v>3.93</v>
      </c>
      <c r="S401" s="181" t="s">
        <v>20</v>
      </c>
      <c r="T401" s="222">
        <v>1</v>
      </c>
      <c r="U401" s="222">
        <v>0</v>
      </c>
      <c r="V401" s="222">
        <v>0.85</v>
      </c>
      <c r="AC401" s="63">
        <v>1</v>
      </c>
      <c r="AF401" t="s">
        <v>2494</v>
      </c>
      <c r="AH401" s="49">
        <f>Table2[[#This Row],[Prix de vente ($)]]/Table2[[#This Row],[Superficie totale (ha)]]</f>
        <v>25445.292620865141</v>
      </c>
    </row>
    <row r="402" spans="1:35" ht="33.75" customHeight="1">
      <c r="A402" s="196">
        <v>28731058</v>
      </c>
      <c r="C402" s="318">
        <v>45446</v>
      </c>
      <c r="D402" s="239" t="s">
        <v>2495</v>
      </c>
      <c r="E402" s="239" t="s">
        <v>2496</v>
      </c>
      <c r="F402" s="239" t="s">
        <v>2497</v>
      </c>
      <c r="G402" s="134">
        <v>125000</v>
      </c>
      <c r="I402" t="s">
        <v>223</v>
      </c>
      <c r="J402" t="s">
        <v>32</v>
      </c>
      <c r="K402" s="239" t="s">
        <v>2498</v>
      </c>
      <c r="L402" s="205">
        <v>46.857692999999998</v>
      </c>
      <c r="M402" s="205">
        <v>-69.945847999999998</v>
      </c>
      <c r="N402" s="211">
        <v>21.06</v>
      </c>
      <c r="O402" t="s">
        <v>25</v>
      </c>
      <c r="P402" t="s">
        <v>110</v>
      </c>
      <c r="Q402" s="211">
        <v>21.06</v>
      </c>
      <c r="S402" s="94" t="s">
        <v>175</v>
      </c>
      <c r="T402" s="222">
        <v>0.5</v>
      </c>
      <c r="U402" s="222">
        <v>0.5</v>
      </c>
      <c r="V402" s="222">
        <v>0.85</v>
      </c>
      <c r="AF402" t="s">
        <v>2499</v>
      </c>
      <c r="AH402" s="49">
        <f>Table2[[#This Row],[Prix de vente ($)]]/Table2[[#This Row],[Superficie totale (ha)]]</f>
        <v>5935.4226020892693</v>
      </c>
    </row>
    <row r="403" spans="1:35" ht="33.75" customHeight="1">
      <c r="A403" s="196">
        <v>28732215</v>
      </c>
      <c r="C403" s="318">
        <v>45446</v>
      </c>
      <c r="D403" s="249" t="s">
        <v>2500</v>
      </c>
      <c r="E403" s="249" t="s">
        <v>2501</v>
      </c>
      <c r="F403" s="249" t="s">
        <v>2502</v>
      </c>
      <c r="G403" s="134">
        <v>410000</v>
      </c>
      <c r="I403" t="s">
        <v>274</v>
      </c>
      <c r="J403" t="s">
        <v>860</v>
      </c>
      <c r="K403" s="249" t="s">
        <v>2503</v>
      </c>
      <c r="L403" s="205">
        <v>45.616256999999997</v>
      </c>
      <c r="M403" s="205">
        <v>-72.081991000000002</v>
      </c>
      <c r="N403" s="211">
        <v>49.09</v>
      </c>
      <c r="O403" t="s">
        <v>18</v>
      </c>
      <c r="P403" t="s">
        <v>173</v>
      </c>
      <c r="Q403" s="199">
        <v>49.09</v>
      </c>
      <c r="S403" s="94" t="s">
        <v>20</v>
      </c>
      <c r="T403" s="222">
        <v>1</v>
      </c>
      <c r="U403" s="222">
        <v>0</v>
      </c>
      <c r="V403" s="222">
        <v>0.9</v>
      </c>
      <c r="AF403" s="20" t="s">
        <v>2504</v>
      </c>
      <c r="AH403" s="49">
        <f>Table2[[#This Row],[Prix de vente ($)]]/Table2[[#This Row],[Superficie totale (ha)]]</f>
        <v>8352.006518639233</v>
      </c>
    </row>
    <row r="404" spans="1:35" ht="33.75" customHeight="1">
      <c r="A404" s="187">
        <v>28739139</v>
      </c>
      <c r="B404" s="43"/>
      <c r="C404" s="148">
        <v>45448</v>
      </c>
      <c r="D404" s="37" t="s">
        <v>2505</v>
      </c>
      <c r="E404" s="37" t="s">
        <v>2506</v>
      </c>
      <c r="F404" s="45">
        <v>6117801</v>
      </c>
      <c r="G404" s="15">
        <v>250000</v>
      </c>
      <c r="H404" s="43"/>
      <c r="I404" s="43" t="s">
        <v>160</v>
      </c>
      <c r="J404" s="43" t="s">
        <v>1521</v>
      </c>
      <c r="K404" s="43" t="s">
        <v>2507</v>
      </c>
      <c r="L404" s="151" t="s">
        <v>2508</v>
      </c>
      <c r="M404" s="155" t="s">
        <v>2509</v>
      </c>
      <c r="N404" s="144">
        <v>8.31</v>
      </c>
      <c r="O404" s="43" t="s">
        <v>18</v>
      </c>
      <c r="P404" s="47" t="s">
        <v>165</v>
      </c>
      <c r="Q404" s="144">
        <v>8.31</v>
      </c>
      <c r="R404" s="43">
        <v>0</v>
      </c>
      <c r="S404" s="16" t="s">
        <v>20</v>
      </c>
      <c r="T404" s="215">
        <v>0.95</v>
      </c>
      <c r="U404" s="215">
        <v>0.05</v>
      </c>
      <c r="V404" s="215"/>
      <c r="W404" s="485"/>
      <c r="X404" s="215"/>
      <c r="Y404" s="43"/>
      <c r="Z404" s="46"/>
      <c r="AA404" s="43"/>
      <c r="AB404" s="43"/>
      <c r="AC404" s="46">
        <v>7.41</v>
      </c>
      <c r="AD404" s="17"/>
      <c r="AE404" s="48"/>
      <c r="AF404" s="37" t="s">
        <v>2510</v>
      </c>
      <c r="AG404" s="47"/>
      <c r="AH404" s="49">
        <f>Table2[[#This Row],[Prix de vente ($)]]/Table2[[#This Row],[Superficie totale (ha)]]</f>
        <v>30084.235860409142</v>
      </c>
      <c r="AI404" s="49"/>
    </row>
    <row r="405" spans="1:35" ht="33.75" customHeight="1">
      <c r="A405" s="187">
        <v>28741200</v>
      </c>
      <c r="B405" s="43"/>
      <c r="C405" s="148">
        <v>45449</v>
      </c>
      <c r="D405" s="37" t="s">
        <v>2511</v>
      </c>
      <c r="E405" s="37" t="s">
        <v>2512</v>
      </c>
      <c r="F405" s="45" t="s">
        <v>2513</v>
      </c>
      <c r="G405" s="15">
        <v>20000</v>
      </c>
      <c r="H405" s="43"/>
      <c r="I405" s="43" t="s">
        <v>679</v>
      </c>
      <c r="J405" s="43" t="s">
        <v>680</v>
      </c>
      <c r="K405" s="43" t="s">
        <v>2036</v>
      </c>
      <c r="L405" s="151" t="s">
        <v>2514</v>
      </c>
      <c r="M405" s="155" t="s">
        <v>2515</v>
      </c>
      <c r="N405" s="144">
        <v>10.86</v>
      </c>
      <c r="O405" s="43" t="s">
        <v>25</v>
      </c>
      <c r="P405" s="47" t="s">
        <v>165</v>
      </c>
      <c r="Q405" s="144">
        <v>10.86</v>
      </c>
      <c r="R405" s="43">
        <v>0</v>
      </c>
      <c r="S405" s="16" t="s">
        <v>102</v>
      </c>
      <c r="T405" s="215">
        <v>0.45</v>
      </c>
      <c r="U405" s="215">
        <v>0.55000000000000004</v>
      </c>
      <c r="V405" s="215"/>
      <c r="W405" s="485"/>
      <c r="X405" s="215"/>
      <c r="Y405" s="43"/>
      <c r="Z405" s="46"/>
      <c r="AA405" s="43"/>
      <c r="AB405" s="43"/>
      <c r="AC405" s="46">
        <v>0</v>
      </c>
      <c r="AD405" s="17"/>
      <c r="AE405" s="48"/>
      <c r="AF405" s="37" t="s">
        <v>2121</v>
      </c>
      <c r="AG405" s="47"/>
      <c r="AH405" s="49">
        <f>Table2[[#This Row],[Prix de vente ($)]]/Table2[[#This Row],[Superficie totale (ha)]]</f>
        <v>1841.6206261510131</v>
      </c>
      <c r="AI405" s="49"/>
    </row>
    <row r="406" spans="1:35" ht="33.75" customHeight="1">
      <c r="A406" s="196" t="s">
        <v>2516</v>
      </c>
      <c r="C406" s="318">
        <v>45450</v>
      </c>
      <c r="D406" t="s">
        <v>2517</v>
      </c>
      <c r="E406" s="20" t="s">
        <v>2518</v>
      </c>
      <c r="F406" t="s">
        <v>2519</v>
      </c>
      <c r="G406" s="93">
        <v>325000</v>
      </c>
      <c r="I406" t="s">
        <v>2520</v>
      </c>
      <c r="J406" t="s">
        <v>2521</v>
      </c>
      <c r="K406" t="s">
        <v>2522</v>
      </c>
      <c r="N406" s="211">
        <f>24.2+0.71</f>
        <v>24.91</v>
      </c>
      <c r="O406" t="s">
        <v>18</v>
      </c>
      <c r="P406" t="s">
        <v>2177</v>
      </c>
      <c r="Q406" s="211">
        <f>24.2+0.71</f>
        <v>24.91</v>
      </c>
      <c r="S406" s="94" t="s">
        <v>62</v>
      </c>
      <c r="T406" s="222">
        <v>0.8</v>
      </c>
      <c r="U406" s="222">
        <v>0.2</v>
      </c>
      <c r="V406" s="222">
        <v>0.85</v>
      </c>
      <c r="AC406" s="63">
        <v>18.3</v>
      </c>
      <c r="AF406" s="20" t="s">
        <v>2523</v>
      </c>
      <c r="AH406" s="49">
        <f>Table2[[#This Row],[Prix de vente ($)]]/Table2[[#This Row],[Superficie totale (ha)]]</f>
        <v>13046.96908871939</v>
      </c>
    </row>
    <row r="407" spans="1:35" ht="33.75" customHeight="1">
      <c r="A407" s="196" t="s">
        <v>2524</v>
      </c>
      <c r="C407" s="318">
        <v>45450</v>
      </c>
      <c r="F407" t="s">
        <v>2525</v>
      </c>
      <c r="G407" s="93">
        <v>210000</v>
      </c>
      <c r="I407" t="s">
        <v>50</v>
      </c>
      <c r="N407" s="223">
        <v>27.26</v>
      </c>
      <c r="AC407" s="423">
        <v>16.010000000000002</v>
      </c>
      <c r="AH407" s="49"/>
    </row>
    <row r="408" spans="1:35" ht="33.75" customHeight="1">
      <c r="A408" s="187">
        <v>28749494</v>
      </c>
      <c r="B408" s="43"/>
      <c r="C408" s="148">
        <v>45453</v>
      </c>
      <c r="D408" s="37" t="s">
        <v>2526</v>
      </c>
      <c r="E408" s="37" t="s">
        <v>2527</v>
      </c>
      <c r="F408" s="45">
        <v>6586928</v>
      </c>
      <c r="G408" s="15">
        <v>215000</v>
      </c>
      <c r="H408" s="43"/>
      <c r="I408" s="43" t="s">
        <v>321</v>
      </c>
      <c r="J408" s="43" t="s">
        <v>2359</v>
      </c>
      <c r="K408" s="43" t="s">
        <v>2528</v>
      </c>
      <c r="L408" s="151">
        <v>46.41621</v>
      </c>
      <c r="M408" s="155" t="s">
        <v>2529</v>
      </c>
      <c r="N408" s="144">
        <v>33.520000000000003</v>
      </c>
      <c r="O408" s="43" t="s">
        <v>18</v>
      </c>
      <c r="P408" s="47" t="s">
        <v>35</v>
      </c>
      <c r="Q408" s="144">
        <v>32</v>
      </c>
      <c r="R408" s="43">
        <v>0</v>
      </c>
      <c r="S408" s="16" t="s">
        <v>102</v>
      </c>
      <c r="T408" s="215">
        <v>0.3</v>
      </c>
      <c r="U408" s="215">
        <v>0.7</v>
      </c>
      <c r="V408" s="215">
        <v>0.8</v>
      </c>
      <c r="W408" s="485"/>
      <c r="X408" s="215"/>
      <c r="Y408" s="43"/>
      <c r="Z408" s="46"/>
      <c r="AA408" s="43"/>
      <c r="AB408" s="43"/>
      <c r="AC408" s="46">
        <v>0</v>
      </c>
      <c r="AD408" s="17"/>
      <c r="AE408" s="48"/>
      <c r="AF408" s="37" t="s">
        <v>2530</v>
      </c>
      <c r="AG408" s="47"/>
      <c r="AH408" s="49">
        <f>Table2[[#This Row],[Prix de vente ($)]]/Table2[[#This Row],[Superficie totale (ha)]]</f>
        <v>6414.0811455847252</v>
      </c>
      <c r="AI408" s="49"/>
    </row>
    <row r="409" spans="1:35" ht="33.75" customHeight="1">
      <c r="A409" s="196" t="s">
        <v>2531</v>
      </c>
      <c r="C409" s="318">
        <v>45454</v>
      </c>
      <c r="F409" t="s">
        <v>2532</v>
      </c>
      <c r="G409" s="93">
        <v>35000</v>
      </c>
      <c r="I409" t="s">
        <v>1363</v>
      </c>
      <c r="AH409" s="49" t="e">
        <f>Table2[[#This Row],[Prix de vente ($)]]/Table2[[#This Row],[Superficie totale (ha)]]</f>
        <v>#DIV/0!</v>
      </c>
    </row>
    <row r="410" spans="1:35" ht="33.75" customHeight="1">
      <c r="A410" s="187">
        <v>28758404</v>
      </c>
      <c r="B410" s="43"/>
      <c r="C410" s="148">
        <v>45456</v>
      </c>
      <c r="D410" s="37" t="s">
        <v>2533</v>
      </c>
      <c r="E410" s="37" t="s">
        <v>2534</v>
      </c>
      <c r="F410" s="45" t="s">
        <v>2535</v>
      </c>
      <c r="G410" s="15">
        <v>215000</v>
      </c>
      <c r="H410" s="43"/>
      <c r="I410" s="43" t="s">
        <v>515</v>
      </c>
      <c r="J410" s="43" t="s">
        <v>515</v>
      </c>
      <c r="K410" s="43" t="s">
        <v>2536</v>
      </c>
      <c r="L410" s="151" t="s">
        <v>2537</v>
      </c>
      <c r="M410" s="155" t="s">
        <v>2538</v>
      </c>
      <c r="N410" s="144">
        <v>11.89</v>
      </c>
      <c r="O410" s="43" t="s">
        <v>18</v>
      </c>
      <c r="P410" s="47" t="s">
        <v>26</v>
      </c>
      <c r="Q410" s="144">
        <v>11.89</v>
      </c>
      <c r="R410" s="43">
        <v>0</v>
      </c>
      <c r="S410" s="16" t="s">
        <v>102</v>
      </c>
      <c r="T410" s="215">
        <v>0.4</v>
      </c>
      <c r="U410" s="215">
        <v>0.6</v>
      </c>
      <c r="V410" s="215"/>
      <c r="W410" s="485"/>
      <c r="X410" s="215"/>
      <c r="Y410" s="43"/>
      <c r="Z410" s="46"/>
      <c r="AA410" s="43"/>
      <c r="AB410" s="43"/>
      <c r="AC410" s="46">
        <v>3.1</v>
      </c>
      <c r="AD410" s="17"/>
      <c r="AE410" s="48"/>
      <c r="AF410" s="37" t="s">
        <v>2539</v>
      </c>
      <c r="AG410" s="47"/>
      <c r="AH410" s="49">
        <f>Table2[[#This Row],[Prix de vente ($)]]/Table2[[#This Row],[Superficie totale (ha)]]</f>
        <v>18082.42220353238</v>
      </c>
      <c r="AI410" s="49"/>
    </row>
    <row r="411" spans="1:35" ht="33.75" customHeight="1">
      <c r="A411" s="196">
        <v>28762744</v>
      </c>
      <c r="C411" s="318">
        <v>45457</v>
      </c>
      <c r="D411" t="s">
        <v>2540</v>
      </c>
      <c r="E411" t="s">
        <v>2541</v>
      </c>
      <c r="F411" s="269">
        <v>5005721</v>
      </c>
      <c r="G411" s="93">
        <v>130000</v>
      </c>
      <c r="I411" t="s">
        <v>69</v>
      </c>
      <c r="J411" t="s">
        <v>1290</v>
      </c>
      <c r="K411" t="s">
        <v>2542</v>
      </c>
      <c r="L411" s="205" t="s">
        <v>2543</v>
      </c>
      <c r="M411" s="270" t="s">
        <v>2544</v>
      </c>
      <c r="N411" s="211">
        <v>43.73</v>
      </c>
      <c r="O411" t="s">
        <v>25</v>
      </c>
      <c r="P411" t="s">
        <v>63</v>
      </c>
      <c r="S411" s="94" t="s">
        <v>20</v>
      </c>
      <c r="T411" s="222">
        <v>0.6</v>
      </c>
      <c r="U411" s="222">
        <v>0.4</v>
      </c>
      <c r="V411" s="222">
        <v>0.8</v>
      </c>
      <c r="AC411" s="63">
        <v>10.5</v>
      </c>
      <c r="AF411" t="s">
        <v>1813</v>
      </c>
      <c r="AH411" s="49">
        <f>Table2[[#This Row],[Prix de vente ($)]]/Table2[[#This Row],[Superficie totale (ha)]]</f>
        <v>2972.7875600274415</v>
      </c>
    </row>
    <row r="412" spans="1:35" ht="33.75" customHeight="1">
      <c r="A412" s="187">
        <v>28768253</v>
      </c>
      <c r="B412" s="43"/>
      <c r="C412" s="148">
        <v>45460</v>
      </c>
      <c r="D412" s="37" t="s">
        <v>2545</v>
      </c>
      <c r="E412" s="37" t="s">
        <v>2546</v>
      </c>
      <c r="F412" s="45">
        <v>2360303</v>
      </c>
      <c r="G412" s="15">
        <v>100000</v>
      </c>
      <c r="H412" s="43"/>
      <c r="I412" s="43" t="s">
        <v>515</v>
      </c>
      <c r="J412" s="43" t="s">
        <v>515</v>
      </c>
      <c r="K412" s="43" t="s">
        <v>2547</v>
      </c>
      <c r="L412" s="151" t="s">
        <v>2548</v>
      </c>
      <c r="M412" s="155" t="s">
        <v>2549</v>
      </c>
      <c r="N412" s="144">
        <v>4.49</v>
      </c>
      <c r="O412" s="43" t="s">
        <v>18</v>
      </c>
      <c r="P412" s="47" t="s">
        <v>35</v>
      </c>
      <c r="Q412" s="144">
        <v>3.3</v>
      </c>
      <c r="R412" s="43">
        <v>0</v>
      </c>
      <c r="S412" s="16" t="s">
        <v>20</v>
      </c>
      <c r="T412" s="215">
        <v>0.85</v>
      </c>
      <c r="U412" s="215">
        <v>0.15</v>
      </c>
      <c r="V412" s="215"/>
      <c r="W412" s="485"/>
      <c r="X412" s="215"/>
      <c r="Y412" s="43"/>
      <c r="Z412" s="46"/>
      <c r="AA412" s="43"/>
      <c r="AB412" s="43"/>
      <c r="AC412" s="46">
        <v>2.6</v>
      </c>
      <c r="AD412" s="17"/>
      <c r="AE412" s="48"/>
      <c r="AF412" s="37" t="s">
        <v>2550</v>
      </c>
      <c r="AG412" s="47"/>
      <c r="AH412" s="49">
        <f>Table2[[#This Row],[Prix de vente ($)]]/Table2[[#This Row],[Superficie totale (ha)]]</f>
        <v>22271.714922048996</v>
      </c>
      <c r="AI412" s="49"/>
    </row>
    <row r="413" spans="1:35" ht="33.950000000000003" customHeight="1">
      <c r="A413" s="187">
        <v>28768196</v>
      </c>
      <c r="B413" s="43"/>
      <c r="C413" s="148">
        <v>45460</v>
      </c>
      <c r="D413" s="37" t="s">
        <v>2551</v>
      </c>
      <c r="E413" s="37" t="s">
        <v>2552</v>
      </c>
      <c r="F413" s="45">
        <v>5728306</v>
      </c>
      <c r="G413" s="15">
        <v>98000</v>
      </c>
      <c r="H413" s="43"/>
      <c r="I413" s="43" t="s">
        <v>679</v>
      </c>
      <c r="J413" s="43" t="s">
        <v>812</v>
      </c>
      <c r="K413" s="43" t="s">
        <v>2553</v>
      </c>
      <c r="L413" s="151" t="s">
        <v>2554</v>
      </c>
      <c r="M413" s="155" t="s">
        <v>2555</v>
      </c>
      <c r="N413" s="144">
        <v>8.89</v>
      </c>
      <c r="O413" s="43" t="s">
        <v>18</v>
      </c>
      <c r="P413" s="47" t="s">
        <v>165</v>
      </c>
      <c r="Q413" s="144">
        <v>8.2899999999999991</v>
      </c>
      <c r="R413" s="43">
        <v>0.6</v>
      </c>
      <c r="S413" s="16" t="s">
        <v>102</v>
      </c>
      <c r="T413" s="215">
        <v>0.3</v>
      </c>
      <c r="U413" s="215">
        <v>0.7</v>
      </c>
      <c r="V413" s="215"/>
      <c r="W413" s="485"/>
      <c r="X413" s="215"/>
      <c r="Y413" s="43"/>
      <c r="Z413" s="46"/>
      <c r="AA413" s="43"/>
      <c r="AB413" s="43"/>
      <c r="AC413" s="46">
        <v>0</v>
      </c>
      <c r="AD413" s="17"/>
      <c r="AE413" s="48"/>
      <c r="AF413" s="37"/>
      <c r="AG413" s="47"/>
      <c r="AH413" s="49">
        <f>Table2[[#This Row],[Prix de vente ($)]]/Table2[[#This Row],[Superficie totale (ha)]]</f>
        <v>11023.622047244095</v>
      </c>
      <c r="AI413" s="49"/>
    </row>
    <row r="414" spans="1:35" ht="33.950000000000003" customHeight="1">
      <c r="A414" s="196" t="s">
        <v>2556</v>
      </c>
      <c r="C414" s="318">
        <v>45461</v>
      </c>
      <c r="D414" t="s">
        <v>2557</v>
      </c>
      <c r="E414" t="s">
        <v>2558</v>
      </c>
      <c r="F414" t="s">
        <v>2559</v>
      </c>
      <c r="G414" s="93">
        <v>130000</v>
      </c>
      <c r="I414" t="s">
        <v>2560</v>
      </c>
      <c r="J414" t="s">
        <v>2561</v>
      </c>
      <c r="K414" t="s">
        <v>2562</v>
      </c>
      <c r="L414" s="205">
        <v>45.404727000000001</v>
      </c>
      <c r="M414" s="270" t="s">
        <v>2563</v>
      </c>
      <c r="N414" s="211" t="s">
        <v>2564</v>
      </c>
      <c r="O414" t="s">
        <v>18</v>
      </c>
      <c r="P414" t="s">
        <v>206</v>
      </c>
      <c r="Q414" s="199">
        <v>7</v>
      </c>
      <c r="S414" s="94" t="s">
        <v>20</v>
      </c>
      <c r="T414" s="222">
        <v>1</v>
      </c>
      <c r="U414" s="222">
        <v>0</v>
      </c>
      <c r="V414" s="222">
        <v>0.95</v>
      </c>
      <c r="AC414" s="63">
        <v>7</v>
      </c>
      <c r="AF414" t="s">
        <v>2565</v>
      </c>
      <c r="AH414" s="49">
        <f>Table2[[#This Row],[Prix de vente ($)]]/Table2[[#This Row],[Superficie totale (ha)]]</f>
        <v>12922.465208747515</v>
      </c>
    </row>
    <row r="415" spans="1:35" ht="33.950000000000003" customHeight="1">
      <c r="A415" s="196">
        <v>28776996</v>
      </c>
      <c r="C415" s="318">
        <v>45462</v>
      </c>
      <c r="D415" t="s">
        <v>2566</v>
      </c>
      <c r="E415" t="s">
        <v>2567</v>
      </c>
      <c r="F415" t="s">
        <v>2568</v>
      </c>
      <c r="G415" s="93">
        <v>35000</v>
      </c>
      <c r="I415" s="139" t="s">
        <v>2163</v>
      </c>
      <c r="J415" t="s">
        <v>2569</v>
      </c>
      <c r="K415" t="s">
        <v>2570</v>
      </c>
      <c r="L415" s="205" t="s">
        <v>2571</v>
      </c>
      <c r="M415" s="270" t="s">
        <v>2572</v>
      </c>
      <c r="N415" s="211">
        <f>36.59+8.25</f>
        <v>44.84</v>
      </c>
      <c r="O415" t="s">
        <v>18</v>
      </c>
      <c r="P415" t="s">
        <v>63</v>
      </c>
      <c r="S415" s="94" t="s">
        <v>33</v>
      </c>
      <c r="T415" s="222">
        <v>0.4</v>
      </c>
      <c r="U415" s="222">
        <v>0.6</v>
      </c>
      <c r="V415" s="222">
        <v>0.65</v>
      </c>
      <c r="AF415" t="s">
        <v>2573</v>
      </c>
      <c r="AH415" s="49">
        <f>Table2[[#This Row],[Prix de vente ($)]]/Table2[[#This Row],[Superficie totale (ha)]]</f>
        <v>780.55307760927735</v>
      </c>
    </row>
    <row r="416" spans="1:35" ht="33.950000000000003" customHeight="1">
      <c r="A416" s="196" t="s">
        <v>2574</v>
      </c>
      <c r="C416" s="318">
        <v>45463</v>
      </c>
      <c r="D416" t="s">
        <v>2341</v>
      </c>
      <c r="E416" t="s">
        <v>2342</v>
      </c>
      <c r="F416" t="s">
        <v>2343</v>
      </c>
      <c r="G416" s="93">
        <v>200000</v>
      </c>
      <c r="I416" t="s">
        <v>2157</v>
      </c>
      <c r="J416" t="s">
        <v>2575</v>
      </c>
      <c r="K416" t="s">
        <v>2576</v>
      </c>
      <c r="L416" s="205">
        <v>45.090508999999997</v>
      </c>
      <c r="M416" s="270" t="s">
        <v>2577</v>
      </c>
      <c r="N416" s="211">
        <f>13.59+3.15</f>
        <v>16.739999999999998</v>
      </c>
      <c r="O416" t="s">
        <v>18</v>
      </c>
      <c r="P416" t="s">
        <v>206</v>
      </c>
      <c r="S416" s="94" t="s">
        <v>20</v>
      </c>
      <c r="T416" s="222">
        <v>0.8</v>
      </c>
      <c r="U416" s="222">
        <v>0.2</v>
      </c>
      <c r="V416" s="222">
        <v>0.8</v>
      </c>
      <c r="AC416" s="63">
        <v>3.7</v>
      </c>
      <c r="AH416" s="49">
        <f>Table2[[#This Row],[Prix de vente ($)]]/Table2[[#This Row],[Superficie totale (ha)]]</f>
        <v>11947.431302270013</v>
      </c>
    </row>
    <row r="417" spans="1:35" ht="33.950000000000003" customHeight="1">
      <c r="A417" s="196" t="s">
        <v>2578</v>
      </c>
      <c r="C417" s="318">
        <v>45464</v>
      </c>
      <c r="D417" t="s">
        <v>2579</v>
      </c>
      <c r="E417" t="s">
        <v>2580</v>
      </c>
      <c r="F417" t="s">
        <v>2581</v>
      </c>
      <c r="G417" s="93">
        <v>1550000</v>
      </c>
      <c r="I417" t="s">
        <v>75</v>
      </c>
      <c r="J417" t="s">
        <v>1324</v>
      </c>
      <c r="K417" t="s">
        <v>2582</v>
      </c>
      <c r="L417" s="205">
        <v>46.736131999999998</v>
      </c>
      <c r="M417" s="270" t="s">
        <v>2583</v>
      </c>
      <c r="N417" s="211">
        <v>106.636</v>
      </c>
      <c r="P417" t="s">
        <v>2584</v>
      </c>
      <c r="S417" s="94" t="s">
        <v>20</v>
      </c>
      <c r="T417" s="222">
        <v>0.9</v>
      </c>
      <c r="U417" s="222">
        <v>0.1</v>
      </c>
      <c r="V417" s="222">
        <v>0.85</v>
      </c>
      <c r="Y417" t="s">
        <v>41</v>
      </c>
      <c r="AC417" s="63">
        <v>75.3</v>
      </c>
      <c r="AF417" t="s">
        <v>2585</v>
      </c>
      <c r="AH417" s="49">
        <f>Table2[[#This Row],[Prix de vente ($)]]/Table2[[#This Row],[Superficie totale (ha)]]</f>
        <v>14535.428935819049</v>
      </c>
    </row>
    <row r="418" spans="1:35" ht="33.950000000000003" customHeight="1">
      <c r="A418" s="196" t="s">
        <v>2586</v>
      </c>
      <c r="C418" s="318">
        <v>45468</v>
      </c>
      <c r="D418" t="s">
        <v>2587</v>
      </c>
      <c r="E418" t="s">
        <v>2588</v>
      </c>
      <c r="F418" t="s">
        <v>2589</v>
      </c>
      <c r="G418" s="93">
        <v>150000</v>
      </c>
      <c r="I418" t="s">
        <v>75</v>
      </c>
      <c r="J418" t="s">
        <v>1972</v>
      </c>
      <c r="K418" t="s">
        <v>2590</v>
      </c>
      <c r="L418" s="205">
        <v>46.661727999999997</v>
      </c>
      <c r="M418" s="270" t="s">
        <v>2591</v>
      </c>
      <c r="N418" s="211">
        <v>20.37</v>
      </c>
      <c r="O418" s="50" t="s">
        <v>18</v>
      </c>
      <c r="P418" s="424" t="s">
        <v>35</v>
      </c>
      <c r="S418" s="50" t="s">
        <v>310</v>
      </c>
      <c r="T418" s="222">
        <v>0.35</v>
      </c>
      <c r="U418" s="222">
        <v>0.65</v>
      </c>
      <c r="V418" s="222">
        <v>0.7</v>
      </c>
      <c r="AH418" s="49">
        <f>Table2[[#This Row],[Prix de vente ($)]]/Table2[[#This Row],[Superficie totale (ha)]]</f>
        <v>7363.7702503681885</v>
      </c>
    </row>
    <row r="419" spans="1:35" ht="33.950000000000003" customHeight="1">
      <c r="A419" s="196" t="s">
        <v>2592</v>
      </c>
      <c r="C419" s="318">
        <v>45469</v>
      </c>
      <c r="F419" t="s">
        <v>2593</v>
      </c>
      <c r="I419" t="s">
        <v>2594</v>
      </c>
      <c r="J419" t="s">
        <v>2595</v>
      </c>
      <c r="AH419" s="49"/>
    </row>
    <row r="420" spans="1:35" ht="33.950000000000003" customHeight="1">
      <c r="A420" s="187">
        <v>28797569</v>
      </c>
      <c r="B420" s="43"/>
      <c r="C420" s="148">
        <v>45470</v>
      </c>
      <c r="D420" s="37" t="s">
        <v>2596</v>
      </c>
      <c r="E420" s="37" t="s">
        <v>2597</v>
      </c>
      <c r="F420" s="45" t="s">
        <v>2598</v>
      </c>
      <c r="G420" s="15">
        <v>25000</v>
      </c>
      <c r="H420" s="43"/>
      <c r="I420" s="43" t="s">
        <v>65</v>
      </c>
      <c r="J420" s="43" t="s">
        <v>2599</v>
      </c>
      <c r="K420" s="43" t="s">
        <v>2600</v>
      </c>
      <c r="L420" s="151" t="s">
        <v>2601</v>
      </c>
      <c r="M420" s="155" t="s">
        <v>2602</v>
      </c>
      <c r="N420" s="144">
        <v>14.1</v>
      </c>
      <c r="O420" s="43" t="s">
        <v>18</v>
      </c>
      <c r="P420" s="47" t="s">
        <v>19</v>
      </c>
      <c r="Q420" s="144">
        <v>14.1</v>
      </c>
      <c r="R420" s="43">
        <v>0</v>
      </c>
      <c r="S420" s="16" t="s">
        <v>20</v>
      </c>
      <c r="T420" s="215">
        <v>0.6</v>
      </c>
      <c r="U420" s="215">
        <v>0.4</v>
      </c>
      <c r="V420" s="215"/>
      <c r="W420" s="485"/>
      <c r="X420" s="215"/>
      <c r="Y420" s="43"/>
      <c r="Z420" s="46"/>
      <c r="AA420" s="43"/>
      <c r="AB420" s="43"/>
      <c r="AC420" s="46">
        <v>1.3</v>
      </c>
      <c r="AD420" s="17"/>
      <c r="AE420" s="48"/>
      <c r="AF420" s="37" t="s">
        <v>126</v>
      </c>
      <c r="AG420" s="47"/>
      <c r="AH420" s="49">
        <f>Table2[[#This Row],[Prix de vente ($)]]/Table2[[#This Row],[Superficie totale (ha)]]</f>
        <v>1773.049645390071</v>
      </c>
      <c r="AI420" s="49"/>
    </row>
    <row r="421" spans="1:35" ht="33.950000000000003" customHeight="1">
      <c r="A421" s="187">
        <v>28815415</v>
      </c>
      <c r="B421" s="43"/>
      <c r="C421" s="148">
        <v>45477</v>
      </c>
      <c r="D421" s="37" t="s">
        <v>2603</v>
      </c>
      <c r="E421" s="37" t="s">
        <v>2604</v>
      </c>
      <c r="F421" s="45" t="s">
        <v>2605</v>
      </c>
      <c r="G421" s="15">
        <v>280000</v>
      </c>
      <c r="H421" s="43"/>
      <c r="I421" s="43" t="s">
        <v>160</v>
      </c>
      <c r="J421" s="43" t="s">
        <v>2606</v>
      </c>
      <c r="K421" s="43" t="s">
        <v>2607</v>
      </c>
      <c r="L421" s="151" t="s">
        <v>2608</v>
      </c>
      <c r="M421" s="155" t="s">
        <v>2609</v>
      </c>
      <c r="N421" s="144">
        <v>11.2</v>
      </c>
      <c r="O421" s="43" t="s">
        <v>18</v>
      </c>
      <c r="P421" s="47" t="s">
        <v>19</v>
      </c>
      <c r="Q421" s="144">
        <v>10</v>
      </c>
      <c r="R421" s="43">
        <v>0</v>
      </c>
      <c r="S421" s="16" t="s">
        <v>20</v>
      </c>
      <c r="T421" s="215">
        <v>0.9</v>
      </c>
      <c r="U421" s="215">
        <v>0.1</v>
      </c>
      <c r="V421" s="215"/>
      <c r="W421" s="485"/>
      <c r="X421" s="215"/>
      <c r="Y421" s="43"/>
      <c r="Z421" s="46"/>
      <c r="AA421" s="43"/>
      <c r="AB421" s="43"/>
      <c r="AC421" s="46">
        <v>7.3</v>
      </c>
      <c r="AD421" s="17"/>
      <c r="AE421" s="48"/>
      <c r="AF421" s="37" t="s">
        <v>2610</v>
      </c>
      <c r="AG421" s="47"/>
      <c r="AH421" s="49">
        <f>Table2[[#This Row],[Prix de vente ($)]]/Table2[[#This Row],[Superficie totale (ha)]]</f>
        <v>25000</v>
      </c>
      <c r="AI421" s="49"/>
    </row>
    <row r="422" spans="1:35" ht="33.950000000000003" customHeight="1">
      <c r="A422" s="196">
        <v>28813327</v>
      </c>
      <c r="B422">
        <v>28156456</v>
      </c>
      <c r="C422" s="318">
        <v>45477</v>
      </c>
      <c r="D422" t="s">
        <v>2611</v>
      </c>
      <c r="E422" t="s">
        <v>2612</v>
      </c>
      <c r="F422" t="s">
        <v>2613</v>
      </c>
      <c r="G422" s="134">
        <v>665000</v>
      </c>
      <c r="I422" t="s">
        <v>1352</v>
      </c>
      <c r="J422" t="s">
        <v>2614</v>
      </c>
      <c r="K422" t="s">
        <v>2615</v>
      </c>
      <c r="L422" s="205" t="s">
        <v>2616</v>
      </c>
      <c r="M422" s="270" t="s">
        <v>2617</v>
      </c>
      <c r="N422" s="211">
        <f>1.69+1.55+10.58+69.7+0.26+1.17+0.63+3.76+0.3</f>
        <v>89.640000000000015</v>
      </c>
      <c r="O422" t="s">
        <v>25</v>
      </c>
      <c r="P422" t="s">
        <v>173</v>
      </c>
      <c r="Q422" s="211">
        <f>Table2[[#This Row],[Superficie totale (ha)]]</f>
        <v>89.640000000000015</v>
      </c>
      <c r="S422" s="181" t="s">
        <v>20</v>
      </c>
      <c r="T422" s="222">
        <v>0.6</v>
      </c>
      <c r="U422" s="222">
        <v>0.4</v>
      </c>
      <c r="V422" s="222" t="s">
        <v>1214</v>
      </c>
      <c r="AC422" s="63">
        <v>20.2</v>
      </c>
      <c r="AF422" t="s">
        <v>2618</v>
      </c>
      <c r="AH422" s="49">
        <f>Table2[[#This Row],[Prix de vente ($)]]/Table2[[#This Row],[Superficie totale (ha)]]</f>
        <v>7418.5631414547061</v>
      </c>
    </row>
    <row r="423" spans="1:35" ht="33.950000000000003" customHeight="1">
      <c r="A423" s="187">
        <v>28670895</v>
      </c>
      <c r="B423" s="43"/>
      <c r="C423" s="148">
        <v>45480</v>
      </c>
      <c r="D423" s="37" t="s">
        <v>2619</v>
      </c>
      <c r="E423" s="37" t="s">
        <v>2620</v>
      </c>
      <c r="F423" s="45" t="s">
        <v>2621</v>
      </c>
      <c r="G423" s="15">
        <v>627500</v>
      </c>
      <c r="H423" s="43"/>
      <c r="I423" s="43" t="s">
        <v>408</v>
      </c>
      <c r="J423" s="43" t="s">
        <v>1345</v>
      </c>
      <c r="K423" s="43" t="s">
        <v>2622</v>
      </c>
      <c r="L423" s="151" t="s">
        <v>2623</v>
      </c>
      <c r="M423" s="155" t="s">
        <v>2624</v>
      </c>
      <c r="N423" s="144">
        <v>9.83</v>
      </c>
      <c r="O423" s="43" t="s">
        <v>18</v>
      </c>
      <c r="P423" s="47" t="s">
        <v>35</v>
      </c>
      <c r="Q423" s="144">
        <v>9.83</v>
      </c>
      <c r="R423" s="43">
        <v>0</v>
      </c>
      <c r="S423" s="16" t="s">
        <v>22</v>
      </c>
      <c r="T423" s="215">
        <v>0.5</v>
      </c>
      <c r="U423" s="215">
        <v>0.5</v>
      </c>
      <c r="V423" s="215"/>
      <c r="W423" s="485"/>
      <c r="X423" s="215"/>
      <c r="Y423" s="43"/>
      <c r="Z423" s="46"/>
      <c r="AA423" s="43"/>
      <c r="AB423" s="43"/>
      <c r="AC423" s="46">
        <v>5.0999999999999996</v>
      </c>
      <c r="AD423" s="17"/>
      <c r="AE423" s="48"/>
      <c r="AF423" s="37" t="s">
        <v>2625</v>
      </c>
      <c r="AG423" s="47"/>
      <c r="AH423" s="49">
        <f>Table2[[#This Row],[Prix de vente ($)]]/Table2[[#This Row],[Superficie totale (ha)]]</f>
        <v>63835.1983723296</v>
      </c>
      <c r="AI423" s="49"/>
    </row>
    <row r="424" spans="1:35" ht="33.950000000000003" customHeight="1">
      <c r="A424" s="187">
        <v>28871889</v>
      </c>
      <c r="B424" s="43"/>
      <c r="C424" s="148">
        <v>45480</v>
      </c>
      <c r="D424" s="37" t="s">
        <v>2626</v>
      </c>
      <c r="E424" s="37" t="s">
        <v>2627</v>
      </c>
      <c r="F424" s="45" t="s">
        <v>2628</v>
      </c>
      <c r="G424" s="15">
        <v>120000</v>
      </c>
      <c r="H424" s="43"/>
      <c r="I424" s="43" t="s">
        <v>65</v>
      </c>
      <c r="J424" s="43" t="s">
        <v>2599</v>
      </c>
      <c r="K424" s="43" t="s">
        <v>2629</v>
      </c>
      <c r="L424" s="151" t="s">
        <v>2630</v>
      </c>
      <c r="M424" s="155" t="s">
        <v>2631</v>
      </c>
      <c r="N424" s="144">
        <f>0.66+10.04+10.17+13.73+1.21</f>
        <v>35.809999999999995</v>
      </c>
      <c r="O424" s="43" t="s">
        <v>18</v>
      </c>
      <c r="P424" s="47" t="s">
        <v>19</v>
      </c>
      <c r="Q424" s="144">
        <f>35.81-0.66</f>
        <v>35.150000000000006</v>
      </c>
      <c r="R424" s="43">
        <v>0.66</v>
      </c>
      <c r="S424" s="16" t="s">
        <v>20</v>
      </c>
      <c r="T424" s="215">
        <v>0.65</v>
      </c>
      <c r="U424" s="215">
        <v>0.35</v>
      </c>
      <c r="V424" s="215"/>
      <c r="W424" s="485"/>
      <c r="X424" s="215"/>
      <c r="Y424" s="43"/>
      <c r="Z424" s="46"/>
      <c r="AA424" s="43"/>
      <c r="AB424" s="43"/>
      <c r="AC424" s="46">
        <f>1.8+1.3+4.3+0.2</f>
        <v>7.6000000000000005</v>
      </c>
      <c r="AD424" s="17"/>
      <c r="AE424" s="48"/>
      <c r="AF424" s="37" t="s">
        <v>2632</v>
      </c>
      <c r="AG424" s="47"/>
      <c r="AH424" s="49">
        <f>Table2[[#This Row],[Prix de vente ($)]]/Table2[[#This Row],[Superficie totale (ha)]]</f>
        <v>3351.0192683607934</v>
      </c>
      <c r="AI424" s="49"/>
    </row>
    <row r="425" spans="1:35" ht="33.950000000000003" customHeight="1">
      <c r="A425" s="196">
        <v>28838061</v>
      </c>
      <c r="C425" s="318">
        <v>45488</v>
      </c>
      <c r="D425" t="s">
        <v>2633</v>
      </c>
      <c r="E425" t="s">
        <v>2634</v>
      </c>
      <c r="F425" t="s">
        <v>2635</v>
      </c>
      <c r="G425" s="134">
        <v>241000</v>
      </c>
      <c r="I425" t="s">
        <v>602</v>
      </c>
      <c r="J425" t="s">
        <v>2636</v>
      </c>
      <c r="K425" t="s">
        <v>2637</v>
      </c>
      <c r="L425" s="205">
        <v>47.277233000000003</v>
      </c>
      <c r="M425" s="205">
        <v>-69.889234000000002</v>
      </c>
      <c r="N425" s="211">
        <v>55</v>
      </c>
      <c r="O425" t="s">
        <v>71</v>
      </c>
      <c r="P425" t="s">
        <v>173</v>
      </c>
      <c r="Q425" s="213">
        <v>55</v>
      </c>
      <c r="S425" s="94" t="s">
        <v>20</v>
      </c>
      <c r="T425" s="222">
        <v>0.8</v>
      </c>
      <c r="U425" s="222">
        <v>0.2</v>
      </c>
      <c r="V425" s="222">
        <v>0.7</v>
      </c>
      <c r="AC425" s="63">
        <v>36.5</v>
      </c>
      <c r="AF425" t="s">
        <v>126</v>
      </c>
      <c r="AH425" s="49">
        <f>Table2[[#This Row],[Prix de vente ($)]]/Table2[[#This Row],[Superficie totale (ha)]]</f>
        <v>4381.818181818182</v>
      </c>
    </row>
    <row r="426" spans="1:35" ht="33.950000000000003" customHeight="1">
      <c r="A426" s="196">
        <v>28845602</v>
      </c>
      <c r="C426" s="318">
        <v>45490</v>
      </c>
      <c r="D426" t="s">
        <v>2638</v>
      </c>
      <c r="E426" t="s">
        <v>2639</v>
      </c>
      <c r="F426" s="269">
        <v>4855979</v>
      </c>
      <c r="G426" s="134">
        <v>50000</v>
      </c>
      <c r="I426" t="s">
        <v>53</v>
      </c>
      <c r="J426" t="s">
        <v>1615</v>
      </c>
      <c r="K426" t="s">
        <v>2640</v>
      </c>
      <c r="L426" s="204" t="s">
        <v>2641</v>
      </c>
      <c r="M426" s="277" t="s">
        <v>2642</v>
      </c>
      <c r="N426" s="211">
        <v>16.05</v>
      </c>
      <c r="O426" t="s">
        <v>25</v>
      </c>
      <c r="P426" t="s">
        <v>2643</v>
      </c>
      <c r="Q426" s="199">
        <v>12</v>
      </c>
      <c r="S426" s="62" t="s">
        <v>175</v>
      </c>
      <c r="T426" s="219">
        <v>0.5</v>
      </c>
      <c r="U426" s="219">
        <v>0.5</v>
      </c>
      <c r="V426" s="219" t="s">
        <v>1214</v>
      </c>
      <c r="W426" s="489"/>
      <c r="X426" s="219"/>
      <c r="AC426" s="63">
        <v>0</v>
      </c>
      <c r="AD426" s="273"/>
      <c r="AF426" t="s">
        <v>2644</v>
      </c>
      <c r="AH426" s="49">
        <f>Table2[[#This Row],[Prix de vente ($)]]/Table2[[#This Row],[Superficie totale (ha)]]</f>
        <v>3115.264797507788</v>
      </c>
    </row>
    <row r="427" spans="1:35" ht="33.950000000000003" customHeight="1">
      <c r="A427" s="196">
        <v>28843894</v>
      </c>
      <c r="C427" s="318">
        <v>45490</v>
      </c>
      <c r="D427" t="s">
        <v>2645</v>
      </c>
      <c r="E427" t="s">
        <v>2646</v>
      </c>
      <c r="F427">
        <v>5726318</v>
      </c>
      <c r="G427" s="134">
        <v>20000</v>
      </c>
      <c r="I427" t="s">
        <v>602</v>
      </c>
      <c r="J427" t="s">
        <v>2647</v>
      </c>
      <c r="K427" t="s">
        <v>2648</v>
      </c>
      <c r="L427" s="205">
        <v>47.459752999999999</v>
      </c>
      <c r="M427" s="205">
        <v>-69.637555000000006</v>
      </c>
      <c r="N427" s="211">
        <v>22.83</v>
      </c>
      <c r="O427" t="s">
        <v>25</v>
      </c>
      <c r="P427" t="s">
        <v>154</v>
      </c>
      <c r="Q427" s="199">
        <v>22.83</v>
      </c>
      <c r="S427" s="94" t="s">
        <v>310</v>
      </c>
      <c r="T427" s="222">
        <v>0.35</v>
      </c>
      <c r="U427" s="222">
        <v>0.65</v>
      </c>
      <c r="V427" s="222">
        <v>0.8</v>
      </c>
      <c r="AH427" s="49">
        <f>Table2[[#This Row],[Prix de vente ($)]]/Table2[[#This Row],[Superficie totale (ha)]]</f>
        <v>876.0402978537013</v>
      </c>
    </row>
    <row r="428" spans="1:35" ht="33.950000000000003" customHeight="1">
      <c r="A428" s="196">
        <v>28843893</v>
      </c>
      <c r="C428" s="318">
        <v>45490</v>
      </c>
      <c r="D428" t="s">
        <v>2649</v>
      </c>
      <c r="E428" t="s">
        <v>2650</v>
      </c>
      <c r="F428">
        <v>5525434</v>
      </c>
      <c r="G428" s="134">
        <v>90000</v>
      </c>
      <c r="I428" t="s">
        <v>602</v>
      </c>
      <c r="J428" t="s">
        <v>2651</v>
      </c>
      <c r="K428" t="s">
        <v>2652</v>
      </c>
      <c r="L428" s="205">
        <v>47.341825</v>
      </c>
      <c r="M428" s="205">
        <v>-69.851056999999997</v>
      </c>
      <c r="N428" s="211">
        <v>31.94</v>
      </c>
      <c r="O428" t="s">
        <v>25</v>
      </c>
      <c r="P428" t="s">
        <v>35</v>
      </c>
      <c r="Q428" s="199">
        <v>31.94</v>
      </c>
      <c r="S428" s="94" t="s">
        <v>310</v>
      </c>
      <c r="T428" s="222">
        <v>0.1</v>
      </c>
      <c r="U428" s="222">
        <v>0.9</v>
      </c>
      <c r="V428" s="222">
        <v>0.5</v>
      </c>
      <c r="AF428" t="s">
        <v>126</v>
      </c>
      <c r="AH428" s="49">
        <f>Table2[[#This Row],[Prix de vente ($)]]/Table2[[#This Row],[Superficie totale (ha)]]</f>
        <v>2817.7833437695676</v>
      </c>
    </row>
    <row r="429" spans="1:35" ht="33.950000000000003" customHeight="1">
      <c r="A429" s="196">
        <v>28852063</v>
      </c>
      <c r="C429" s="318">
        <v>45492</v>
      </c>
      <c r="D429" s="249" t="s">
        <v>2653</v>
      </c>
      <c r="E429" s="249" t="s">
        <v>2654</v>
      </c>
      <c r="F429" s="249" t="s">
        <v>2655</v>
      </c>
      <c r="G429" s="134">
        <v>97500</v>
      </c>
      <c r="I429" s="43" t="s">
        <v>909</v>
      </c>
      <c r="J429" t="s">
        <v>910</v>
      </c>
      <c r="K429" s="249" t="s">
        <v>2656</v>
      </c>
      <c r="L429" s="205">
        <v>46.859712000000002</v>
      </c>
      <c r="M429" s="205">
        <v>-71.686233999999999</v>
      </c>
      <c r="N429" s="211">
        <v>8.65</v>
      </c>
      <c r="O429" t="s">
        <v>25</v>
      </c>
      <c r="P429" t="s">
        <v>110</v>
      </c>
      <c r="Q429" s="199">
        <v>8.65</v>
      </c>
      <c r="S429" s="94" t="s">
        <v>62</v>
      </c>
      <c r="T429" s="222">
        <v>0.7</v>
      </c>
      <c r="U429" s="222">
        <v>0.3</v>
      </c>
      <c r="V429" s="222">
        <v>0.4</v>
      </c>
      <c r="AF429" t="s">
        <v>1690</v>
      </c>
      <c r="AH429" s="49">
        <f>Table2[[#This Row],[Prix de vente ($)]]/Table2[[#This Row],[Superficie totale (ha)]]</f>
        <v>11271.676300578034</v>
      </c>
    </row>
    <row r="430" spans="1:35" ht="33.950000000000003" customHeight="1">
      <c r="A430" s="196">
        <v>28863471</v>
      </c>
      <c r="C430" s="318">
        <v>45499</v>
      </c>
      <c r="D430" s="249" t="s">
        <v>2657</v>
      </c>
      <c r="E430" s="249" t="s">
        <v>2658</v>
      </c>
      <c r="F430" s="249" t="s">
        <v>2659</v>
      </c>
      <c r="G430" s="134">
        <v>40000</v>
      </c>
      <c r="I430" t="s">
        <v>1477</v>
      </c>
      <c r="J430" t="s">
        <v>2660</v>
      </c>
      <c r="K430" s="249" t="s">
        <v>2661</v>
      </c>
      <c r="N430" s="211">
        <v>34.26</v>
      </c>
      <c r="O430" s="80" t="s">
        <v>18</v>
      </c>
      <c r="P430" s="47" t="s">
        <v>35</v>
      </c>
      <c r="Q430" s="211">
        <f>34.26-10.6-3.4</f>
        <v>20.259999999999998</v>
      </c>
      <c r="S430" s="94" t="s">
        <v>2662</v>
      </c>
      <c r="T430" s="222">
        <v>1</v>
      </c>
      <c r="U430" s="222">
        <v>0</v>
      </c>
      <c r="V430" s="222">
        <v>0.75</v>
      </c>
      <c r="AF430" t="s">
        <v>2663</v>
      </c>
      <c r="AH430" s="49">
        <f>Table2[[#This Row],[Prix de vente ($)]]/Table2[[#This Row],[Superficie totale (ha)]]</f>
        <v>1167.5423234092236</v>
      </c>
    </row>
    <row r="431" spans="1:35" ht="33.950000000000003" customHeight="1">
      <c r="A431" s="196">
        <v>28865933</v>
      </c>
      <c r="C431" s="318">
        <v>45502</v>
      </c>
      <c r="D431" s="247" t="s">
        <v>2664</v>
      </c>
      <c r="E431" s="247" t="s">
        <v>2665</v>
      </c>
      <c r="F431" s="247" t="s">
        <v>2666</v>
      </c>
      <c r="G431" s="134">
        <v>30000</v>
      </c>
      <c r="I431" t="s">
        <v>223</v>
      </c>
      <c r="J431" t="s">
        <v>2372</v>
      </c>
      <c r="L431" s="205">
        <v>47.091318000000001</v>
      </c>
      <c r="M431" s="205">
        <v>-70.019845000000004</v>
      </c>
      <c r="N431" s="211">
        <v>22.23</v>
      </c>
      <c r="O431" t="s">
        <v>25</v>
      </c>
      <c r="P431" t="s">
        <v>35</v>
      </c>
      <c r="Q431" s="199">
        <v>22.23</v>
      </c>
      <c r="S431" s="94" t="s">
        <v>102</v>
      </c>
      <c r="T431" s="222">
        <v>0</v>
      </c>
      <c r="U431" s="222">
        <v>1</v>
      </c>
      <c r="V431" s="222">
        <v>0.7</v>
      </c>
      <c r="AF431" t="s">
        <v>2667</v>
      </c>
      <c r="AH431" s="49">
        <f>Table2[[#This Row],[Prix de vente ($)]]/Table2[[#This Row],[Superficie totale (ha)]]</f>
        <v>1349.5276653171391</v>
      </c>
    </row>
    <row r="432" spans="1:35" ht="33.950000000000003" customHeight="1">
      <c r="A432" s="196">
        <v>28972380</v>
      </c>
      <c r="C432" s="318">
        <v>45511</v>
      </c>
      <c r="D432" s="20" t="s">
        <v>2668</v>
      </c>
      <c r="E432" t="s">
        <v>2669</v>
      </c>
      <c r="F432" s="269" t="s">
        <v>2670</v>
      </c>
      <c r="G432" s="134">
        <v>255000</v>
      </c>
      <c r="I432" t="s">
        <v>792</v>
      </c>
      <c r="J432" t="s">
        <v>883</v>
      </c>
      <c r="K432" t="s">
        <v>2671</v>
      </c>
      <c r="L432" s="205" t="s">
        <v>2672</v>
      </c>
      <c r="M432" s="270" t="s">
        <v>2673</v>
      </c>
      <c r="N432" s="211">
        <f>4.82+9.53</f>
        <v>14.35</v>
      </c>
      <c r="O432" t="s">
        <v>18</v>
      </c>
      <c r="P432" t="s">
        <v>19</v>
      </c>
      <c r="S432" s="94" t="s">
        <v>175</v>
      </c>
      <c r="T432" s="222">
        <v>0.5</v>
      </c>
      <c r="U432" s="222">
        <v>0.5</v>
      </c>
      <c r="V432" s="222" t="s">
        <v>362</v>
      </c>
      <c r="AC432" s="63">
        <v>1</v>
      </c>
      <c r="AF432" t="s">
        <v>2674</v>
      </c>
      <c r="AH432" s="49">
        <f>Table2[[#This Row],[Prix de vente ($)]]/Table2[[#This Row],[Superficie totale (ha)]]</f>
        <v>17770.034843205576</v>
      </c>
    </row>
    <row r="433" spans="1:35" ht="33.950000000000003" customHeight="1">
      <c r="A433" s="187">
        <v>28882590</v>
      </c>
      <c r="B433" s="43"/>
      <c r="C433" s="148">
        <v>45512</v>
      </c>
      <c r="D433" s="37" t="s">
        <v>2675</v>
      </c>
      <c r="E433" s="37" t="s">
        <v>2676</v>
      </c>
      <c r="F433" s="45" t="s">
        <v>2677</v>
      </c>
      <c r="G433" s="15">
        <v>400000</v>
      </c>
      <c r="H433" s="43"/>
      <c r="I433" s="43" t="s">
        <v>321</v>
      </c>
      <c r="J433" s="43" t="s">
        <v>322</v>
      </c>
      <c r="K433" s="43" t="s">
        <v>2678</v>
      </c>
      <c r="L433" s="151" t="s">
        <v>2679</v>
      </c>
      <c r="M433" s="155" t="s">
        <v>2680</v>
      </c>
      <c r="N433" s="144">
        <f>4.52+12.02</f>
        <v>16.54</v>
      </c>
      <c r="O433" s="43" t="s">
        <v>18</v>
      </c>
      <c r="P433" s="47" t="s">
        <v>110</v>
      </c>
      <c r="Q433" s="144">
        <v>15.04</v>
      </c>
      <c r="R433" s="43">
        <v>0</v>
      </c>
      <c r="S433" s="16" t="s">
        <v>20</v>
      </c>
      <c r="T433" s="215">
        <v>0.7</v>
      </c>
      <c r="U433" s="215">
        <v>0.3</v>
      </c>
      <c r="V433" s="215"/>
      <c r="W433" s="485"/>
      <c r="X433" s="215"/>
      <c r="Y433" s="43"/>
      <c r="Z433" s="46"/>
      <c r="AA433" s="43"/>
      <c r="AB433" s="43"/>
      <c r="AC433" s="46">
        <v>5.5</v>
      </c>
      <c r="AD433" s="17"/>
      <c r="AE433" s="48"/>
      <c r="AF433" s="37" t="s">
        <v>2681</v>
      </c>
      <c r="AG433" s="47"/>
      <c r="AH433" s="49">
        <f>Table2[[#This Row],[Prix de vente ($)]]/Table2[[#This Row],[Superficie totale (ha)]]</f>
        <v>24183.796856106412</v>
      </c>
      <c r="AI433" s="49"/>
    </row>
    <row r="434" spans="1:35" ht="33.950000000000003" customHeight="1">
      <c r="A434" s="196">
        <v>28883825</v>
      </c>
      <c r="C434" s="318">
        <v>45512</v>
      </c>
      <c r="D434" t="s">
        <v>2682</v>
      </c>
      <c r="E434" t="s">
        <v>2683</v>
      </c>
      <c r="F434" t="s">
        <v>2684</v>
      </c>
      <c r="G434" s="134">
        <v>35000</v>
      </c>
      <c r="I434" t="s">
        <v>2245</v>
      </c>
      <c r="J434" t="s">
        <v>2337</v>
      </c>
      <c r="K434" t="s">
        <v>2685</v>
      </c>
      <c r="L434" s="205" t="s">
        <v>2686</v>
      </c>
      <c r="M434" s="270" t="s">
        <v>2687</v>
      </c>
      <c r="N434" s="211">
        <f>16.25+9.07</f>
        <v>25.32</v>
      </c>
      <c r="O434" t="s">
        <v>25</v>
      </c>
      <c r="P434" t="s">
        <v>1179</v>
      </c>
      <c r="Q434" s="211">
        <f>Table2[[#This Row],[Superficie totale (ha)]]</f>
        <v>25.32</v>
      </c>
      <c r="S434" s="16" t="s">
        <v>33</v>
      </c>
      <c r="T434" s="222">
        <v>0.4</v>
      </c>
      <c r="U434" s="222">
        <v>0.6</v>
      </c>
      <c r="V434" s="222" t="s">
        <v>1486</v>
      </c>
      <c r="AF434" t="s">
        <v>2688</v>
      </c>
      <c r="AH434" s="49">
        <f>Table2[[#This Row],[Prix de vente ($)]]/Table2[[#This Row],[Superficie totale (ha)]]</f>
        <v>1382.3064770932069</v>
      </c>
    </row>
    <row r="435" spans="1:35" ht="33.950000000000003" customHeight="1">
      <c r="A435" s="196">
        <v>28888968</v>
      </c>
      <c r="C435" s="318">
        <v>45516</v>
      </c>
      <c r="D435" t="s">
        <v>2689</v>
      </c>
      <c r="E435" t="s">
        <v>2690</v>
      </c>
      <c r="F435" t="s">
        <v>2691</v>
      </c>
      <c r="G435" s="93">
        <v>200000</v>
      </c>
      <c r="I435" s="80" t="s">
        <v>29</v>
      </c>
      <c r="J435" t="s">
        <v>846</v>
      </c>
      <c r="K435" s="20" t="s">
        <v>2692</v>
      </c>
      <c r="L435" s="205">
        <v>46.670458000000004</v>
      </c>
      <c r="M435" s="205">
        <v>-70.064997000000005</v>
      </c>
      <c r="N435" s="211">
        <v>40.39</v>
      </c>
      <c r="O435" s="80" t="s">
        <v>25</v>
      </c>
      <c r="P435" s="80" t="s">
        <v>26</v>
      </c>
      <c r="Q435" s="199">
        <v>40.39</v>
      </c>
      <c r="R435" s="80"/>
      <c r="S435" s="80" t="s">
        <v>20</v>
      </c>
      <c r="T435" s="216">
        <v>0.65</v>
      </c>
      <c r="U435" s="216">
        <v>0.35</v>
      </c>
      <c r="V435" s="216">
        <v>0.6</v>
      </c>
      <c r="W435" s="199"/>
      <c r="X435" s="216"/>
      <c r="Y435" s="80"/>
      <c r="Z435" s="80"/>
      <c r="AA435" s="80"/>
      <c r="AB435" s="80"/>
      <c r="AC435" s="80"/>
      <c r="AD435" s="80"/>
      <c r="AE435" s="80"/>
      <c r="AF435" s="43"/>
      <c r="AG435" s="80"/>
      <c r="AH435" s="49">
        <f>Table2[[#This Row],[Prix de vente ($)]]/Table2[[#This Row],[Superficie totale (ha)]]</f>
        <v>4951.7207229512251</v>
      </c>
      <c r="AI435" s="80"/>
    </row>
    <row r="436" spans="1:35" ht="33.950000000000003" customHeight="1">
      <c r="A436" s="196">
        <v>28893125</v>
      </c>
      <c r="C436" s="318">
        <v>45518</v>
      </c>
      <c r="D436" t="s">
        <v>2693</v>
      </c>
      <c r="E436" t="s">
        <v>2694</v>
      </c>
      <c r="F436">
        <v>5726257</v>
      </c>
      <c r="G436" s="134">
        <v>50000</v>
      </c>
      <c r="I436" t="s">
        <v>602</v>
      </c>
      <c r="J436" t="s">
        <v>2647</v>
      </c>
      <c r="K436" t="s">
        <v>2695</v>
      </c>
      <c r="L436" s="205">
        <v>47.441161999999998</v>
      </c>
      <c r="M436" s="205">
        <v>-69.656537</v>
      </c>
      <c r="N436" s="211">
        <v>23.17</v>
      </c>
      <c r="O436" t="s">
        <v>25</v>
      </c>
      <c r="P436" t="s">
        <v>361</v>
      </c>
      <c r="Q436" s="199">
        <v>23.17</v>
      </c>
      <c r="S436" s="94" t="s">
        <v>310</v>
      </c>
      <c r="T436" s="222">
        <v>0.25</v>
      </c>
      <c r="U436" s="222">
        <v>0.75</v>
      </c>
      <c r="V436" s="222">
        <v>0.6</v>
      </c>
      <c r="AF436" t="s">
        <v>126</v>
      </c>
      <c r="AH436" s="49">
        <f>Table2[[#This Row],[Prix de vente ($)]]/Table2[[#This Row],[Superficie totale (ha)]]</f>
        <v>2157.9628830384117</v>
      </c>
    </row>
    <row r="437" spans="1:35" ht="33.950000000000003" customHeight="1">
      <c r="A437" s="189">
        <v>2889162</v>
      </c>
      <c r="B437" s="80"/>
      <c r="C437" s="318">
        <v>45520</v>
      </c>
      <c r="D437" s="80" t="s">
        <v>2696</v>
      </c>
      <c r="E437" s="80" t="s">
        <v>2697</v>
      </c>
      <c r="F437" s="43" t="s">
        <v>2698</v>
      </c>
      <c r="G437" s="134">
        <v>75000</v>
      </c>
      <c r="H437" s="80"/>
      <c r="I437" s="80" t="s">
        <v>29</v>
      </c>
      <c r="J437" s="80" t="s">
        <v>2699</v>
      </c>
      <c r="K437" s="43" t="s">
        <v>2700</v>
      </c>
      <c r="L437" s="199">
        <v>46.707796999999999</v>
      </c>
      <c r="M437" s="199">
        <v>-70.269187000000002</v>
      </c>
      <c r="N437" s="199">
        <v>21.33</v>
      </c>
      <c r="O437" s="80" t="s">
        <v>25</v>
      </c>
      <c r="P437" s="80" t="s">
        <v>173</v>
      </c>
      <c r="Q437" s="199">
        <v>21.33</v>
      </c>
      <c r="R437" s="80"/>
      <c r="S437" s="80" t="s">
        <v>20</v>
      </c>
      <c r="T437" s="216">
        <v>0.75</v>
      </c>
      <c r="U437" s="216">
        <v>0.25</v>
      </c>
      <c r="V437" s="216">
        <v>0.7</v>
      </c>
      <c r="W437" s="199"/>
      <c r="X437" s="216"/>
      <c r="Y437" s="80"/>
      <c r="Z437" s="80"/>
      <c r="AA437" s="80"/>
      <c r="AB437" s="80"/>
      <c r="AC437" s="80"/>
      <c r="AD437" s="80"/>
      <c r="AE437" s="80"/>
      <c r="AF437" s="43"/>
      <c r="AG437" s="80"/>
      <c r="AH437" s="49">
        <f>Table2[[#This Row],[Prix de vente ($)]]/Table2[[#This Row],[Superficie totale (ha)]]</f>
        <v>3516.1744022503517</v>
      </c>
      <c r="AI437" s="80"/>
    </row>
    <row r="438" spans="1:35" ht="33.950000000000003" customHeight="1">
      <c r="A438" s="189">
        <v>28900517</v>
      </c>
      <c r="B438" s="80"/>
      <c r="C438" s="318">
        <v>45523</v>
      </c>
      <c r="D438" s="80" t="s">
        <v>2701</v>
      </c>
      <c r="E438" s="80" t="s">
        <v>2702</v>
      </c>
      <c r="F438" s="80" t="s">
        <v>2703</v>
      </c>
      <c r="G438" s="134">
        <v>150000</v>
      </c>
      <c r="H438" s="80"/>
      <c r="I438" s="80" t="s">
        <v>29</v>
      </c>
      <c r="J438" s="80" t="s">
        <v>2699</v>
      </c>
      <c r="K438" s="43" t="s">
        <v>2704</v>
      </c>
      <c r="L438" s="199">
        <v>46.729379000000002</v>
      </c>
      <c r="M438" s="199">
        <v>-70.397354000000007</v>
      </c>
      <c r="N438" s="199">
        <v>33.1</v>
      </c>
      <c r="O438" s="80" t="s">
        <v>18</v>
      </c>
      <c r="P438" s="80" t="s">
        <v>173</v>
      </c>
      <c r="Q438" s="199">
        <v>33.1</v>
      </c>
      <c r="R438" s="80"/>
      <c r="S438" s="80" t="s">
        <v>310</v>
      </c>
      <c r="T438" s="216">
        <v>0.3</v>
      </c>
      <c r="U438" s="216">
        <v>0.7</v>
      </c>
      <c r="V438" s="216">
        <v>0.65</v>
      </c>
      <c r="W438" s="199"/>
      <c r="X438" s="216"/>
      <c r="Y438" s="80"/>
      <c r="Z438" s="80"/>
      <c r="AA438" s="80"/>
      <c r="AB438" s="80"/>
      <c r="AC438" s="80"/>
      <c r="AD438" s="80"/>
      <c r="AE438" s="80"/>
      <c r="AF438" s="43"/>
      <c r="AG438" s="80"/>
      <c r="AH438" s="49">
        <f>Table2[[#This Row],[Prix de vente ($)]]/Table2[[#This Row],[Superficie totale (ha)]]</f>
        <v>4531.7220543806643</v>
      </c>
      <c r="AI438" s="80"/>
    </row>
    <row r="439" spans="1:35" ht="33.950000000000003" customHeight="1">
      <c r="A439" s="187">
        <v>29029098</v>
      </c>
      <c r="B439" s="43"/>
      <c r="C439" s="148">
        <v>45524</v>
      </c>
      <c r="D439" s="37" t="s">
        <v>2705</v>
      </c>
      <c r="E439" s="37" t="s">
        <v>2706</v>
      </c>
      <c r="F439" s="45">
        <v>5877825</v>
      </c>
      <c r="G439" s="15">
        <v>175000</v>
      </c>
      <c r="H439" s="43"/>
      <c r="I439" s="43" t="s">
        <v>321</v>
      </c>
      <c r="J439" s="43" t="s">
        <v>2707</v>
      </c>
      <c r="K439" s="43" t="s">
        <v>2708</v>
      </c>
      <c r="L439" s="151" t="s">
        <v>2709</v>
      </c>
      <c r="M439" s="155" t="s">
        <v>2710</v>
      </c>
      <c r="N439" s="144">
        <v>14.3</v>
      </c>
      <c r="O439" s="43" t="s">
        <v>18</v>
      </c>
      <c r="P439" s="47" t="s">
        <v>165</v>
      </c>
      <c r="Q439" s="144">
        <v>14.3</v>
      </c>
      <c r="R439" s="43">
        <v>0</v>
      </c>
      <c r="S439" s="16" t="s">
        <v>20</v>
      </c>
      <c r="T439" s="215">
        <v>0.8</v>
      </c>
      <c r="U439" s="215">
        <v>0.2</v>
      </c>
      <c r="V439" s="215"/>
      <c r="W439" s="485"/>
      <c r="X439" s="215"/>
      <c r="Y439" s="43"/>
      <c r="Z439" s="46"/>
      <c r="AA439" s="43"/>
      <c r="AB439" s="43"/>
      <c r="AC439" s="46">
        <v>9.8000000000000007</v>
      </c>
      <c r="AD439" s="17"/>
      <c r="AE439" s="48"/>
      <c r="AF439" s="37" t="s">
        <v>2711</v>
      </c>
      <c r="AG439" s="47"/>
      <c r="AH439" s="49">
        <f>Table2[[#This Row],[Prix de vente ($)]]/Table2[[#This Row],[Superficie totale (ha)]]</f>
        <v>12237.762237762237</v>
      </c>
      <c r="AI439" s="49"/>
    </row>
    <row r="440" spans="1:35" ht="33.950000000000003" customHeight="1">
      <c r="A440" s="189">
        <v>28908110</v>
      </c>
      <c r="B440" s="80"/>
      <c r="C440" s="318">
        <v>45525</v>
      </c>
      <c r="D440" s="80" t="s">
        <v>2712</v>
      </c>
      <c r="E440" s="80" t="s">
        <v>2713</v>
      </c>
      <c r="F440" s="80" t="s">
        <v>2714</v>
      </c>
      <c r="G440" s="134">
        <v>200000</v>
      </c>
      <c r="H440" s="80"/>
      <c r="I440" s="80" t="s">
        <v>29</v>
      </c>
      <c r="J440" s="43" t="s">
        <v>2715</v>
      </c>
      <c r="K440" s="43" t="s">
        <v>2716</v>
      </c>
      <c r="L440" s="199">
        <v>46.745669999999997</v>
      </c>
      <c r="M440" s="199">
        <v>-70.469374999999999</v>
      </c>
      <c r="N440" s="199">
        <v>43.23</v>
      </c>
      <c r="O440" s="80" t="s">
        <v>25</v>
      </c>
      <c r="P440" s="80" t="s">
        <v>173</v>
      </c>
      <c r="Q440" s="199">
        <v>33.1</v>
      </c>
      <c r="R440" s="80"/>
      <c r="S440" s="80" t="s">
        <v>20</v>
      </c>
      <c r="T440" s="216">
        <v>0.7</v>
      </c>
      <c r="U440" s="216">
        <v>0.3</v>
      </c>
      <c r="V440" s="216">
        <v>0.8</v>
      </c>
      <c r="W440" s="199"/>
      <c r="X440" s="216"/>
      <c r="Y440" s="80"/>
      <c r="Z440" s="80"/>
      <c r="AA440" s="80"/>
      <c r="AB440" s="80"/>
      <c r="AC440" s="80"/>
      <c r="AD440" s="80"/>
      <c r="AE440" s="80"/>
      <c r="AF440" s="80"/>
      <c r="AG440" s="80"/>
      <c r="AH440" s="49">
        <f>Table2[[#This Row],[Prix de vente ($)]]/Table2[[#This Row],[Superficie totale (ha)]]</f>
        <v>4626.4168401572988</v>
      </c>
      <c r="AI440" s="80"/>
    </row>
    <row r="441" spans="1:35" ht="33.950000000000003" customHeight="1">
      <c r="A441" s="351" t="s">
        <v>2717</v>
      </c>
      <c r="C441" s="318">
        <v>45530</v>
      </c>
      <c r="D441" t="s">
        <v>2718</v>
      </c>
      <c r="E441" t="s">
        <v>2719</v>
      </c>
      <c r="F441" t="s">
        <v>2720</v>
      </c>
      <c r="G441" s="93">
        <v>110000</v>
      </c>
      <c r="I441" t="s">
        <v>16</v>
      </c>
      <c r="J441" t="s">
        <v>2721</v>
      </c>
      <c r="K441" t="s">
        <v>2722</v>
      </c>
      <c r="L441" s="205">
        <v>46.752588000000003</v>
      </c>
      <c r="M441" s="270" t="s">
        <v>2723</v>
      </c>
      <c r="N441" s="211">
        <v>15.52</v>
      </c>
      <c r="O441" t="s">
        <v>18</v>
      </c>
      <c r="P441" t="s">
        <v>949</v>
      </c>
      <c r="S441" s="94" t="s">
        <v>20</v>
      </c>
      <c r="T441" s="222">
        <v>0.75</v>
      </c>
      <c r="U441" s="222">
        <v>0.25</v>
      </c>
      <c r="V441" s="222">
        <v>0.85</v>
      </c>
      <c r="AC441" s="63">
        <v>9.5</v>
      </c>
      <c r="AH441" s="49">
        <f>Table2[[#This Row],[Prix de vente ($)]]/Table2[[#This Row],[Superficie totale (ha)]]</f>
        <v>7087.6288659793818</v>
      </c>
    </row>
    <row r="442" spans="1:35" ht="33.950000000000003" customHeight="1">
      <c r="A442" s="187">
        <v>28918159</v>
      </c>
      <c r="B442" s="43"/>
      <c r="C442" s="148">
        <v>45531</v>
      </c>
      <c r="D442" s="37" t="s">
        <v>2724</v>
      </c>
      <c r="E442" s="37" t="s">
        <v>2725</v>
      </c>
      <c r="F442" s="45">
        <v>1963770</v>
      </c>
      <c r="G442" s="15">
        <v>230000</v>
      </c>
      <c r="H442" s="43"/>
      <c r="I442" s="43" t="s">
        <v>515</v>
      </c>
      <c r="J442" s="43" t="s">
        <v>515</v>
      </c>
      <c r="K442" s="43" t="s">
        <v>2726</v>
      </c>
      <c r="L442" s="151" t="s">
        <v>2727</v>
      </c>
      <c r="M442" s="155" t="s">
        <v>2728</v>
      </c>
      <c r="N442" s="144">
        <v>15.38</v>
      </c>
      <c r="O442" s="43" t="s">
        <v>18</v>
      </c>
      <c r="P442" s="47" t="s">
        <v>35</v>
      </c>
      <c r="Q442" s="144">
        <v>15</v>
      </c>
      <c r="R442" s="43">
        <v>0</v>
      </c>
      <c r="S442" s="16" t="s">
        <v>22</v>
      </c>
      <c r="T442" s="215">
        <v>0.5</v>
      </c>
      <c r="U442" s="215">
        <v>0.5</v>
      </c>
      <c r="V442" s="215"/>
      <c r="W442" s="485"/>
      <c r="X442" s="215"/>
      <c r="Y442" s="43"/>
      <c r="Z442" s="46"/>
      <c r="AA442" s="43"/>
      <c r="AB442" s="43"/>
      <c r="AC442" s="46">
        <v>3.1</v>
      </c>
      <c r="AD442" s="17"/>
      <c r="AE442" s="48"/>
      <c r="AF442" s="37" t="s">
        <v>2729</v>
      </c>
      <c r="AG442" s="47"/>
      <c r="AH442" s="49">
        <f>Table2[[#This Row],[Prix de vente ($)]]/Table2[[#This Row],[Superficie totale (ha)]]</f>
        <v>14954.48634590377</v>
      </c>
      <c r="AI442" s="49"/>
    </row>
    <row r="443" spans="1:35" ht="33.950000000000003" customHeight="1">
      <c r="A443" s="196" t="s">
        <v>2730</v>
      </c>
      <c r="C443" s="318">
        <v>45531</v>
      </c>
      <c r="F443" t="s">
        <v>2731</v>
      </c>
      <c r="G443" s="93">
        <v>230000</v>
      </c>
      <c r="I443" t="s">
        <v>515</v>
      </c>
      <c r="AH443" s="49" t="e">
        <f>Table2[[#This Row],[Prix de vente ($)]]/Table2[[#This Row],[Superficie totale (ha)]]</f>
        <v>#DIV/0!</v>
      </c>
    </row>
    <row r="444" spans="1:35" ht="33.950000000000003" customHeight="1">
      <c r="A444" s="196">
        <v>28920123</v>
      </c>
      <c r="C444" s="318">
        <v>45532</v>
      </c>
      <c r="D444" t="s">
        <v>2732</v>
      </c>
      <c r="E444" t="s">
        <v>2733</v>
      </c>
      <c r="F444" t="s">
        <v>2734</v>
      </c>
      <c r="G444" s="93">
        <v>100000</v>
      </c>
      <c r="I444" t="s">
        <v>515</v>
      </c>
      <c r="J444" t="s">
        <v>515</v>
      </c>
      <c r="K444" t="s">
        <v>2735</v>
      </c>
      <c r="N444" s="211">
        <f>3.51+0.14</f>
        <v>3.65</v>
      </c>
      <c r="Q444" s="199">
        <v>2.7</v>
      </c>
      <c r="S444" s="284" t="s">
        <v>20</v>
      </c>
      <c r="T444" s="219">
        <v>1</v>
      </c>
      <c r="U444" s="219">
        <v>0</v>
      </c>
      <c r="V444" s="222" t="s">
        <v>243</v>
      </c>
      <c r="AF444" t="s">
        <v>2736</v>
      </c>
      <c r="AH444" s="49">
        <f>Table2[[#This Row],[Prix de vente ($)]]/Table2[[#This Row],[Superficie totale (ha)]]</f>
        <v>27397.260273972603</v>
      </c>
    </row>
    <row r="445" spans="1:35" ht="33.950000000000003" customHeight="1">
      <c r="A445" s="189">
        <v>28921448</v>
      </c>
      <c r="B445" s="80"/>
      <c r="C445" s="318">
        <v>45532</v>
      </c>
      <c r="D445" s="80" t="s">
        <v>2737</v>
      </c>
      <c r="E445" s="80" t="s">
        <v>2738</v>
      </c>
      <c r="F445" s="80" t="s">
        <v>2739</v>
      </c>
      <c r="G445" s="134">
        <v>35000</v>
      </c>
      <c r="H445" s="80"/>
      <c r="I445" s="80" t="s">
        <v>29</v>
      </c>
      <c r="J445" s="80" t="s">
        <v>2740</v>
      </c>
      <c r="K445" s="163" t="s">
        <v>2741</v>
      </c>
      <c r="L445" s="199">
        <v>47.000604000000003</v>
      </c>
      <c r="M445" s="199">
        <v>-70.321237999999994</v>
      </c>
      <c r="N445" s="199">
        <v>12.41</v>
      </c>
      <c r="O445" s="80" t="s">
        <v>25</v>
      </c>
      <c r="P445" s="80" t="s">
        <v>173</v>
      </c>
      <c r="Q445" s="199">
        <v>12.41</v>
      </c>
      <c r="R445" s="80"/>
      <c r="S445" s="80" t="s">
        <v>20</v>
      </c>
      <c r="T445" s="216">
        <v>0.8</v>
      </c>
      <c r="U445" s="216">
        <v>0.2</v>
      </c>
      <c r="V445" s="216">
        <v>0.85</v>
      </c>
      <c r="W445" s="199"/>
      <c r="X445" s="216"/>
      <c r="Y445" s="80"/>
      <c r="Z445" s="80"/>
      <c r="AA445" s="80"/>
      <c r="AB445" s="80"/>
      <c r="AC445" s="80"/>
      <c r="AD445" s="80"/>
      <c r="AE445" s="80"/>
      <c r="AF445" s="80"/>
      <c r="AG445" s="80"/>
      <c r="AH445" s="49">
        <f>Table2[[#This Row],[Prix de vente ($)]]/Table2[[#This Row],[Superficie totale (ha)]]</f>
        <v>2820.3062046736504</v>
      </c>
      <c r="AI445" s="80"/>
    </row>
    <row r="446" spans="1:35" ht="33.950000000000003" customHeight="1">
      <c r="A446" s="196" t="s">
        <v>2742</v>
      </c>
      <c r="C446" s="318">
        <v>45533</v>
      </c>
      <c r="F446" t="s">
        <v>2743</v>
      </c>
      <c r="G446" s="93">
        <v>325000</v>
      </c>
      <c r="I446" t="s">
        <v>50</v>
      </c>
      <c r="N446" s="223">
        <f>3.11+40.35</f>
        <v>43.46</v>
      </c>
      <c r="AC446" s="63">
        <v>0</v>
      </c>
      <c r="AH446" s="49"/>
    </row>
    <row r="447" spans="1:35" ht="33.950000000000003" customHeight="1">
      <c r="A447" s="196" t="s">
        <v>2744</v>
      </c>
      <c r="C447" s="318">
        <v>45539</v>
      </c>
      <c r="F447" t="s">
        <v>2745</v>
      </c>
      <c r="G447" s="93">
        <v>400000</v>
      </c>
      <c r="I447" s="255" t="s">
        <v>50</v>
      </c>
      <c r="N447" s="223">
        <v>118.18</v>
      </c>
      <c r="AC447" s="423">
        <v>6.6</v>
      </c>
      <c r="AH447" s="49"/>
    </row>
    <row r="448" spans="1:35" ht="33.950000000000003" customHeight="1">
      <c r="A448" s="196">
        <v>28947567</v>
      </c>
      <c r="C448" s="318">
        <v>45546</v>
      </c>
      <c r="D448" t="s">
        <v>2746</v>
      </c>
      <c r="E448" t="s">
        <v>2747</v>
      </c>
      <c r="F448" t="s">
        <v>2748</v>
      </c>
      <c r="G448" s="93">
        <v>90500</v>
      </c>
      <c r="I448" s="139" t="s">
        <v>2163</v>
      </c>
      <c r="J448" t="s">
        <v>2749</v>
      </c>
      <c r="K448" t="s">
        <v>2749</v>
      </c>
      <c r="L448" s="205" t="s">
        <v>2750</v>
      </c>
      <c r="M448" s="270" t="s">
        <v>2751</v>
      </c>
      <c r="N448" s="211">
        <f>31.34+8.57</f>
        <v>39.909999999999997</v>
      </c>
      <c r="O448" t="s">
        <v>18</v>
      </c>
      <c r="P448" t="s">
        <v>2752</v>
      </c>
      <c r="S448" s="94" t="s">
        <v>33</v>
      </c>
      <c r="T448" s="222">
        <v>0.4</v>
      </c>
      <c r="U448" s="222">
        <v>0.6</v>
      </c>
      <c r="V448" s="222">
        <v>0.7</v>
      </c>
      <c r="AC448" s="63">
        <v>1.9</v>
      </c>
      <c r="AF448" t="s">
        <v>2753</v>
      </c>
      <c r="AH448" s="49">
        <f>Table2[[#This Row],[Prix de vente ($)]]/Table2[[#This Row],[Superficie totale (ha)]]</f>
        <v>2267.6021047356553</v>
      </c>
    </row>
    <row r="449" spans="1:35" ht="33.950000000000003" customHeight="1">
      <c r="A449" s="189">
        <v>28951612</v>
      </c>
      <c r="B449" s="80"/>
      <c r="C449" s="318">
        <v>45547</v>
      </c>
      <c r="D449" s="80" t="s">
        <v>2754</v>
      </c>
      <c r="E449" s="80" t="s">
        <v>2755</v>
      </c>
      <c r="F449" s="80" t="s">
        <v>2756</v>
      </c>
      <c r="G449" s="134">
        <v>30000</v>
      </c>
      <c r="H449" s="80"/>
      <c r="I449" s="80" t="s">
        <v>29</v>
      </c>
      <c r="J449" s="80" t="s">
        <v>2740</v>
      </c>
      <c r="K449" s="80" t="s">
        <v>2757</v>
      </c>
      <c r="L449" s="199">
        <v>46.958602999999997</v>
      </c>
      <c r="M449" s="199">
        <v>-70.408748000000003</v>
      </c>
      <c r="N449" s="199">
        <v>13.58</v>
      </c>
      <c r="O449" s="80" t="s">
        <v>25</v>
      </c>
      <c r="P449" s="80" t="s">
        <v>1179</v>
      </c>
      <c r="Q449" s="199">
        <v>13.58</v>
      </c>
      <c r="R449" s="80"/>
      <c r="S449" s="80" t="s">
        <v>20</v>
      </c>
      <c r="T449" s="216">
        <v>0.6</v>
      </c>
      <c r="U449" s="216">
        <v>0.4</v>
      </c>
      <c r="V449" s="216">
        <v>0.8</v>
      </c>
      <c r="W449" s="199"/>
      <c r="X449" s="216"/>
      <c r="Y449" s="80"/>
      <c r="Z449" s="80"/>
      <c r="AA449" s="80"/>
      <c r="AB449" s="80"/>
      <c r="AC449" s="80"/>
      <c r="AD449" s="80"/>
      <c r="AE449" s="80"/>
      <c r="AF449" s="80"/>
      <c r="AG449" s="80"/>
      <c r="AH449" s="49">
        <f>Table2[[#This Row],[Prix de vente ($)]]/Table2[[#This Row],[Superficie totale (ha)]]</f>
        <v>2209.1310751104565</v>
      </c>
      <c r="AI449" s="80"/>
    </row>
    <row r="450" spans="1:35" ht="33.950000000000003" customHeight="1">
      <c r="A450" s="196">
        <v>28965462</v>
      </c>
      <c r="C450" s="318">
        <v>45554</v>
      </c>
      <c r="D450" s="247" t="s">
        <v>2758</v>
      </c>
      <c r="E450" s="247" t="s">
        <v>2759</v>
      </c>
      <c r="F450" s="247" t="s">
        <v>2760</v>
      </c>
      <c r="G450" s="134">
        <v>124250</v>
      </c>
      <c r="I450" t="s">
        <v>1477</v>
      </c>
      <c r="J450" t="s">
        <v>2158</v>
      </c>
      <c r="N450" s="211">
        <v>4.3600000000000003</v>
      </c>
      <c r="O450" s="80" t="s">
        <v>18</v>
      </c>
      <c r="P450" s="47" t="s">
        <v>35</v>
      </c>
      <c r="Q450" s="199">
        <v>4.3600000000000003</v>
      </c>
      <c r="S450" s="181" t="s">
        <v>20</v>
      </c>
      <c r="T450" s="222">
        <v>1</v>
      </c>
      <c r="U450" s="222">
        <v>0</v>
      </c>
      <c r="V450" s="222">
        <v>0.7</v>
      </c>
      <c r="AF450" t="s">
        <v>2761</v>
      </c>
      <c r="AH450" s="49">
        <f>Table2[[#This Row],[Prix de vente ($)]]/Table2[[#This Row],[Superficie totale (ha)]]</f>
        <v>28497.706422018346</v>
      </c>
    </row>
    <row r="451" spans="1:35" ht="33.950000000000003" customHeight="1">
      <c r="A451" s="196" t="s">
        <v>2762</v>
      </c>
      <c r="C451" s="318">
        <v>45554</v>
      </c>
      <c r="D451" t="s">
        <v>2763</v>
      </c>
      <c r="E451" t="s">
        <v>2764</v>
      </c>
      <c r="F451" t="s">
        <v>2760</v>
      </c>
      <c r="G451" s="93">
        <v>124250</v>
      </c>
      <c r="I451" t="s">
        <v>2157</v>
      </c>
      <c r="J451" t="s">
        <v>2158</v>
      </c>
      <c r="K451" t="s">
        <v>2159</v>
      </c>
      <c r="L451" s="205">
        <v>45.117190999999998</v>
      </c>
      <c r="M451" s="270" t="s">
        <v>2765</v>
      </c>
      <c r="N451" s="211">
        <v>4.3600000000000003</v>
      </c>
      <c r="O451" t="s">
        <v>18</v>
      </c>
      <c r="P451" t="s">
        <v>206</v>
      </c>
      <c r="S451" s="94" t="s">
        <v>20</v>
      </c>
      <c r="T451" s="222">
        <v>0.95</v>
      </c>
      <c r="U451" s="222">
        <v>0.05</v>
      </c>
      <c r="V451" s="222">
        <v>0.9</v>
      </c>
      <c r="AC451" s="63">
        <v>4.3600000000000003</v>
      </c>
      <c r="AH451" s="49">
        <f>Table2[[#This Row],[Prix de vente ($)]]/Table2[[#This Row],[Superficie totale (ha)]]</f>
        <v>28497.706422018346</v>
      </c>
    </row>
    <row r="452" spans="1:35" ht="33.950000000000003" customHeight="1">
      <c r="A452" s="196">
        <v>28966758</v>
      </c>
      <c r="C452" s="318">
        <v>45555</v>
      </c>
      <c r="D452" t="s">
        <v>2766</v>
      </c>
      <c r="E452" t="s">
        <v>2767</v>
      </c>
      <c r="F452" s="269">
        <v>5763767</v>
      </c>
      <c r="G452" s="93">
        <v>60000</v>
      </c>
      <c r="I452" s="139" t="s">
        <v>2163</v>
      </c>
      <c r="J452" t="s">
        <v>2768</v>
      </c>
      <c r="K452" t="s">
        <v>2769</v>
      </c>
      <c r="L452" s="205" t="s">
        <v>2770</v>
      </c>
      <c r="M452" s="270" t="s">
        <v>2771</v>
      </c>
      <c r="N452" s="211">
        <v>16.760000000000002</v>
      </c>
      <c r="O452" t="s">
        <v>18</v>
      </c>
      <c r="P452" t="s">
        <v>2752</v>
      </c>
      <c r="S452" s="94" t="s">
        <v>22</v>
      </c>
      <c r="T452" s="222">
        <v>0.5</v>
      </c>
      <c r="U452" s="222">
        <v>0.5</v>
      </c>
      <c r="V452" s="222">
        <v>0.8</v>
      </c>
      <c r="AC452" s="63">
        <v>5.3</v>
      </c>
      <c r="AF452" t="s">
        <v>2772</v>
      </c>
      <c r="AH452" s="49">
        <f>Table2[[#This Row],[Prix de vente ($)]]/Table2[[#This Row],[Superficie totale (ha)]]</f>
        <v>3579.9522673031024</v>
      </c>
    </row>
    <row r="453" spans="1:35" ht="33.950000000000003" customHeight="1">
      <c r="A453" s="196">
        <v>28979525</v>
      </c>
      <c r="C453" s="318">
        <v>45561</v>
      </c>
      <c r="D453" t="s">
        <v>2773</v>
      </c>
      <c r="E453" t="s">
        <v>2774</v>
      </c>
      <c r="F453">
        <v>5426634</v>
      </c>
      <c r="G453" s="134">
        <v>90000</v>
      </c>
      <c r="I453" t="s">
        <v>602</v>
      </c>
      <c r="J453" t="s">
        <v>603</v>
      </c>
      <c r="K453" t="s">
        <v>2775</v>
      </c>
      <c r="L453" s="205">
        <v>47.366784000000003</v>
      </c>
      <c r="M453" s="205">
        <v>-69.784668999999994</v>
      </c>
      <c r="N453" s="211">
        <v>26.36</v>
      </c>
      <c r="O453" t="s">
        <v>25</v>
      </c>
      <c r="P453" t="s">
        <v>173</v>
      </c>
      <c r="Q453" s="199">
        <v>26.36</v>
      </c>
      <c r="S453" s="94" t="s">
        <v>22</v>
      </c>
      <c r="T453" s="222">
        <v>0.5</v>
      </c>
      <c r="U453" s="222">
        <v>0.5</v>
      </c>
      <c r="V453" s="222">
        <v>0.5</v>
      </c>
      <c r="AF453" t="s">
        <v>2776</v>
      </c>
      <c r="AH453" s="49">
        <f>Table2[[#This Row],[Prix de vente ($)]]/Table2[[#This Row],[Superficie totale (ha)]]</f>
        <v>3414.2640364188164</v>
      </c>
    </row>
    <row r="454" spans="1:35" ht="33.950000000000003" customHeight="1">
      <c r="A454" s="196">
        <v>28982618</v>
      </c>
      <c r="C454" s="318">
        <v>45562</v>
      </c>
      <c r="D454" t="s">
        <v>2777</v>
      </c>
      <c r="E454" t="s">
        <v>2778</v>
      </c>
      <c r="F454" s="271">
        <v>3698885</v>
      </c>
      <c r="G454" s="306">
        <v>160000</v>
      </c>
      <c r="J454" t="s">
        <v>1866</v>
      </c>
      <c r="K454" t="s">
        <v>2779</v>
      </c>
      <c r="L454" s="204" t="s">
        <v>2780</v>
      </c>
      <c r="M454" s="277" t="s">
        <v>2781</v>
      </c>
      <c r="N454" s="211">
        <v>5.44</v>
      </c>
      <c r="O454" t="s">
        <v>18</v>
      </c>
      <c r="P454" t="s">
        <v>206</v>
      </c>
      <c r="S454" s="62" t="s">
        <v>20</v>
      </c>
      <c r="T454" s="219">
        <v>1</v>
      </c>
      <c r="U454" s="219">
        <v>0</v>
      </c>
      <c r="V454" s="219" t="s">
        <v>243</v>
      </c>
      <c r="W454" s="489"/>
      <c r="X454" s="219"/>
      <c r="AC454" s="63">
        <v>5.44</v>
      </c>
      <c r="AD454" s="273"/>
      <c r="AF454" t="s">
        <v>2782</v>
      </c>
      <c r="AH454" s="49">
        <f>Table2[[#This Row],[Prix de vente ($)]]/Table2[[#This Row],[Superficie totale (ha)]]</f>
        <v>29411.76470588235</v>
      </c>
    </row>
    <row r="455" spans="1:35" ht="33.950000000000003" customHeight="1">
      <c r="A455" s="194">
        <v>28981991</v>
      </c>
      <c r="B455" s="139"/>
      <c r="C455" s="148">
        <v>45562</v>
      </c>
      <c r="D455" s="60" t="s">
        <v>2783</v>
      </c>
      <c r="E455" s="60" t="s">
        <v>2784</v>
      </c>
      <c r="F455" s="140" t="s">
        <v>2785</v>
      </c>
      <c r="G455" s="150">
        <v>69000</v>
      </c>
      <c r="I455" s="139" t="s">
        <v>2163</v>
      </c>
      <c r="J455" s="139" t="s">
        <v>2786</v>
      </c>
      <c r="K455" s="139" t="s">
        <v>2787</v>
      </c>
      <c r="L455" s="151" t="s">
        <v>2788</v>
      </c>
      <c r="M455" s="155" t="s">
        <v>2789</v>
      </c>
      <c r="N455" s="144">
        <v>48.22</v>
      </c>
      <c r="O455" s="139" t="s">
        <v>36</v>
      </c>
      <c r="P455" s="60" t="s">
        <v>154</v>
      </c>
      <c r="R455">
        <v>7.3</v>
      </c>
      <c r="S455" s="94" t="s">
        <v>33</v>
      </c>
      <c r="T455" s="222">
        <v>0.3</v>
      </c>
      <c r="U455" s="222">
        <v>0.7</v>
      </c>
      <c r="V455" s="222">
        <v>0.8</v>
      </c>
      <c r="AF455" t="s">
        <v>2790</v>
      </c>
      <c r="AH455" s="49">
        <f>Table2[[#This Row],[Prix de vente ($)]]/Table2[[#This Row],[Superficie totale (ha)]]</f>
        <v>1430.9415180423061</v>
      </c>
    </row>
    <row r="456" spans="1:35" ht="33.950000000000003" customHeight="1">
      <c r="A456" s="189">
        <v>28894287</v>
      </c>
      <c r="B456" s="80"/>
      <c r="C456" s="318">
        <v>45562</v>
      </c>
      <c r="D456" s="80" t="s">
        <v>2791</v>
      </c>
      <c r="E456" s="80" t="s">
        <v>2792</v>
      </c>
      <c r="F456" s="80" t="s">
        <v>2793</v>
      </c>
      <c r="G456" s="134">
        <v>100000</v>
      </c>
      <c r="H456" s="80"/>
      <c r="I456" s="80" t="s">
        <v>29</v>
      </c>
      <c r="J456" s="80" t="s">
        <v>1958</v>
      </c>
      <c r="K456" s="43" t="s">
        <v>2794</v>
      </c>
      <c r="L456" s="199">
        <v>46.707095000000002</v>
      </c>
      <c r="M456" s="199">
        <v>-70.065989000000002</v>
      </c>
      <c r="N456" s="199">
        <v>41.97</v>
      </c>
      <c r="O456" s="80" t="s">
        <v>25</v>
      </c>
      <c r="P456" s="80" t="s">
        <v>173</v>
      </c>
      <c r="Q456" s="199">
        <v>41.97</v>
      </c>
      <c r="R456" s="80"/>
      <c r="S456" s="80" t="s">
        <v>310</v>
      </c>
      <c r="T456" s="216">
        <v>0.4</v>
      </c>
      <c r="U456" s="216">
        <v>0.6</v>
      </c>
      <c r="V456" s="216">
        <v>0.75</v>
      </c>
      <c r="W456" s="199"/>
      <c r="X456" s="216"/>
      <c r="Y456" s="80"/>
      <c r="Z456" s="80"/>
      <c r="AA456" s="80"/>
      <c r="AB456" s="80"/>
      <c r="AC456" s="80"/>
      <c r="AD456" s="80"/>
      <c r="AE456" s="80"/>
      <c r="AF456" s="80"/>
      <c r="AG456" s="80"/>
      <c r="AH456" s="49">
        <f>Table2[[#This Row],[Prix de vente ($)]]/Table2[[#This Row],[Superficie totale (ha)]]</f>
        <v>2382.6542768644272</v>
      </c>
      <c r="AI456" s="80"/>
    </row>
    <row r="457" spans="1:35" ht="33.950000000000003" customHeight="1">
      <c r="A457" s="189">
        <v>28984287</v>
      </c>
      <c r="B457" s="80"/>
      <c r="C457" s="318">
        <v>45562</v>
      </c>
      <c r="D457" s="80" t="s">
        <v>2791</v>
      </c>
      <c r="E457" s="80" t="s">
        <v>2792</v>
      </c>
      <c r="F457" s="80">
        <v>6045561</v>
      </c>
      <c r="G457" s="134">
        <v>100000</v>
      </c>
      <c r="H457" s="80"/>
      <c r="I457" s="80" t="s">
        <v>29</v>
      </c>
      <c r="J457" s="80" t="s">
        <v>1958</v>
      </c>
      <c r="K457" s="80" t="s">
        <v>2795</v>
      </c>
      <c r="L457" s="199">
        <v>46.705455000000001</v>
      </c>
      <c r="M457" s="199">
        <v>-70.06335</v>
      </c>
      <c r="N457" s="199">
        <v>41.97</v>
      </c>
      <c r="O457" s="80" t="s">
        <v>508</v>
      </c>
      <c r="P457" s="80" t="s">
        <v>173</v>
      </c>
      <c r="Q457" s="199">
        <v>41.97</v>
      </c>
      <c r="R457" s="80"/>
      <c r="S457" s="80" t="s">
        <v>175</v>
      </c>
      <c r="T457" s="216">
        <v>0.5</v>
      </c>
      <c r="U457" s="216">
        <v>0.5</v>
      </c>
      <c r="V457" s="216">
        <v>0.7</v>
      </c>
      <c r="W457" s="199"/>
      <c r="X457" s="216"/>
      <c r="Y457" s="80"/>
      <c r="Z457" s="80"/>
      <c r="AA457" s="80"/>
      <c r="AB457" s="80"/>
      <c r="AC457" s="80">
        <v>11.1</v>
      </c>
      <c r="AD457" s="80"/>
      <c r="AE457" s="80"/>
      <c r="AF457" s="43" t="s">
        <v>1960</v>
      </c>
      <c r="AG457" s="80"/>
      <c r="AH457" s="49">
        <f>Table2[[#This Row],[Prix de vente ($)]]/Table2[[#This Row],[Superficie totale (ha)]]</f>
        <v>2382.6542768644272</v>
      </c>
      <c r="AI457" s="80"/>
    </row>
    <row r="458" spans="1:35" ht="33.950000000000003" customHeight="1">
      <c r="A458" s="189">
        <v>28986511</v>
      </c>
      <c r="B458" s="80"/>
      <c r="C458" s="318">
        <v>45565</v>
      </c>
      <c r="D458" s="80" t="s">
        <v>2796</v>
      </c>
      <c r="E458" s="80" t="s">
        <v>2797</v>
      </c>
      <c r="F458" s="80" t="s">
        <v>2798</v>
      </c>
      <c r="G458" s="134">
        <v>300000</v>
      </c>
      <c r="H458" s="80"/>
      <c r="I458" s="80" t="s">
        <v>722</v>
      </c>
      <c r="J458" s="80" t="s">
        <v>1888</v>
      </c>
      <c r="K458" s="80" t="s">
        <v>2799</v>
      </c>
      <c r="L458" s="199">
        <v>46.461841999999997</v>
      </c>
      <c r="M458" s="199">
        <v>-71.173985000000002</v>
      </c>
      <c r="N458" s="199">
        <v>13.59</v>
      </c>
      <c r="O458" s="80" t="s">
        <v>18</v>
      </c>
      <c r="P458" s="80" t="s">
        <v>110</v>
      </c>
      <c r="Q458" s="199">
        <v>13.59</v>
      </c>
      <c r="R458" s="80"/>
      <c r="S458" s="80" t="s">
        <v>20</v>
      </c>
      <c r="T458" s="216">
        <v>0.85</v>
      </c>
      <c r="U458" s="216">
        <v>0.25</v>
      </c>
      <c r="V458" s="216">
        <v>0.75</v>
      </c>
      <c r="W458" s="199"/>
      <c r="X458" s="216"/>
      <c r="Y458" s="80"/>
      <c r="Z458" s="80"/>
      <c r="AA458" s="80"/>
      <c r="AB458" s="80"/>
      <c r="AC458" s="80">
        <v>6.8</v>
      </c>
      <c r="AD458" s="80"/>
      <c r="AE458" s="80"/>
      <c r="AF458" s="43" t="s">
        <v>2800</v>
      </c>
      <c r="AG458" s="80"/>
      <c r="AH458" s="49">
        <f>Table2[[#This Row],[Prix de vente ($)]]/Table2[[#This Row],[Superficie totale (ha)]]</f>
        <v>22075.055187637969</v>
      </c>
      <c r="AI458" s="80"/>
    </row>
    <row r="459" spans="1:35" ht="33.950000000000003" customHeight="1">
      <c r="A459" s="196">
        <v>28993277</v>
      </c>
      <c r="C459" s="318">
        <v>45568</v>
      </c>
      <c r="D459" t="s">
        <v>2801</v>
      </c>
      <c r="E459" t="s">
        <v>2802</v>
      </c>
      <c r="F459" t="s">
        <v>2803</v>
      </c>
      <c r="G459" s="134">
        <f>36400+33600</f>
        <v>70000</v>
      </c>
      <c r="I459" t="s">
        <v>2245</v>
      </c>
      <c r="J459" t="s">
        <v>2337</v>
      </c>
      <c r="K459" t="s">
        <v>2804</v>
      </c>
      <c r="L459" s="205" t="s">
        <v>2805</v>
      </c>
      <c r="M459" s="270" t="s">
        <v>2806</v>
      </c>
      <c r="N459" s="211">
        <f>27.42+25.82</f>
        <v>53.24</v>
      </c>
      <c r="O459" t="s">
        <v>25</v>
      </c>
      <c r="P459" t="s">
        <v>1179</v>
      </c>
      <c r="Q459" s="211">
        <f>Table2[[#This Row],[Superficie totale (ha)]]</f>
        <v>53.24</v>
      </c>
      <c r="S459" s="16" t="s">
        <v>33</v>
      </c>
      <c r="T459" s="215">
        <v>0.1</v>
      </c>
      <c r="U459" s="215">
        <v>0.9</v>
      </c>
      <c r="V459" s="222" t="s">
        <v>1214</v>
      </c>
      <c r="AF459" t="s">
        <v>1102</v>
      </c>
      <c r="AH459" s="49">
        <f>Table2[[#This Row],[Prix de vente ($)]]/Table2[[#This Row],[Superficie totale (ha)]]</f>
        <v>1314.8009015777611</v>
      </c>
    </row>
    <row r="460" spans="1:35" ht="33.950000000000003" customHeight="1">
      <c r="A460" s="189">
        <v>29002706</v>
      </c>
      <c r="B460" s="80"/>
      <c r="C460" s="318">
        <v>45573</v>
      </c>
      <c r="D460" s="80" t="s">
        <v>2807</v>
      </c>
      <c r="E460" s="80" t="s">
        <v>2808</v>
      </c>
      <c r="F460" s="80" t="s">
        <v>2809</v>
      </c>
      <c r="G460" s="134">
        <v>85000</v>
      </c>
      <c r="H460" s="80"/>
      <c r="I460" s="80" t="s">
        <v>29</v>
      </c>
      <c r="J460" s="43" t="s">
        <v>2810</v>
      </c>
      <c r="K460" s="80" t="s">
        <v>2811</v>
      </c>
      <c r="L460" s="199">
        <v>46.859214999999999</v>
      </c>
      <c r="M460" s="199">
        <v>-70.562072000000001</v>
      </c>
      <c r="N460" s="199">
        <v>12.76</v>
      </c>
      <c r="O460" s="80" t="s">
        <v>25</v>
      </c>
      <c r="P460" s="80" t="s">
        <v>1179</v>
      </c>
      <c r="Q460" s="199">
        <v>12.76</v>
      </c>
      <c r="R460" s="80"/>
      <c r="S460" s="80" t="s">
        <v>310</v>
      </c>
      <c r="T460" s="216">
        <v>0.3</v>
      </c>
      <c r="U460" s="216">
        <v>0.7</v>
      </c>
      <c r="V460" s="216">
        <v>0.5</v>
      </c>
      <c r="W460" s="199"/>
      <c r="X460" s="216"/>
      <c r="Y460" s="80"/>
      <c r="Z460" s="80"/>
      <c r="AA460" s="80"/>
      <c r="AB460" s="80"/>
      <c r="AC460" s="80"/>
      <c r="AD460" s="80"/>
      <c r="AE460" s="80"/>
      <c r="AF460" s="80"/>
      <c r="AG460" s="80"/>
      <c r="AH460" s="49">
        <f>Table2[[#This Row],[Prix de vente ($)]]/Table2[[#This Row],[Superficie totale (ha)]]</f>
        <v>6661.4420062695926</v>
      </c>
      <c r="AI460" s="80"/>
    </row>
    <row r="461" spans="1:35" ht="33.950000000000003" customHeight="1">
      <c r="A461" s="196">
        <v>29009123</v>
      </c>
      <c r="C461" s="318">
        <v>45575</v>
      </c>
      <c r="F461" t="s">
        <v>2812</v>
      </c>
      <c r="G461" s="134">
        <v>245000</v>
      </c>
      <c r="I461" t="s">
        <v>58</v>
      </c>
      <c r="J461" t="s">
        <v>2346</v>
      </c>
      <c r="K461" t="s">
        <v>2813</v>
      </c>
      <c r="L461" s="205" t="s">
        <v>2814</v>
      </c>
      <c r="M461" s="270" t="s">
        <v>2815</v>
      </c>
      <c r="N461" s="211">
        <v>33.479999999999997</v>
      </c>
      <c r="O461" t="s">
        <v>18</v>
      </c>
      <c r="P461" t="s">
        <v>35</v>
      </c>
      <c r="S461" s="94" t="s">
        <v>102</v>
      </c>
      <c r="T461" s="222">
        <v>0.4</v>
      </c>
      <c r="U461" s="222">
        <v>0.6</v>
      </c>
      <c r="V461" s="222" t="s">
        <v>362</v>
      </c>
      <c r="AF461" t="s">
        <v>2816</v>
      </c>
      <c r="AH461" s="49">
        <f>Table2[[#This Row],[Prix de vente ($)]]/Table2[[#This Row],[Superficie totale (ha)]]</f>
        <v>7317.801672640383</v>
      </c>
    </row>
    <row r="462" spans="1:35" ht="33.950000000000003" customHeight="1">
      <c r="A462" s="189">
        <v>29010940</v>
      </c>
      <c r="B462" s="80"/>
      <c r="C462" s="318">
        <v>45576</v>
      </c>
      <c r="D462" t="s">
        <v>2817</v>
      </c>
      <c r="E462" s="80" t="s">
        <v>2818</v>
      </c>
      <c r="F462" s="80" t="s">
        <v>2819</v>
      </c>
      <c r="G462" s="134">
        <v>20000</v>
      </c>
      <c r="H462" s="80"/>
      <c r="I462" s="80" t="s">
        <v>29</v>
      </c>
      <c r="J462" s="80" t="s">
        <v>2740</v>
      </c>
      <c r="K462" s="43" t="s">
        <v>2820</v>
      </c>
      <c r="L462" s="199">
        <v>47.006286000000003</v>
      </c>
      <c r="M462" s="199">
        <v>-70.425534999999996</v>
      </c>
      <c r="N462" s="199">
        <v>3.83</v>
      </c>
      <c r="O462" s="80" t="s">
        <v>18</v>
      </c>
      <c r="P462" s="80" t="s">
        <v>1179</v>
      </c>
      <c r="Q462" s="199">
        <v>3.83</v>
      </c>
      <c r="R462" s="80"/>
      <c r="S462" s="80" t="s">
        <v>62</v>
      </c>
      <c r="T462" s="216">
        <v>0.7</v>
      </c>
      <c r="U462" s="216">
        <v>0.3</v>
      </c>
      <c r="V462" s="216">
        <v>0.75</v>
      </c>
      <c r="W462" s="199"/>
      <c r="X462" s="216"/>
      <c r="Y462" s="80"/>
      <c r="Z462" s="80"/>
      <c r="AA462" s="80"/>
      <c r="AB462" s="80"/>
      <c r="AC462" s="80"/>
      <c r="AD462" s="80"/>
      <c r="AE462" s="80"/>
      <c r="AF462" s="80"/>
      <c r="AG462" s="80"/>
      <c r="AH462" s="49">
        <f>Table2[[#This Row],[Prix de vente ($)]]/Table2[[#This Row],[Superficie totale (ha)]]</f>
        <v>5221.9321148825065</v>
      </c>
      <c r="AI462" s="80"/>
    </row>
    <row r="463" spans="1:35" ht="33.950000000000003" customHeight="1">
      <c r="A463" s="196">
        <v>29018026</v>
      </c>
      <c r="C463" s="318">
        <v>45581</v>
      </c>
      <c r="D463" s="239" t="s">
        <v>2821</v>
      </c>
      <c r="E463" s="239" t="s">
        <v>2822</v>
      </c>
      <c r="F463" s="239" t="s">
        <v>2823</v>
      </c>
      <c r="G463" s="93">
        <v>30000</v>
      </c>
      <c r="I463" t="s">
        <v>2108</v>
      </c>
      <c r="J463" t="s">
        <v>2472</v>
      </c>
      <c r="N463" s="211">
        <v>14.94</v>
      </c>
      <c r="O463" t="s">
        <v>25</v>
      </c>
      <c r="P463" t="s">
        <v>173</v>
      </c>
      <c r="Q463" s="211">
        <v>14.94</v>
      </c>
      <c r="S463" s="94" t="s">
        <v>310</v>
      </c>
      <c r="T463" s="222">
        <v>0.15</v>
      </c>
      <c r="U463" s="222">
        <v>0.85</v>
      </c>
      <c r="V463" s="222">
        <v>0.8</v>
      </c>
      <c r="AC463" s="63">
        <v>0</v>
      </c>
      <c r="AF463" t="s">
        <v>2824</v>
      </c>
      <c r="AH463" s="49">
        <f>Table2[[#This Row],[Prix de vente ($)]]/Table2[[#This Row],[Superficie totale (ha)]]</f>
        <v>2008.0321285140562</v>
      </c>
    </row>
    <row r="464" spans="1:35" ht="33.950000000000003" customHeight="1">
      <c r="A464" s="196" t="s">
        <v>2825</v>
      </c>
      <c r="C464" s="318">
        <v>45582</v>
      </c>
      <c r="F464" t="s">
        <v>2826</v>
      </c>
      <c r="G464" s="93">
        <v>300000</v>
      </c>
      <c r="I464" s="255" t="s">
        <v>50</v>
      </c>
      <c r="N464" s="369">
        <v>42.59</v>
      </c>
      <c r="AC464" s="50">
        <v>35</v>
      </c>
      <c r="AH464" s="49"/>
    </row>
    <row r="465" spans="1:34" ht="33.950000000000003" customHeight="1">
      <c r="A465" s="196">
        <v>29031038</v>
      </c>
      <c r="C465" s="318">
        <v>45588</v>
      </c>
      <c r="D465" t="s">
        <v>2827</v>
      </c>
      <c r="E465" t="s">
        <v>2828</v>
      </c>
      <c r="F465" s="247" t="s">
        <v>2829</v>
      </c>
      <c r="G465" s="134">
        <v>10000</v>
      </c>
      <c r="I465" t="s">
        <v>792</v>
      </c>
      <c r="J465" t="s">
        <v>2830</v>
      </c>
      <c r="K465" s="247" t="s">
        <v>2831</v>
      </c>
      <c r="L465" s="205">
        <v>46.721192000000002</v>
      </c>
      <c r="M465" s="205">
        <v>-71.609285</v>
      </c>
      <c r="N465" s="211">
        <v>20.309999999999999</v>
      </c>
      <c r="O465" t="s">
        <v>18</v>
      </c>
      <c r="P465" t="s">
        <v>35</v>
      </c>
      <c r="Q465" s="199">
        <v>20.309999999999999</v>
      </c>
      <c r="S465" s="94" t="s">
        <v>102</v>
      </c>
      <c r="T465" s="222">
        <v>0.1</v>
      </c>
      <c r="U465" s="222">
        <v>0.9</v>
      </c>
      <c r="V465" s="222">
        <v>0.7</v>
      </c>
      <c r="AH465" s="49">
        <f>Table2[[#This Row],[Prix de vente ($)]]/Table2[[#This Row],[Superficie totale (ha)]]</f>
        <v>492.36829148202861</v>
      </c>
    </row>
    <row r="466" spans="1:34" ht="33.950000000000003" customHeight="1">
      <c r="A466" s="196">
        <v>29040900</v>
      </c>
      <c r="C466" s="318">
        <v>45593</v>
      </c>
      <c r="D466" t="s">
        <v>2832</v>
      </c>
      <c r="E466" t="s">
        <v>2833</v>
      </c>
      <c r="F466" t="s">
        <v>2834</v>
      </c>
      <c r="G466" s="134">
        <v>40000</v>
      </c>
      <c r="I466" t="s">
        <v>1477</v>
      </c>
      <c r="J466" t="s">
        <v>2835</v>
      </c>
      <c r="N466" s="211">
        <v>7.68</v>
      </c>
      <c r="O466" s="80" t="s">
        <v>18</v>
      </c>
      <c r="P466" s="47" t="s">
        <v>35</v>
      </c>
      <c r="Q466" s="211">
        <v>7.68</v>
      </c>
      <c r="S466" s="181" t="s">
        <v>20</v>
      </c>
      <c r="T466" s="222">
        <v>1</v>
      </c>
      <c r="U466" s="222">
        <v>0</v>
      </c>
      <c r="V466" s="222">
        <v>0.95</v>
      </c>
      <c r="AC466" s="63">
        <v>7.06</v>
      </c>
      <c r="AF466" t="s">
        <v>2836</v>
      </c>
      <c r="AH466" s="49">
        <f>Table2[[#This Row],[Prix de vente ($)]]/Table2[[#This Row],[Superficie totale (ha)]]</f>
        <v>5208.3333333333339</v>
      </c>
    </row>
    <row r="467" spans="1:34" ht="33.950000000000003" customHeight="1">
      <c r="A467" s="196">
        <v>29040366</v>
      </c>
      <c r="C467" s="318">
        <v>45593</v>
      </c>
      <c r="D467" s="256" t="s">
        <v>2837</v>
      </c>
      <c r="E467" t="s">
        <v>2838</v>
      </c>
      <c r="F467" s="239" t="s">
        <v>2839</v>
      </c>
      <c r="G467" s="134">
        <v>206955</v>
      </c>
      <c r="I467" t="s">
        <v>1171</v>
      </c>
      <c r="J467" t="s">
        <v>1172</v>
      </c>
      <c r="K467" t="s">
        <v>2840</v>
      </c>
      <c r="L467" s="205">
        <v>45.792102999999997</v>
      </c>
      <c r="M467" s="205">
        <v>-71.580281999999997</v>
      </c>
      <c r="N467" s="211">
        <v>14.61</v>
      </c>
      <c r="O467" t="s">
        <v>25</v>
      </c>
      <c r="P467" t="s">
        <v>110</v>
      </c>
      <c r="Q467" s="199">
        <v>14.61</v>
      </c>
      <c r="S467" s="94" t="s">
        <v>20</v>
      </c>
      <c r="T467" s="222">
        <v>0.8</v>
      </c>
      <c r="U467" s="222">
        <v>0.2</v>
      </c>
      <c r="V467" s="222">
        <v>0.75</v>
      </c>
      <c r="AF467" t="s">
        <v>2841</v>
      </c>
      <c r="AH467" s="49">
        <f>Table2[[#This Row],[Prix de vente ($)]]/Table2[[#This Row],[Superficie totale (ha)]]</f>
        <v>14165.297741273102</v>
      </c>
    </row>
    <row r="468" spans="1:34" ht="33.950000000000003" customHeight="1">
      <c r="A468" s="196">
        <v>29042649</v>
      </c>
      <c r="C468" s="318">
        <v>45594</v>
      </c>
      <c r="D468" s="247" t="s">
        <v>2842</v>
      </c>
      <c r="E468" s="247" t="s">
        <v>2843</v>
      </c>
      <c r="F468" t="s">
        <v>2844</v>
      </c>
      <c r="G468" s="134">
        <v>40000</v>
      </c>
      <c r="I468" t="s">
        <v>792</v>
      </c>
      <c r="J468" s="247" t="s">
        <v>654</v>
      </c>
      <c r="K468" s="247" t="s">
        <v>2845</v>
      </c>
      <c r="L468" s="205">
        <v>46.775720999999997</v>
      </c>
      <c r="M468" s="205">
        <v>-71.947766000000001</v>
      </c>
      <c r="N468" s="211">
        <v>18.72</v>
      </c>
      <c r="O468" t="s">
        <v>18</v>
      </c>
      <c r="P468" t="s">
        <v>35</v>
      </c>
      <c r="Q468" s="199">
        <v>18.72</v>
      </c>
      <c r="S468" s="94" t="s">
        <v>102</v>
      </c>
      <c r="T468" s="222">
        <v>0.1</v>
      </c>
      <c r="U468" s="222">
        <v>0.9</v>
      </c>
      <c r="V468" s="222">
        <v>0.75</v>
      </c>
      <c r="AH468" s="49">
        <f>Table2[[#This Row],[Prix de vente ($)]]/Table2[[#This Row],[Superficie totale (ha)]]</f>
        <v>2136.7521367521367</v>
      </c>
    </row>
    <row r="469" spans="1:34" ht="33.950000000000003" customHeight="1">
      <c r="A469" s="196" t="s">
        <v>2846</v>
      </c>
      <c r="C469" s="318">
        <v>45595</v>
      </c>
      <c r="D469" t="s">
        <v>2847</v>
      </c>
      <c r="E469" t="s">
        <v>2848</v>
      </c>
      <c r="F469" t="s">
        <v>2849</v>
      </c>
      <c r="G469" s="93">
        <v>277500</v>
      </c>
      <c r="I469" t="s">
        <v>654</v>
      </c>
      <c r="J469" t="s">
        <v>654</v>
      </c>
      <c r="K469" t="s">
        <v>2850</v>
      </c>
      <c r="L469" s="205">
        <v>46.728780999999998</v>
      </c>
      <c r="M469" s="270" t="s">
        <v>2851</v>
      </c>
      <c r="N469" s="211">
        <f>9.24+15.7</f>
        <v>24.939999999999998</v>
      </c>
      <c r="O469" t="s">
        <v>18</v>
      </c>
      <c r="P469" t="s">
        <v>206</v>
      </c>
      <c r="Q469" s="211">
        <f>9.24+15.7</f>
        <v>24.939999999999998</v>
      </c>
      <c r="S469" s="94" t="s">
        <v>62</v>
      </c>
      <c r="T469" s="222">
        <v>0.7</v>
      </c>
      <c r="U469" s="222">
        <v>0.3</v>
      </c>
      <c r="V469" s="222">
        <v>0.75</v>
      </c>
      <c r="Y469" t="s">
        <v>2852</v>
      </c>
      <c r="AC469" s="63">
        <v>13.4</v>
      </c>
      <c r="AE469" s="63">
        <v>2816</v>
      </c>
      <c r="AF469" t="s">
        <v>73</v>
      </c>
      <c r="AH469" s="49">
        <f>Table2[[#This Row],[Prix de vente ($)]]/Table2[[#This Row],[Superficie totale (ha)]]</f>
        <v>11126.704089815559</v>
      </c>
    </row>
    <row r="470" spans="1:34" ht="33.950000000000003" customHeight="1">
      <c r="A470" s="196" t="s">
        <v>2853</v>
      </c>
      <c r="C470" s="318">
        <v>45596</v>
      </c>
      <c r="F470" t="s">
        <v>2854</v>
      </c>
      <c r="G470" s="366">
        <v>35000</v>
      </c>
      <c r="I470" t="s">
        <v>2445</v>
      </c>
      <c r="J470" t="s">
        <v>2446</v>
      </c>
      <c r="N470" s="50">
        <v>3.61</v>
      </c>
      <c r="O470" s="50" t="s">
        <v>18</v>
      </c>
      <c r="P470" s="424" t="s">
        <v>206</v>
      </c>
      <c r="Q470" s="50">
        <v>3.61</v>
      </c>
      <c r="S470" s="50" t="s">
        <v>62</v>
      </c>
      <c r="T470" s="425">
        <v>1</v>
      </c>
      <c r="U470" s="425">
        <v>0</v>
      </c>
      <c r="V470" s="425">
        <v>0.8</v>
      </c>
      <c r="W470" s="494"/>
      <c r="X470" s="425"/>
      <c r="AC470" s="50">
        <v>0</v>
      </c>
      <c r="AF470" s="426" t="s">
        <v>2447</v>
      </c>
      <c r="AH470" s="49">
        <f>Table2[[#This Row],[Prix de vente ($)]]/Table2[[#This Row],[Superficie totale (ha)]]</f>
        <v>9695.2908587257625</v>
      </c>
    </row>
    <row r="471" spans="1:34" ht="33.950000000000003" customHeight="1">
      <c r="A471" s="196">
        <v>29054647</v>
      </c>
      <c r="C471" s="318">
        <v>45597</v>
      </c>
      <c r="D471" t="s">
        <v>2855</v>
      </c>
      <c r="E471" s="20" t="s">
        <v>2856</v>
      </c>
      <c r="F471" t="s">
        <v>2857</v>
      </c>
      <c r="G471" s="134">
        <v>500000</v>
      </c>
      <c r="I471" t="s">
        <v>1352</v>
      </c>
      <c r="J471" t="s">
        <v>2858</v>
      </c>
      <c r="K471" t="s">
        <v>2859</v>
      </c>
      <c r="L471" s="205" t="s">
        <v>2860</v>
      </c>
      <c r="M471" s="270" t="s">
        <v>2861</v>
      </c>
      <c r="N471" s="211">
        <f>4.14+17+14.36+11.03+5.02</f>
        <v>51.55</v>
      </c>
      <c r="O471" t="s">
        <v>25</v>
      </c>
      <c r="P471" t="s">
        <v>19</v>
      </c>
      <c r="Q471" s="211">
        <f>Table2[[#This Row],[Superficie totale (ha)]]</f>
        <v>51.55</v>
      </c>
      <c r="S471" s="181" t="s">
        <v>20</v>
      </c>
      <c r="T471" s="222">
        <v>0.8</v>
      </c>
      <c r="U471" s="222">
        <v>0.2</v>
      </c>
      <c r="V471" s="222" t="s">
        <v>243</v>
      </c>
      <c r="AC471" s="63">
        <v>18.100000000000001</v>
      </c>
      <c r="AF471" t="s">
        <v>2862</v>
      </c>
      <c r="AH471" s="49">
        <f>Table2[[#This Row],[Prix de vente ($)]]/Table2[[#This Row],[Superficie totale (ha)]]</f>
        <v>9699.3210475266733</v>
      </c>
    </row>
    <row r="472" spans="1:34" ht="33.950000000000003" customHeight="1">
      <c r="A472" s="196" t="s">
        <v>2863</v>
      </c>
      <c r="C472" s="318">
        <v>45600</v>
      </c>
      <c r="F472" t="s">
        <v>2864</v>
      </c>
      <c r="G472" s="93">
        <v>50000</v>
      </c>
      <c r="I472" t="s">
        <v>1363</v>
      </c>
      <c r="AH472" s="49"/>
    </row>
    <row r="473" spans="1:34" ht="33.950000000000003" customHeight="1">
      <c r="A473" s="196">
        <v>29059827</v>
      </c>
      <c r="C473" s="318">
        <v>45601</v>
      </c>
      <c r="D473" s="248" t="s">
        <v>2865</v>
      </c>
      <c r="E473" s="247" t="s">
        <v>2866</v>
      </c>
      <c r="F473" s="239" t="s">
        <v>2867</v>
      </c>
      <c r="G473" s="134">
        <v>55000</v>
      </c>
      <c r="I473" t="s">
        <v>792</v>
      </c>
      <c r="J473" t="s">
        <v>2868</v>
      </c>
      <c r="K473" s="239" t="s">
        <v>2869</v>
      </c>
      <c r="L473" s="204">
        <v>46.769289999999998</v>
      </c>
      <c r="M473" s="204">
        <v>-72.090705999999997</v>
      </c>
      <c r="N473" s="211">
        <v>10.11</v>
      </c>
      <c r="O473" t="s">
        <v>18</v>
      </c>
      <c r="P473" t="s">
        <v>173</v>
      </c>
      <c r="Q473" s="199">
        <v>10.11</v>
      </c>
      <c r="S473" s="94" t="s">
        <v>62</v>
      </c>
      <c r="T473" s="222">
        <v>1</v>
      </c>
      <c r="U473" s="222">
        <v>0</v>
      </c>
      <c r="V473" s="222">
        <v>0.9</v>
      </c>
      <c r="AF473" t="s">
        <v>2054</v>
      </c>
      <c r="AH473" s="49">
        <f>Table2[[#This Row],[Prix de vente ($)]]/Table2[[#This Row],[Superficie totale (ha)]]</f>
        <v>5440.158259149357</v>
      </c>
    </row>
    <row r="474" spans="1:34" ht="33.950000000000003" customHeight="1">
      <c r="A474" s="196">
        <v>29066673</v>
      </c>
      <c r="C474" s="318">
        <v>45604</v>
      </c>
      <c r="D474" s="249" t="s">
        <v>2870</v>
      </c>
      <c r="E474" s="20" t="s">
        <v>2871</v>
      </c>
      <c r="F474" s="250" t="s">
        <v>2872</v>
      </c>
      <c r="G474" s="134">
        <v>175000</v>
      </c>
      <c r="I474" t="s">
        <v>792</v>
      </c>
      <c r="J474" t="s">
        <v>2873</v>
      </c>
      <c r="K474" s="249" t="s">
        <v>2874</v>
      </c>
      <c r="L474" s="205">
        <v>46.893659</v>
      </c>
      <c r="M474" s="205">
        <v>-71.769194999999996</v>
      </c>
      <c r="N474" s="211">
        <v>21.07</v>
      </c>
      <c r="O474" t="s">
        <v>25</v>
      </c>
      <c r="P474" t="s">
        <v>173</v>
      </c>
      <c r="Q474" s="199">
        <v>21.07</v>
      </c>
      <c r="S474" s="94" t="s">
        <v>62</v>
      </c>
      <c r="T474" s="222">
        <v>0.9</v>
      </c>
      <c r="U474" s="222">
        <v>0.1</v>
      </c>
      <c r="V474" s="222">
        <v>0.45</v>
      </c>
      <c r="AC474" s="63">
        <v>7.2</v>
      </c>
      <c r="AF474" t="s">
        <v>2875</v>
      </c>
      <c r="AH474" s="49">
        <f>Table2[[#This Row],[Prix de vente ($)]]/Table2[[#This Row],[Superficie totale (ha)]]</f>
        <v>8305.6478405315611</v>
      </c>
    </row>
    <row r="475" spans="1:34" ht="33.950000000000003" customHeight="1">
      <c r="A475" s="196">
        <v>29071394</v>
      </c>
      <c r="C475" s="318">
        <v>45607</v>
      </c>
      <c r="D475" s="251" t="s">
        <v>2876</v>
      </c>
      <c r="E475" s="251" t="s">
        <v>2877</v>
      </c>
      <c r="F475" s="20" t="s">
        <v>2878</v>
      </c>
      <c r="G475" s="254">
        <v>106250</v>
      </c>
      <c r="I475" t="s">
        <v>792</v>
      </c>
      <c r="J475" s="20" t="s">
        <v>2879</v>
      </c>
      <c r="K475" s="249" t="s">
        <v>2880</v>
      </c>
      <c r="L475" s="205">
        <v>46.933342000000003</v>
      </c>
      <c r="M475" s="205">
        <v>-71.950416000000004</v>
      </c>
      <c r="N475" s="211">
        <v>30.08</v>
      </c>
      <c r="O475" t="s">
        <v>25</v>
      </c>
      <c r="P475" t="s">
        <v>173</v>
      </c>
      <c r="Q475" s="211">
        <v>30.08</v>
      </c>
      <c r="S475" s="94" t="s">
        <v>62</v>
      </c>
      <c r="T475" s="222">
        <v>0.6</v>
      </c>
      <c r="U475" s="222">
        <v>0.4</v>
      </c>
      <c r="V475" s="222">
        <v>0.7</v>
      </c>
      <c r="AF475" s="20" t="s">
        <v>2881</v>
      </c>
      <c r="AH475" s="49">
        <f>Table2[[#This Row],[Prix de vente ($)]]/Table2[[#This Row],[Superficie totale (ha)]]</f>
        <v>3532.247340425532</v>
      </c>
    </row>
    <row r="476" spans="1:34" ht="33.950000000000003" customHeight="1">
      <c r="A476" s="196" t="s">
        <v>2882</v>
      </c>
      <c r="C476" s="318">
        <v>45614</v>
      </c>
      <c r="D476" s="318" t="s">
        <v>2883</v>
      </c>
      <c r="E476" t="s">
        <v>2884</v>
      </c>
      <c r="F476" t="s">
        <v>2885</v>
      </c>
      <c r="G476" s="93">
        <v>185000</v>
      </c>
      <c r="I476" t="s">
        <v>16</v>
      </c>
      <c r="J476" t="s">
        <v>2206</v>
      </c>
      <c r="L476" s="205">
        <v>46.810006999999999</v>
      </c>
      <c r="M476" s="205">
        <v>-70.678612000000001</v>
      </c>
      <c r="N476" s="211">
        <v>33.51</v>
      </c>
      <c r="O476" t="s">
        <v>25</v>
      </c>
      <c r="P476" t="s">
        <v>19</v>
      </c>
      <c r="Q476" s="211">
        <v>33.51</v>
      </c>
      <c r="S476" s="94" t="s">
        <v>175</v>
      </c>
      <c r="T476" s="222">
        <v>0.5</v>
      </c>
      <c r="U476" s="222">
        <v>0.5</v>
      </c>
      <c r="V476" s="222">
        <v>0.75</v>
      </c>
      <c r="AC476" s="63">
        <v>0.8</v>
      </c>
      <c r="AF476" t="s">
        <v>2886</v>
      </c>
      <c r="AH476" s="49">
        <f>Table2[[#This Row],[Prix de vente ($)]]/Table2[[#This Row],[Superficie totale (ha)]]</f>
        <v>5520.74007758878</v>
      </c>
    </row>
    <row r="477" spans="1:34" ht="33.950000000000003" customHeight="1">
      <c r="A477" s="196">
        <v>29086532</v>
      </c>
      <c r="C477" s="318">
        <v>45614</v>
      </c>
      <c r="D477" t="s">
        <v>2887</v>
      </c>
      <c r="E477" t="s">
        <v>2888</v>
      </c>
      <c r="F477" t="s">
        <v>2889</v>
      </c>
      <c r="G477" s="134">
        <f>34400+13500</f>
        <v>47900</v>
      </c>
      <c r="I477" t="s">
        <v>53</v>
      </c>
      <c r="J477" t="s">
        <v>1963</v>
      </c>
      <c r="K477" t="s">
        <v>2890</v>
      </c>
      <c r="L477" s="205" t="s">
        <v>2891</v>
      </c>
      <c r="M477" s="270" t="s">
        <v>2892</v>
      </c>
      <c r="N477" s="211">
        <f>27.52+8.58</f>
        <v>36.1</v>
      </c>
      <c r="O477" t="s">
        <v>25</v>
      </c>
      <c r="P477" t="s">
        <v>63</v>
      </c>
      <c r="S477" s="94" t="s">
        <v>102</v>
      </c>
      <c r="T477" s="222">
        <v>0.1</v>
      </c>
      <c r="U477" s="222">
        <v>0.9</v>
      </c>
      <c r="V477" s="222" t="s">
        <v>1214</v>
      </c>
      <c r="AF477" t="s">
        <v>2893</v>
      </c>
      <c r="AH477" s="49">
        <f>Table2[[#This Row],[Prix de vente ($)]]/Table2[[#This Row],[Superficie totale (ha)]]</f>
        <v>1326.8698060941829</v>
      </c>
    </row>
    <row r="478" spans="1:34" ht="33.950000000000003" customHeight="1">
      <c r="A478" s="196">
        <v>29088398</v>
      </c>
      <c r="C478" s="318">
        <v>45615</v>
      </c>
      <c r="D478" s="249" t="s">
        <v>2894</v>
      </c>
      <c r="E478" t="s">
        <v>2895</v>
      </c>
      <c r="F478" s="249" t="s">
        <v>2896</v>
      </c>
      <c r="G478" s="134">
        <v>55000</v>
      </c>
      <c r="I478" t="s">
        <v>792</v>
      </c>
      <c r="J478" t="s">
        <v>2897</v>
      </c>
      <c r="K478" s="249" t="s">
        <v>2880</v>
      </c>
      <c r="L478" s="205">
        <v>46.784132999999997</v>
      </c>
      <c r="M478" s="205">
        <v>-71.972414999999998</v>
      </c>
      <c r="N478" s="211">
        <v>7.8</v>
      </c>
      <c r="O478" t="s">
        <v>18</v>
      </c>
      <c r="P478" t="s">
        <v>35</v>
      </c>
      <c r="Q478" s="199">
        <v>7.8</v>
      </c>
      <c r="S478" s="94" t="s">
        <v>102</v>
      </c>
      <c r="T478" s="222">
        <v>0</v>
      </c>
      <c r="U478" s="222">
        <v>1</v>
      </c>
      <c r="V478" s="222">
        <v>0.65</v>
      </c>
      <c r="AH478" s="49">
        <f>Table2[[#This Row],[Prix de vente ($)]]/Table2[[#This Row],[Superficie totale (ha)]]</f>
        <v>7051.2820512820517</v>
      </c>
    </row>
    <row r="479" spans="1:34" ht="33.950000000000003" customHeight="1">
      <c r="A479" s="196">
        <v>29087247</v>
      </c>
      <c r="C479" s="318">
        <v>45615</v>
      </c>
      <c r="D479" t="s">
        <v>2898</v>
      </c>
      <c r="E479" t="s">
        <v>2899</v>
      </c>
      <c r="F479">
        <v>5619650</v>
      </c>
      <c r="G479" s="134">
        <v>65000</v>
      </c>
      <c r="I479" t="s">
        <v>2245</v>
      </c>
      <c r="J479" t="s">
        <v>2337</v>
      </c>
      <c r="K479" t="s">
        <v>2900</v>
      </c>
      <c r="L479" s="205" t="s">
        <v>2901</v>
      </c>
      <c r="M479" s="270" t="s">
        <v>2902</v>
      </c>
      <c r="N479" s="211">
        <v>13.59</v>
      </c>
      <c r="O479" t="s">
        <v>25</v>
      </c>
      <c r="P479" t="s">
        <v>384</v>
      </c>
      <c r="Q479" s="211">
        <f>Table2[[#This Row],[Superficie totale (ha)]]</f>
        <v>13.59</v>
      </c>
      <c r="S479" s="16" t="s">
        <v>33</v>
      </c>
      <c r="T479" s="222">
        <v>0.4</v>
      </c>
      <c r="U479" s="222">
        <v>0.6</v>
      </c>
      <c r="V479" s="222" t="s">
        <v>1214</v>
      </c>
      <c r="AC479" s="63">
        <v>2.1</v>
      </c>
      <c r="AF479" t="s">
        <v>2903</v>
      </c>
      <c r="AH479" s="49">
        <f>Table2[[#This Row],[Prix de vente ($)]]/Table2[[#This Row],[Superficie totale (ha)]]</f>
        <v>4782.9286239882267</v>
      </c>
    </row>
    <row r="480" spans="1:34" ht="33.950000000000003" customHeight="1">
      <c r="A480" s="330">
        <v>29102418</v>
      </c>
      <c r="B480" s="281"/>
      <c r="C480" s="334">
        <v>45622</v>
      </c>
      <c r="D480" s="461" t="s">
        <v>2904</v>
      </c>
      <c r="E480" s="461" t="s">
        <v>2905</v>
      </c>
      <c r="F480" s="472">
        <v>6571452</v>
      </c>
      <c r="G480" s="429">
        <v>160000</v>
      </c>
      <c r="I480" s="281" t="s">
        <v>792</v>
      </c>
      <c r="J480" s="281" t="s">
        <v>2873</v>
      </c>
      <c r="K480" s="461" t="s">
        <v>2906</v>
      </c>
      <c r="L480" s="341">
        <v>46.921610999999999</v>
      </c>
      <c r="M480" s="341">
        <v>-71.814504999999997</v>
      </c>
      <c r="N480" s="356">
        <v>10.130000000000001</v>
      </c>
      <c r="O480" s="281" t="s">
        <v>25</v>
      </c>
      <c r="P480" s="281" t="s">
        <v>63</v>
      </c>
      <c r="Q480" s="199">
        <v>10.130000000000001</v>
      </c>
      <c r="S480" s="94" t="s">
        <v>62</v>
      </c>
      <c r="T480" s="222">
        <v>0.65</v>
      </c>
      <c r="U480" s="222">
        <v>0.35</v>
      </c>
      <c r="V480" s="222">
        <v>0.6</v>
      </c>
      <c r="AF480" t="s">
        <v>2907</v>
      </c>
      <c r="AH480" s="49">
        <f>Table2[[#This Row],[Prix de vente ($)]]/Table2[[#This Row],[Superficie totale (ha)]]</f>
        <v>15794.669299111549</v>
      </c>
    </row>
    <row r="481" spans="1:35" ht="33.950000000000003" customHeight="1">
      <c r="A481" s="196">
        <v>29105496</v>
      </c>
      <c r="C481" s="318">
        <v>45623</v>
      </c>
      <c r="D481" s="249" t="s">
        <v>2908</v>
      </c>
      <c r="E481" s="249" t="s">
        <v>2909</v>
      </c>
      <c r="F481" s="249" t="s">
        <v>2910</v>
      </c>
      <c r="G481" s="134">
        <v>6000</v>
      </c>
      <c r="I481" s="80" t="s">
        <v>543</v>
      </c>
      <c r="J481" s="80" t="s">
        <v>543</v>
      </c>
      <c r="K481" s="249" t="s">
        <v>2911</v>
      </c>
      <c r="L481" s="204"/>
      <c r="M481" s="204"/>
      <c r="N481" s="211">
        <v>4.16</v>
      </c>
      <c r="O481" s="80" t="s">
        <v>18</v>
      </c>
      <c r="P481" s="47" t="s">
        <v>35</v>
      </c>
      <c r="Q481" s="211">
        <v>4.16</v>
      </c>
      <c r="R481">
        <v>0</v>
      </c>
      <c r="S481" s="94" t="s">
        <v>33</v>
      </c>
      <c r="T481" s="222">
        <v>0.4</v>
      </c>
      <c r="U481" s="222">
        <v>0.6</v>
      </c>
      <c r="V481" s="222">
        <v>0.65</v>
      </c>
      <c r="AC481" s="63">
        <v>1</v>
      </c>
      <c r="AH481" s="49">
        <f>Table2[[#This Row],[Prix de vente ($)]]/Table2[[#This Row],[Superficie totale (ha)]]</f>
        <v>1442.3076923076922</v>
      </c>
    </row>
    <row r="482" spans="1:35" ht="33.950000000000003" customHeight="1">
      <c r="A482" s="196">
        <v>29107510</v>
      </c>
      <c r="C482" s="318">
        <v>45623</v>
      </c>
      <c r="D482" t="s">
        <v>2912</v>
      </c>
      <c r="E482" t="s">
        <v>2913</v>
      </c>
      <c r="F482">
        <v>5726225</v>
      </c>
      <c r="G482" s="134">
        <v>85000</v>
      </c>
      <c r="I482" s="281" t="s">
        <v>602</v>
      </c>
      <c r="J482" t="s">
        <v>2647</v>
      </c>
      <c r="L482" s="204">
        <v>47.409734999999998</v>
      </c>
      <c r="M482" s="204">
        <v>-69.706462999999999</v>
      </c>
      <c r="N482" s="211">
        <v>21.89</v>
      </c>
      <c r="O482" t="s">
        <v>25</v>
      </c>
      <c r="P482" t="s">
        <v>173</v>
      </c>
      <c r="Q482" s="199">
        <v>21.89</v>
      </c>
      <c r="S482" s="94" t="s">
        <v>20</v>
      </c>
      <c r="T482" s="222">
        <v>0.8</v>
      </c>
      <c r="U482" s="222">
        <v>0.2</v>
      </c>
      <c r="V482" s="222">
        <v>0.65</v>
      </c>
      <c r="AF482" t="s">
        <v>2914</v>
      </c>
      <c r="AH482" s="49">
        <f>Table2[[#This Row],[Prix de vente ($)]]/Table2[[#This Row],[Superficie totale (ha)]]</f>
        <v>3883.0516217450891</v>
      </c>
    </row>
    <row r="483" spans="1:35" ht="33.950000000000003" customHeight="1">
      <c r="A483" s="138">
        <v>29105644</v>
      </c>
      <c r="B483" s="80"/>
      <c r="C483" s="148">
        <v>45623</v>
      </c>
      <c r="D483" s="60" t="s">
        <v>2915</v>
      </c>
      <c r="E483" s="60" t="s">
        <v>2916</v>
      </c>
      <c r="F483" s="140" t="s">
        <v>2917</v>
      </c>
      <c r="G483" s="252">
        <v>175000</v>
      </c>
      <c r="H483" s="80"/>
      <c r="I483" s="139" t="s">
        <v>2163</v>
      </c>
      <c r="J483" s="80" t="s">
        <v>2918</v>
      </c>
      <c r="K483" s="139" t="s">
        <v>2919</v>
      </c>
      <c r="L483" s="199">
        <v>48.341065</v>
      </c>
      <c r="M483" s="199">
        <v>-68.055046000000004</v>
      </c>
      <c r="N483" s="199">
        <v>80.790000000000006</v>
      </c>
      <c r="O483" s="80" t="s">
        <v>18</v>
      </c>
      <c r="P483" s="80" t="s">
        <v>317</v>
      </c>
      <c r="Q483" s="199">
        <v>80.39</v>
      </c>
      <c r="R483" s="80">
        <v>0</v>
      </c>
      <c r="S483" s="43" t="s">
        <v>2920</v>
      </c>
      <c r="T483" s="216">
        <v>0.3</v>
      </c>
      <c r="U483" s="216">
        <v>0.7</v>
      </c>
      <c r="V483" s="216">
        <v>0.85</v>
      </c>
      <c r="W483" s="199"/>
      <c r="X483" s="216"/>
      <c r="Y483" s="80" t="s">
        <v>2921</v>
      </c>
      <c r="Z483" s="80"/>
      <c r="AA483" s="80"/>
      <c r="AB483" s="80"/>
      <c r="AC483" s="80"/>
      <c r="AD483" s="80"/>
      <c r="AE483" s="80"/>
      <c r="AF483" s="43"/>
      <c r="AG483" s="80"/>
      <c r="AH483" s="49">
        <f>Table2[[#This Row],[Prix de vente ($)]]/Table2[[#This Row],[Superficie totale (ha)]]</f>
        <v>2166.1096670379998</v>
      </c>
      <c r="AI483" s="80"/>
    </row>
    <row r="484" spans="1:35" ht="33.950000000000003" customHeight="1">
      <c r="A484" s="196">
        <v>29109675</v>
      </c>
      <c r="C484" s="318">
        <v>45624</v>
      </c>
      <c r="D484" s="239" t="s">
        <v>2922</v>
      </c>
      <c r="E484" t="s">
        <v>2923</v>
      </c>
      <c r="F484" s="241" t="s">
        <v>2924</v>
      </c>
      <c r="G484" s="134">
        <v>2000000</v>
      </c>
      <c r="I484" t="s">
        <v>1516</v>
      </c>
      <c r="J484" t="s">
        <v>2004</v>
      </c>
      <c r="K484" t="s">
        <v>2925</v>
      </c>
      <c r="L484" s="205">
        <v>45.673276999999999</v>
      </c>
      <c r="M484" s="205">
        <v>-74.320256999999998</v>
      </c>
      <c r="N484" s="211">
        <v>47.8</v>
      </c>
      <c r="O484" t="s">
        <v>25</v>
      </c>
      <c r="P484" t="s">
        <v>361</v>
      </c>
      <c r="Q484" s="199">
        <v>47.8</v>
      </c>
      <c r="S484" s="94" t="s">
        <v>62</v>
      </c>
      <c r="T484" s="222">
        <v>0.75</v>
      </c>
      <c r="U484" s="222">
        <v>0.25</v>
      </c>
      <c r="V484" s="222">
        <v>0.85</v>
      </c>
      <c r="AF484" t="s">
        <v>2926</v>
      </c>
      <c r="AH484" s="49">
        <f>Table2[[#This Row],[Prix de vente ($)]]/Table2[[#This Row],[Superficie totale (ha)]]</f>
        <v>41841.00418410042</v>
      </c>
    </row>
    <row r="485" spans="1:35" ht="33.950000000000003" customHeight="1">
      <c r="A485" t="s">
        <v>2927</v>
      </c>
      <c r="C485" s="318">
        <v>45625</v>
      </c>
      <c r="F485" t="s">
        <v>2928</v>
      </c>
      <c r="G485" s="93">
        <v>300000</v>
      </c>
      <c r="I485" s="281" t="s">
        <v>515</v>
      </c>
      <c r="AH485" s="49" t="e">
        <f>Table2[[#This Row],[Prix de vente ($)]]/Table2[[#This Row],[Superficie totale (ha)]]</f>
        <v>#DIV/0!</v>
      </c>
    </row>
    <row r="486" spans="1:35" ht="33.950000000000003" customHeight="1">
      <c r="A486" s="196">
        <v>29116878</v>
      </c>
      <c r="C486" s="318">
        <v>45628</v>
      </c>
      <c r="D486" t="s">
        <v>2929</v>
      </c>
      <c r="E486" t="s">
        <v>2930</v>
      </c>
      <c r="F486" t="s">
        <v>2931</v>
      </c>
      <c r="G486" s="306">
        <v>40000</v>
      </c>
      <c r="I486" s="294" t="s">
        <v>2163</v>
      </c>
      <c r="J486" t="s">
        <v>2768</v>
      </c>
      <c r="K486" t="s">
        <v>2932</v>
      </c>
      <c r="L486" s="204" t="s">
        <v>2933</v>
      </c>
      <c r="M486" s="277" t="s">
        <v>2934</v>
      </c>
      <c r="N486" s="211">
        <f>7.73+20.53</f>
        <v>28.26</v>
      </c>
      <c r="O486" t="s">
        <v>18</v>
      </c>
      <c r="P486" t="s">
        <v>317</v>
      </c>
      <c r="R486">
        <v>3.9</v>
      </c>
      <c r="S486" s="94" t="s">
        <v>62</v>
      </c>
      <c r="T486" s="222">
        <v>0.6</v>
      </c>
      <c r="U486" s="222">
        <v>0.4</v>
      </c>
      <c r="V486" s="222">
        <v>0.75</v>
      </c>
      <c r="AF486" t="s">
        <v>2935</v>
      </c>
      <c r="AH486" s="49">
        <f>Table2[[#This Row],[Prix de vente ($)]]/Table2[[#This Row],[Superficie totale (ha)]]</f>
        <v>1415.4281670205237</v>
      </c>
    </row>
    <row r="487" spans="1:35" ht="33.950000000000003" customHeight="1">
      <c r="A487" s="196" t="s">
        <v>2936</v>
      </c>
      <c r="C487" s="318">
        <v>45628</v>
      </c>
      <c r="F487" t="s">
        <v>2937</v>
      </c>
      <c r="G487" s="93">
        <v>625000</v>
      </c>
      <c r="I487" s="422" t="s">
        <v>50</v>
      </c>
      <c r="N487" s="369">
        <v>43.28</v>
      </c>
      <c r="AC487" s="63">
        <v>0</v>
      </c>
      <c r="AH487" s="49"/>
    </row>
    <row r="488" spans="1:35" ht="33.950000000000003" customHeight="1">
      <c r="A488" s="196">
        <v>29118906</v>
      </c>
      <c r="C488" s="318">
        <v>45629</v>
      </c>
      <c r="D488" s="239" t="s">
        <v>2938</v>
      </c>
      <c r="E488" s="239" t="s">
        <v>2939</v>
      </c>
      <c r="F488" s="239" t="s">
        <v>2940</v>
      </c>
      <c r="G488" s="134">
        <v>47000</v>
      </c>
      <c r="I488" t="s">
        <v>2941</v>
      </c>
      <c r="J488" t="s">
        <v>2942</v>
      </c>
      <c r="L488" s="205">
        <v>46.265768000000001</v>
      </c>
      <c r="M488" s="205">
        <v>-73.312710999999993</v>
      </c>
      <c r="N488" s="211">
        <v>13.21</v>
      </c>
      <c r="O488" t="s">
        <v>25</v>
      </c>
      <c r="P488" t="s">
        <v>1179</v>
      </c>
      <c r="Q488" s="199">
        <v>13.21</v>
      </c>
      <c r="S488" s="16" t="s">
        <v>20</v>
      </c>
      <c r="T488" s="222">
        <v>0.8</v>
      </c>
      <c r="U488" s="222">
        <v>0.2</v>
      </c>
      <c r="V488" s="222">
        <v>0.6</v>
      </c>
      <c r="AF488" t="s">
        <v>2943</v>
      </c>
      <c r="AH488" s="49">
        <f>Table2[[#This Row],[Prix de vente ($)]]/Table2[[#This Row],[Superficie totale (ha)]]</f>
        <v>3557.9106737320208</v>
      </c>
    </row>
    <row r="489" spans="1:35" ht="33.950000000000003" customHeight="1">
      <c r="A489" s="196">
        <v>29126171</v>
      </c>
      <c r="C489" s="318">
        <v>45631</v>
      </c>
      <c r="D489" s="247" t="s">
        <v>2944</v>
      </c>
      <c r="E489" s="247" t="s">
        <v>2945</v>
      </c>
      <c r="F489" s="247" t="s">
        <v>2946</v>
      </c>
      <c r="G489" s="93">
        <v>192000</v>
      </c>
      <c r="I489" t="s">
        <v>29</v>
      </c>
      <c r="J489" t="s">
        <v>1249</v>
      </c>
      <c r="L489" s="205">
        <v>46.766643999999999</v>
      </c>
      <c r="M489" s="270" t="s">
        <v>2947</v>
      </c>
      <c r="N489" s="211">
        <v>43.3</v>
      </c>
      <c r="O489" t="s">
        <v>25</v>
      </c>
      <c r="P489" t="s">
        <v>19</v>
      </c>
      <c r="Q489" s="211">
        <v>43.3</v>
      </c>
      <c r="S489" s="94" t="s">
        <v>62</v>
      </c>
      <c r="T489" s="222">
        <v>0.7</v>
      </c>
      <c r="U489" s="222">
        <v>0.3</v>
      </c>
      <c r="V489" s="222">
        <v>0.5</v>
      </c>
      <c r="AC489" s="63">
        <v>4</v>
      </c>
      <c r="AF489" t="s">
        <v>2948</v>
      </c>
      <c r="AH489" s="49">
        <f>Table2[[#This Row],[Prix de vente ($)]]/Table2[[#This Row],[Superficie totale (ha)]]</f>
        <v>4434.1801385681292</v>
      </c>
    </row>
    <row r="490" spans="1:35" ht="33.950000000000003" customHeight="1">
      <c r="A490" s="255" t="s">
        <v>2949</v>
      </c>
      <c r="C490" s="318">
        <v>45631</v>
      </c>
      <c r="F490" t="s">
        <v>2950</v>
      </c>
      <c r="G490" s="93">
        <v>125000</v>
      </c>
      <c r="I490" s="255" t="s">
        <v>50</v>
      </c>
      <c r="N490" s="369">
        <v>33.020000000000003</v>
      </c>
      <c r="AC490" s="50">
        <v>3.6</v>
      </c>
      <c r="AH490" s="49"/>
    </row>
    <row r="491" spans="1:35" ht="33.950000000000003" customHeight="1">
      <c r="A491" s="196" t="s">
        <v>2951</v>
      </c>
      <c r="C491" s="318">
        <v>45631</v>
      </c>
      <c r="F491" t="s">
        <v>2952</v>
      </c>
      <c r="G491" s="366">
        <v>40000</v>
      </c>
      <c r="I491" s="281" t="s">
        <v>2445</v>
      </c>
      <c r="J491" t="s">
        <v>2953</v>
      </c>
      <c r="N491" s="50">
        <v>7.2</v>
      </c>
      <c r="O491" s="50" t="s">
        <v>18</v>
      </c>
      <c r="P491" s="424" t="s">
        <v>438</v>
      </c>
      <c r="Q491" s="50">
        <v>7.2</v>
      </c>
      <c r="S491" s="50" t="s">
        <v>62</v>
      </c>
      <c r="T491" s="425">
        <v>1</v>
      </c>
      <c r="U491" s="425">
        <v>0</v>
      </c>
      <c r="V491" s="425">
        <v>0.9</v>
      </c>
      <c r="W491" s="494"/>
      <c r="X491" s="425"/>
      <c r="AC491" s="50">
        <v>3.9</v>
      </c>
      <c r="AF491" s="426" t="s">
        <v>2954</v>
      </c>
      <c r="AH491" s="49">
        <f>Table2[[#This Row],[Prix de vente ($)]]/Table2[[#This Row],[Superficie totale (ha)]]</f>
        <v>5555.5555555555557</v>
      </c>
    </row>
    <row r="492" spans="1:35" ht="33.950000000000003" customHeight="1">
      <c r="A492" s="189">
        <v>29132481</v>
      </c>
      <c r="B492" s="80"/>
      <c r="C492" s="318">
        <v>45635</v>
      </c>
      <c r="D492" s="80" t="s">
        <v>2955</v>
      </c>
      <c r="E492" s="80" t="s">
        <v>2956</v>
      </c>
      <c r="F492" s="80" t="s">
        <v>2957</v>
      </c>
      <c r="G492" s="134">
        <v>37000</v>
      </c>
      <c r="H492" s="80"/>
      <c r="I492" s="462" t="s">
        <v>29</v>
      </c>
      <c r="J492" s="20" t="s">
        <v>1490</v>
      </c>
      <c r="K492" s="43" t="s">
        <v>2958</v>
      </c>
      <c r="L492" s="199">
        <v>46.840246</v>
      </c>
      <c r="M492" s="199">
        <v>-70.672936000000007</v>
      </c>
      <c r="N492" s="199">
        <v>6.73</v>
      </c>
      <c r="O492" s="80" t="s">
        <v>18</v>
      </c>
      <c r="P492" s="80" t="s">
        <v>1179</v>
      </c>
      <c r="Q492" s="199">
        <v>6.73</v>
      </c>
      <c r="R492" s="80"/>
      <c r="S492" s="80" t="s">
        <v>20</v>
      </c>
      <c r="T492" s="216">
        <v>0.6</v>
      </c>
      <c r="U492" s="216">
        <v>0.4</v>
      </c>
      <c r="V492" s="216">
        <v>0.55000000000000004</v>
      </c>
      <c r="W492" s="199"/>
      <c r="X492" s="216"/>
      <c r="Y492" s="80"/>
      <c r="Z492" s="80"/>
      <c r="AA492" s="80"/>
      <c r="AB492" s="80"/>
      <c r="AC492" s="80"/>
      <c r="AD492" s="80"/>
      <c r="AE492" s="80"/>
      <c r="AF492" s="80"/>
      <c r="AG492" s="80"/>
      <c r="AH492" s="49">
        <f>Table2[[#This Row],[Prix de vente ($)]]/Table2[[#This Row],[Superficie totale (ha)]]</f>
        <v>5497.7711738484395</v>
      </c>
      <c r="AI492" s="80"/>
    </row>
    <row r="493" spans="1:35" ht="33.950000000000003" customHeight="1">
      <c r="A493" s="196">
        <v>29142769</v>
      </c>
      <c r="C493" s="318">
        <v>45638</v>
      </c>
      <c r="D493" s="250" t="s">
        <v>2959</v>
      </c>
      <c r="E493" t="s">
        <v>2960</v>
      </c>
      <c r="F493" t="s">
        <v>2961</v>
      </c>
      <c r="G493" s="134">
        <v>130000</v>
      </c>
      <c r="I493" t="s">
        <v>792</v>
      </c>
      <c r="J493" t="s">
        <v>2962</v>
      </c>
      <c r="K493" s="250" t="s">
        <v>2963</v>
      </c>
      <c r="L493" s="205">
        <v>47.351111000000003</v>
      </c>
      <c r="M493" s="205">
        <v>-72.195774</v>
      </c>
      <c r="N493" s="211">
        <v>44.65</v>
      </c>
      <c r="O493" t="s">
        <v>25</v>
      </c>
      <c r="P493" t="s">
        <v>1726</v>
      </c>
      <c r="Q493" s="211">
        <v>44.65</v>
      </c>
      <c r="S493" s="94" t="s">
        <v>175</v>
      </c>
      <c r="T493" s="222">
        <v>0.5</v>
      </c>
      <c r="U493" s="222">
        <v>0.5</v>
      </c>
      <c r="V493" s="222">
        <v>0.65</v>
      </c>
      <c r="AF493" t="s">
        <v>2964</v>
      </c>
      <c r="AH493" s="49">
        <f>Table2[[#This Row],[Prix de vente ($)]]/Table2[[#This Row],[Superficie totale (ha)]]</f>
        <v>2911.5341545352744</v>
      </c>
    </row>
    <row r="494" spans="1:35" ht="33.950000000000003" customHeight="1">
      <c r="A494" s="196" t="s">
        <v>2965</v>
      </c>
      <c r="C494" s="318">
        <v>45638</v>
      </c>
      <c r="D494" t="s">
        <v>2966</v>
      </c>
      <c r="E494" t="s">
        <v>2967</v>
      </c>
      <c r="F494" t="s">
        <v>2968</v>
      </c>
      <c r="G494" s="306">
        <v>455000</v>
      </c>
      <c r="I494" s="281" t="s">
        <v>75</v>
      </c>
      <c r="J494" t="s">
        <v>2969</v>
      </c>
      <c r="K494" t="s">
        <v>2970</v>
      </c>
      <c r="L494" s="204">
        <v>46.556530000000002</v>
      </c>
      <c r="M494" s="277" t="s">
        <v>2971</v>
      </c>
      <c r="N494" s="211">
        <f>12.32+11.41+49.99</f>
        <v>73.72</v>
      </c>
      <c r="P494" t="s">
        <v>384</v>
      </c>
      <c r="S494" s="94" t="s">
        <v>20</v>
      </c>
      <c r="T494" s="222">
        <v>0.8</v>
      </c>
      <c r="U494" s="222">
        <v>0.2</v>
      </c>
      <c r="V494" s="222">
        <v>0.8</v>
      </c>
      <c r="AC494" s="63">
        <v>52</v>
      </c>
      <c r="AH494" s="49">
        <f>Table2[[#This Row],[Prix de vente ($)]]/Table2[[#This Row],[Superficie totale (ha)]]</f>
        <v>6172.0021703743896</v>
      </c>
    </row>
    <row r="495" spans="1:35" ht="33.950000000000003" customHeight="1">
      <c r="A495" s="196">
        <v>29146603</v>
      </c>
      <c r="C495" s="318">
        <v>45639</v>
      </c>
      <c r="D495" s="239" t="s">
        <v>2972</v>
      </c>
      <c r="E495" s="239" t="s">
        <v>2973</v>
      </c>
      <c r="F495" t="s">
        <v>2974</v>
      </c>
      <c r="G495" s="134">
        <v>105000</v>
      </c>
      <c r="I495" s="281" t="s">
        <v>792</v>
      </c>
      <c r="J495" t="s">
        <v>2975</v>
      </c>
      <c r="K495" s="250"/>
      <c r="L495" s="205">
        <v>46.712871999999997</v>
      </c>
      <c r="M495" s="205">
        <v>-72.2453</v>
      </c>
      <c r="N495" s="211">
        <v>10.46</v>
      </c>
      <c r="O495" t="s">
        <v>18</v>
      </c>
      <c r="P495" t="s">
        <v>173</v>
      </c>
      <c r="Q495" s="199">
        <v>10.46</v>
      </c>
      <c r="S495" s="94" t="s">
        <v>62</v>
      </c>
      <c r="T495" s="222">
        <v>0.65</v>
      </c>
      <c r="U495" s="222">
        <v>0.35</v>
      </c>
      <c r="V495" s="222">
        <v>0.75</v>
      </c>
      <c r="AF495" t="s">
        <v>2976</v>
      </c>
      <c r="AH495" s="49">
        <f>Table2[[#This Row],[Prix de vente ($)]]/Table2[[#This Row],[Superficie totale (ha)]]</f>
        <v>10038.240917782026</v>
      </c>
    </row>
    <row r="496" spans="1:35" ht="33.950000000000003" customHeight="1">
      <c r="A496" s="196">
        <v>29149514</v>
      </c>
      <c r="C496" s="318">
        <v>45642</v>
      </c>
      <c r="D496" t="s">
        <v>2977</v>
      </c>
      <c r="E496" t="s">
        <v>2978</v>
      </c>
      <c r="F496" t="s">
        <v>2979</v>
      </c>
      <c r="G496" s="93">
        <v>200000</v>
      </c>
      <c r="I496" t="s">
        <v>2980</v>
      </c>
      <c r="J496" t="s">
        <v>2981</v>
      </c>
      <c r="K496" t="s">
        <v>2982</v>
      </c>
      <c r="L496" s="205" t="s">
        <v>2983</v>
      </c>
      <c r="M496" s="270" t="s">
        <v>2984</v>
      </c>
      <c r="N496" s="211">
        <f>37.28+41.32</f>
        <v>78.599999999999994</v>
      </c>
      <c r="O496" t="s">
        <v>18</v>
      </c>
      <c r="P496" t="s">
        <v>2985</v>
      </c>
      <c r="S496" s="94" t="s">
        <v>33</v>
      </c>
      <c r="T496" s="222">
        <v>0.3</v>
      </c>
      <c r="U496" s="222">
        <v>0.7</v>
      </c>
      <c r="V496" s="222">
        <v>0.8</v>
      </c>
      <c r="AC496" s="63">
        <v>18.3</v>
      </c>
      <c r="AF496" t="s">
        <v>2986</v>
      </c>
      <c r="AH496" s="49">
        <f>Table2[[#This Row],[Prix de vente ($)]]/Table2[[#This Row],[Superficie totale (ha)]]</f>
        <v>2544.5292620865143</v>
      </c>
    </row>
    <row r="497" spans="1:34" ht="33.950000000000003" customHeight="1">
      <c r="A497" s="196">
        <v>29156637</v>
      </c>
      <c r="C497" s="318">
        <v>45644</v>
      </c>
      <c r="D497" s="249" t="s">
        <v>2987</v>
      </c>
      <c r="E497" s="249" t="s">
        <v>2988</v>
      </c>
      <c r="F497" s="249" t="s">
        <v>2989</v>
      </c>
      <c r="G497" s="93">
        <v>90000</v>
      </c>
      <c r="I497" t="s">
        <v>29</v>
      </c>
      <c r="J497" t="s">
        <v>1847</v>
      </c>
      <c r="L497" s="205">
        <v>46.859706000000003</v>
      </c>
      <c r="M497" s="270" t="s">
        <v>2990</v>
      </c>
      <c r="N497" s="211">
        <v>12.48</v>
      </c>
      <c r="O497" t="s">
        <v>25</v>
      </c>
      <c r="P497" t="s">
        <v>19</v>
      </c>
      <c r="Q497" s="211">
        <v>12.48</v>
      </c>
      <c r="S497" s="94" t="s">
        <v>33</v>
      </c>
      <c r="T497" s="222">
        <v>0</v>
      </c>
      <c r="U497" s="222">
        <v>1</v>
      </c>
      <c r="V497" s="222">
        <v>0.6</v>
      </c>
      <c r="AC497" s="63">
        <v>0</v>
      </c>
      <c r="AF497" t="s">
        <v>2991</v>
      </c>
      <c r="AH497" s="49">
        <f>Table2[[#This Row],[Prix de vente ($)]]/Table2[[#This Row],[Superficie totale (ha)]]</f>
        <v>7211.538461538461</v>
      </c>
    </row>
    <row r="498" spans="1:34" ht="33.950000000000003" customHeight="1">
      <c r="A498" s="196">
        <v>29160240</v>
      </c>
      <c r="C498" s="318">
        <v>45645</v>
      </c>
      <c r="D498" s="239" t="s">
        <v>2992</v>
      </c>
      <c r="E498" s="239" t="s">
        <v>2993</v>
      </c>
      <c r="F498" s="239" t="s">
        <v>2994</v>
      </c>
      <c r="G498" s="134">
        <v>235000</v>
      </c>
      <c r="I498" t="s">
        <v>1516</v>
      </c>
      <c r="J498" t="s">
        <v>2004</v>
      </c>
      <c r="K498" t="s">
        <v>2995</v>
      </c>
      <c r="L498" s="205">
        <v>45.708205999999997</v>
      </c>
      <c r="M498" s="205">
        <v>-74.285453000000004</v>
      </c>
      <c r="N498" s="211">
        <v>10.130000000000001</v>
      </c>
      <c r="O498" t="s">
        <v>25</v>
      </c>
      <c r="P498" t="s">
        <v>35</v>
      </c>
      <c r="Q498" s="199">
        <v>10.130000000000001</v>
      </c>
      <c r="S498" s="94" t="s">
        <v>20</v>
      </c>
      <c r="T498" s="222">
        <v>0.65</v>
      </c>
      <c r="U498" s="222">
        <v>0.35</v>
      </c>
      <c r="V498" s="222">
        <v>0.85</v>
      </c>
      <c r="AF498" s="20" t="s">
        <v>2996</v>
      </c>
      <c r="AH498" s="49">
        <f>Table2[[#This Row],[Prix de vente ($)]]/Table2[[#This Row],[Superficie totale (ha)]]</f>
        <v>23198.420533070086</v>
      </c>
    </row>
    <row r="499" spans="1:34" ht="33.950000000000003" customHeight="1">
      <c r="A499" s="196" t="s">
        <v>2997</v>
      </c>
      <c r="C499" s="318">
        <v>45645</v>
      </c>
      <c r="D499" t="s">
        <v>2998</v>
      </c>
      <c r="E499" s="20" t="s">
        <v>2999</v>
      </c>
      <c r="F499" t="s">
        <v>3000</v>
      </c>
      <c r="G499" s="93">
        <v>625000</v>
      </c>
      <c r="I499" t="s">
        <v>75</v>
      </c>
      <c r="J499" t="s">
        <v>3001</v>
      </c>
      <c r="K499" t="s">
        <v>3002</v>
      </c>
      <c r="L499" s="205">
        <v>46.527087000000002</v>
      </c>
      <c r="M499" s="270" t="s">
        <v>3003</v>
      </c>
      <c r="N499" s="139">
        <f>12.84+13.43+0.28+13.55</f>
        <v>40.1</v>
      </c>
      <c r="O499" t="s">
        <v>36</v>
      </c>
      <c r="P499" t="s">
        <v>26</v>
      </c>
      <c r="Q499" s="139">
        <f>12.84+13.43+0.28+13.55</f>
        <v>40.1</v>
      </c>
      <c r="S499" s="94" t="s">
        <v>62</v>
      </c>
      <c r="T499" s="222">
        <v>1</v>
      </c>
      <c r="U499" s="222">
        <v>0</v>
      </c>
      <c r="V499" s="222">
        <v>0.75</v>
      </c>
      <c r="AC499" s="63">
        <v>34</v>
      </c>
      <c r="AE499" s="63" t="s">
        <v>3004</v>
      </c>
      <c r="AF499" s="20" t="s">
        <v>3005</v>
      </c>
      <c r="AH499" s="49">
        <f>Table2[[#This Row],[Prix de vente ($)]]/Table2[[#This Row],[Superficie totale (ha)]]</f>
        <v>15586.034912718203</v>
      </c>
    </row>
    <row r="500" spans="1:34" ht="33.950000000000003" customHeight="1">
      <c r="A500" s="196" t="s">
        <v>3006</v>
      </c>
      <c r="C500" s="318">
        <v>45645</v>
      </c>
      <c r="F500" t="s">
        <v>3007</v>
      </c>
      <c r="G500" s="93">
        <v>85000</v>
      </c>
      <c r="I500" s="255" t="s">
        <v>50</v>
      </c>
      <c r="N500" s="369">
        <v>7.88</v>
      </c>
      <c r="AH500" s="49"/>
    </row>
    <row r="501" spans="1:34" ht="33.950000000000003" customHeight="1">
      <c r="A501" s="196">
        <v>29163832</v>
      </c>
      <c r="C501" s="318">
        <v>45646</v>
      </c>
      <c r="D501" s="247" t="s">
        <v>3008</v>
      </c>
      <c r="E501" t="s">
        <v>3009</v>
      </c>
      <c r="F501" s="247" t="s">
        <v>3010</v>
      </c>
      <c r="G501" s="134">
        <v>85000</v>
      </c>
      <c r="I501" t="s">
        <v>1477</v>
      </c>
      <c r="J501" s="247" t="s">
        <v>2835</v>
      </c>
      <c r="K501" s="247" t="s">
        <v>3011</v>
      </c>
      <c r="N501" s="211">
        <v>10.36</v>
      </c>
      <c r="O501" s="80" t="s">
        <v>18</v>
      </c>
      <c r="P501" s="47" t="s">
        <v>110</v>
      </c>
      <c r="Q501" s="211">
        <v>10.36</v>
      </c>
      <c r="S501" s="181" t="s">
        <v>20</v>
      </c>
      <c r="T501" s="222">
        <v>1</v>
      </c>
      <c r="U501" s="222">
        <v>0</v>
      </c>
      <c r="V501" s="222">
        <v>0.75</v>
      </c>
      <c r="AF501" t="s">
        <v>3012</v>
      </c>
      <c r="AH501" s="49">
        <f>Table2[[#This Row],[Prix de vente ($)]]/Table2[[#This Row],[Superficie totale (ha)]]</f>
        <v>8204.6332046332045</v>
      </c>
    </row>
    <row r="502" spans="1:34" ht="33.950000000000003" customHeight="1">
      <c r="A502" s="196" t="s">
        <v>3013</v>
      </c>
      <c r="C502" s="318">
        <v>45646</v>
      </c>
      <c r="D502" t="s">
        <v>3014</v>
      </c>
      <c r="E502" t="s">
        <v>3015</v>
      </c>
      <c r="F502" s="20" t="s">
        <v>3016</v>
      </c>
      <c r="G502" s="93">
        <v>524000</v>
      </c>
      <c r="I502" t="s">
        <v>654</v>
      </c>
      <c r="J502" t="s">
        <v>3017</v>
      </c>
      <c r="K502" t="s">
        <v>3018</v>
      </c>
      <c r="L502" s="205">
        <v>46.908692000000002</v>
      </c>
      <c r="M502" s="270" t="s">
        <v>3019</v>
      </c>
      <c r="N502" s="211">
        <f>28.63+53.14</f>
        <v>81.77</v>
      </c>
      <c r="O502" t="s">
        <v>71</v>
      </c>
      <c r="P502" t="s">
        <v>2177</v>
      </c>
      <c r="Q502" s="211">
        <f>Table2[[#This Row],[Superficie totale (ha)]]</f>
        <v>81.77</v>
      </c>
      <c r="S502" s="94" t="s">
        <v>62</v>
      </c>
      <c r="T502" s="222">
        <v>0.8</v>
      </c>
      <c r="U502" s="222">
        <v>0.2</v>
      </c>
      <c r="V502" s="222">
        <v>0.8</v>
      </c>
      <c r="AC502" s="63">
        <v>47</v>
      </c>
      <c r="AF502" t="s">
        <v>3020</v>
      </c>
      <c r="AH502" s="49">
        <f>Table2[[#This Row],[Prix de vente ($)]]/Table2[[#This Row],[Superficie totale (ha)]]</f>
        <v>6408.2181729240556</v>
      </c>
    </row>
    <row r="503" spans="1:34" ht="33.950000000000003" customHeight="1">
      <c r="A503" s="196">
        <v>29175544</v>
      </c>
      <c r="C503" s="318">
        <v>45665</v>
      </c>
      <c r="D503" t="s">
        <v>3021</v>
      </c>
      <c r="E503" s="249" t="s">
        <v>3022</v>
      </c>
      <c r="F503" s="249" t="s">
        <v>3023</v>
      </c>
      <c r="G503" s="134">
        <v>155000</v>
      </c>
      <c r="I503" t="s">
        <v>2941</v>
      </c>
      <c r="J503" t="s">
        <v>3024</v>
      </c>
      <c r="L503" s="205">
        <v>46.035809999999998</v>
      </c>
      <c r="M503" s="205">
        <v>-73.243443999999997</v>
      </c>
      <c r="N503" s="211">
        <v>13.64</v>
      </c>
      <c r="O503" t="s">
        <v>18</v>
      </c>
      <c r="P503" t="s">
        <v>1179</v>
      </c>
      <c r="Q503" s="199">
        <v>13.64</v>
      </c>
      <c r="S503" s="94" t="s">
        <v>20</v>
      </c>
      <c r="T503" s="222">
        <v>0.65</v>
      </c>
      <c r="U503" s="222">
        <v>0.35</v>
      </c>
      <c r="V503" s="222">
        <v>0.85</v>
      </c>
      <c r="AC503" s="63">
        <v>0</v>
      </c>
      <c r="AD503" s="63"/>
      <c r="AF503" t="s">
        <v>3025</v>
      </c>
      <c r="AH503" s="49">
        <f>Table2[[#This Row],[Prix de vente ($)]]/Table2[[#This Row],[Superficie totale (ha)]]</f>
        <v>11363.636363636364</v>
      </c>
    </row>
    <row r="504" spans="1:34" ht="33.950000000000003" customHeight="1">
      <c r="A504" s="196">
        <v>29178096</v>
      </c>
      <c r="C504" s="318">
        <v>45666</v>
      </c>
      <c r="D504" t="s">
        <v>3026</v>
      </c>
      <c r="E504" t="s">
        <v>3027</v>
      </c>
      <c r="F504" s="269">
        <v>3407640</v>
      </c>
      <c r="G504" s="93">
        <v>330000</v>
      </c>
      <c r="I504" t="s">
        <v>37</v>
      </c>
      <c r="J504" t="s">
        <v>1866</v>
      </c>
      <c r="L504" s="205" t="s">
        <v>3028</v>
      </c>
      <c r="M504" s="270" t="s">
        <v>3029</v>
      </c>
      <c r="N504" s="211">
        <v>18.559999999999999</v>
      </c>
      <c r="O504" t="s">
        <v>18</v>
      </c>
      <c r="P504" t="s">
        <v>206</v>
      </c>
      <c r="S504" s="94" t="s">
        <v>20</v>
      </c>
      <c r="T504" s="222">
        <v>1</v>
      </c>
      <c r="U504" s="222">
        <v>0</v>
      </c>
      <c r="V504" s="222" t="s">
        <v>243</v>
      </c>
      <c r="AC504" s="63">
        <v>16</v>
      </c>
      <c r="AH504" s="49">
        <f>Table2[[#This Row],[Prix de vente ($)]]/Table2[[#This Row],[Superficie totale (ha)]]</f>
        <v>17780.172413793105</v>
      </c>
    </row>
    <row r="505" spans="1:34" ht="33.950000000000003" customHeight="1">
      <c r="A505" s="196">
        <v>29183780</v>
      </c>
      <c r="C505" s="318">
        <v>45670</v>
      </c>
      <c r="D505" t="s">
        <v>3030</v>
      </c>
      <c r="E505" t="s">
        <v>3031</v>
      </c>
      <c r="F505" s="269">
        <v>4416545</v>
      </c>
      <c r="G505" s="134">
        <v>45000</v>
      </c>
      <c r="I505" t="s">
        <v>2245</v>
      </c>
      <c r="J505" t="s">
        <v>3032</v>
      </c>
      <c r="K505" t="s">
        <v>3032</v>
      </c>
      <c r="L505" s="204" t="s">
        <v>3033</v>
      </c>
      <c r="M505" s="277" t="s">
        <v>3034</v>
      </c>
      <c r="N505" s="211">
        <v>21.05</v>
      </c>
      <c r="O505" t="s">
        <v>25</v>
      </c>
      <c r="P505" t="s">
        <v>384</v>
      </c>
      <c r="Q505" s="199">
        <v>21.05</v>
      </c>
      <c r="S505" s="16" t="s">
        <v>20</v>
      </c>
      <c r="T505" s="215">
        <v>0.7</v>
      </c>
      <c r="U505" s="215">
        <v>0.3</v>
      </c>
      <c r="V505" s="219" t="s">
        <v>243</v>
      </c>
      <c r="W505" s="489"/>
      <c r="X505" s="219"/>
      <c r="AD505" s="273"/>
      <c r="AF505" t="s">
        <v>3035</v>
      </c>
      <c r="AH505" s="49">
        <f>Table2[[#This Row],[Prix de vente ($)]]/Table2[[#This Row],[Superficie totale (ha)]]</f>
        <v>2137.7672209026127</v>
      </c>
    </row>
    <row r="506" spans="1:34" ht="33.950000000000003" customHeight="1">
      <c r="A506" s="196">
        <v>29182998</v>
      </c>
      <c r="C506" s="318">
        <v>45670</v>
      </c>
      <c r="D506" s="239" t="s">
        <v>3036</v>
      </c>
      <c r="E506" t="s">
        <v>3037</v>
      </c>
      <c r="F506" s="239" t="s">
        <v>3038</v>
      </c>
      <c r="G506" s="134">
        <v>54000</v>
      </c>
      <c r="I506" t="s">
        <v>1477</v>
      </c>
      <c r="J506" t="s">
        <v>2158</v>
      </c>
      <c r="K506" t="s">
        <v>3039</v>
      </c>
      <c r="L506" s="204"/>
      <c r="M506" s="204"/>
      <c r="N506" s="211">
        <v>26.68</v>
      </c>
      <c r="O506" s="80" t="s">
        <v>18</v>
      </c>
      <c r="P506" s="47" t="s">
        <v>110</v>
      </c>
      <c r="Q506" s="211">
        <v>26.68</v>
      </c>
      <c r="S506" s="181" t="s">
        <v>20</v>
      </c>
      <c r="T506" s="222">
        <v>0.9</v>
      </c>
      <c r="U506" s="222">
        <v>0.1</v>
      </c>
      <c r="V506" s="222">
        <v>0.8</v>
      </c>
      <c r="AF506" t="s">
        <v>3040</v>
      </c>
      <c r="AH506" s="49">
        <f>Table2[[#This Row],[Prix de vente ($)]]/Table2[[#This Row],[Superficie totale (ha)]]</f>
        <v>2023.9880059970014</v>
      </c>
    </row>
    <row r="507" spans="1:34" ht="33.950000000000003" customHeight="1">
      <c r="A507" s="196" t="s">
        <v>3041</v>
      </c>
      <c r="C507" s="318">
        <v>45670</v>
      </c>
      <c r="D507" t="s">
        <v>3036</v>
      </c>
      <c r="E507" t="s">
        <v>3042</v>
      </c>
      <c r="F507" t="s">
        <v>3038</v>
      </c>
      <c r="G507" s="306">
        <v>216000</v>
      </c>
      <c r="I507" t="s">
        <v>2157</v>
      </c>
      <c r="J507" t="s">
        <v>2158</v>
      </c>
      <c r="K507" t="s">
        <v>3043</v>
      </c>
      <c r="L507" s="204">
        <v>45.103127000000001</v>
      </c>
      <c r="M507" s="277" t="s">
        <v>3044</v>
      </c>
      <c r="N507" s="211">
        <v>26.68</v>
      </c>
      <c r="O507" t="s">
        <v>18</v>
      </c>
      <c r="P507" t="s">
        <v>206</v>
      </c>
      <c r="Q507" s="211">
        <v>26.68</v>
      </c>
      <c r="S507" s="94" t="s">
        <v>20</v>
      </c>
      <c r="T507" s="222">
        <v>0.9</v>
      </c>
      <c r="U507" s="222">
        <v>0.1</v>
      </c>
      <c r="V507" s="222">
        <v>0.9</v>
      </c>
      <c r="AC507" s="63">
        <v>5.3</v>
      </c>
      <c r="AH507" s="49">
        <f>Table2[[#This Row],[Prix de vente ($)]]/Table2[[#This Row],[Superficie totale (ha)]]</f>
        <v>8095.9520239880057</v>
      </c>
    </row>
    <row r="508" spans="1:34" ht="33.950000000000003" customHeight="1">
      <c r="A508" s="196">
        <v>29188412</v>
      </c>
      <c r="C508" s="318">
        <v>45671</v>
      </c>
      <c r="D508" s="248" t="s">
        <v>3045</v>
      </c>
      <c r="E508" s="247" t="s">
        <v>3046</v>
      </c>
      <c r="F508" s="247" t="s">
        <v>3047</v>
      </c>
      <c r="G508" s="134">
        <v>193700</v>
      </c>
      <c r="I508" t="s">
        <v>792</v>
      </c>
      <c r="J508" t="s">
        <v>2897</v>
      </c>
      <c r="K508" s="247" t="s">
        <v>3048</v>
      </c>
      <c r="L508" s="205">
        <v>46.757057000000003</v>
      </c>
      <c r="M508" s="205">
        <v>-71.994343999999998</v>
      </c>
      <c r="N508" s="211">
        <v>66.48</v>
      </c>
      <c r="O508" t="s">
        <v>18</v>
      </c>
      <c r="P508" t="s">
        <v>35</v>
      </c>
      <c r="Q508" s="211">
        <v>66.48</v>
      </c>
      <c r="S508" s="94" t="s">
        <v>310</v>
      </c>
      <c r="T508" s="222">
        <v>0.2</v>
      </c>
      <c r="U508" s="222">
        <v>0.8</v>
      </c>
      <c r="V508" s="222">
        <v>0.8</v>
      </c>
      <c r="AH508" s="49">
        <f>Table2[[#This Row],[Prix de vente ($)]]/Table2[[#This Row],[Superficie totale (ha)]]</f>
        <v>2913.6582430806257</v>
      </c>
    </row>
    <row r="509" spans="1:34" ht="33.950000000000003" customHeight="1">
      <c r="A509" s="196">
        <v>29189014</v>
      </c>
      <c r="C509" s="318">
        <v>45672</v>
      </c>
      <c r="D509" s="247" t="s">
        <v>3049</v>
      </c>
      <c r="E509" s="247" t="s">
        <v>3050</v>
      </c>
      <c r="F509" s="247" t="s">
        <v>3051</v>
      </c>
      <c r="G509" s="134">
        <v>177500</v>
      </c>
      <c r="I509" t="s">
        <v>16</v>
      </c>
      <c r="J509" t="s">
        <v>3052</v>
      </c>
      <c r="L509" s="205">
        <v>46.535836000000003</v>
      </c>
      <c r="M509" s="205">
        <v>-70.648595999999998</v>
      </c>
      <c r="N509" s="211">
        <v>19.88</v>
      </c>
      <c r="O509" t="s">
        <v>18</v>
      </c>
      <c r="P509" t="s">
        <v>19</v>
      </c>
      <c r="Q509" s="211">
        <v>19.88</v>
      </c>
      <c r="S509" s="284" t="s">
        <v>20</v>
      </c>
      <c r="T509" s="222">
        <v>0.6</v>
      </c>
      <c r="U509" s="222">
        <v>0.4</v>
      </c>
      <c r="V509" s="222">
        <v>0.85</v>
      </c>
      <c r="AH509" s="49">
        <f>Table2[[#This Row],[Prix de vente ($)]]/Table2[[#This Row],[Superficie totale (ha)]]</f>
        <v>8928.5714285714294</v>
      </c>
    </row>
    <row r="510" spans="1:34" ht="33.950000000000003" customHeight="1">
      <c r="A510" s="196" t="s">
        <v>3053</v>
      </c>
      <c r="C510" s="318">
        <v>45672</v>
      </c>
      <c r="D510" t="s">
        <v>3054</v>
      </c>
      <c r="E510" t="s">
        <v>3055</v>
      </c>
      <c r="F510" t="s">
        <v>3056</v>
      </c>
      <c r="G510" s="93">
        <v>145000</v>
      </c>
      <c r="I510" t="s">
        <v>75</v>
      </c>
      <c r="J510" t="s">
        <v>1804</v>
      </c>
      <c r="L510" s="205">
        <v>46.607667999999997</v>
      </c>
      <c r="M510" s="270" t="s">
        <v>3057</v>
      </c>
      <c r="N510" s="211">
        <v>20.04</v>
      </c>
      <c r="O510" t="s">
        <v>18</v>
      </c>
      <c r="P510" t="s">
        <v>206</v>
      </c>
      <c r="S510" s="94" t="s">
        <v>33</v>
      </c>
      <c r="T510" s="222">
        <v>0.25</v>
      </c>
      <c r="U510" s="222">
        <v>0.75</v>
      </c>
      <c r="V510" s="222">
        <v>0.75</v>
      </c>
      <c r="AC510" s="63">
        <v>1.5</v>
      </c>
      <c r="AF510" t="s">
        <v>43</v>
      </c>
      <c r="AH510" s="49">
        <f>Table2[[#This Row],[Prix de vente ($)]]/Table2[[#This Row],[Superficie totale (ha)]]</f>
        <v>7235.5289421157686</v>
      </c>
    </row>
    <row r="511" spans="1:34" ht="33.950000000000003" customHeight="1">
      <c r="A511" s="196" t="s">
        <v>3058</v>
      </c>
      <c r="C511" s="318">
        <v>45673</v>
      </c>
      <c r="F511" t="s">
        <v>3059</v>
      </c>
      <c r="I511" t="s">
        <v>2594</v>
      </c>
      <c r="J511" t="s">
        <v>2595</v>
      </c>
      <c r="AH511" s="49"/>
    </row>
    <row r="512" spans="1:34" ht="33.950000000000003" customHeight="1">
      <c r="A512" s="239" t="s">
        <v>3060</v>
      </c>
      <c r="C512" s="318">
        <v>45674</v>
      </c>
      <c r="D512" s="249" t="s">
        <v>3061</v>
      </c>
      <c r="E512" s="249" t="s">
        <v>3062</v>
      </c>
      <c r="F512" s="249" t="s">
        <v>3063</v>
      </c>
      <c r="G512" s="93">
        <v>675000</v>
      </c>
      <c r="I512" t="s">
        <v>1597</v>
      </c>
      <c r="J512" t="s">
        <v>3064</v>
      </c>
      <c r="L512" s="205">
        <v>45.365720000000003</v>
      </c>
      <c r="M512" s="205">
        <v>-72.117956000000007</v>
      </c>
      <c r="N512" s="211">
        <v>31.44</v>
      </c>
      <c r="O512" t="s">
        <v>25</v>
      </c>
      <c r="P512" t="s">
        <v>63</v>
      </c>
      <c r="S512" s="94" t="s">
        <v>310</v>
      </c>
      <c r="T512" s="222">
        <v>0.3</v>
      </c>
      <c r="U512" s="222">
        <v>0.7</v>
      </c>
      <c r="V512" s="222">
        <v>0.65</v>
      </c>
      <c r="AC512" s="63">
        <v>0</v>
      </c>
      <c r="AF512" t="s">
        <v>3065</v>
      </c>
      <c r="AH512" s="49">
        <f>Table2[[#This Row],[Prix de vente ($)]]/Table2[[#This Row],[Superficie totale (ha)]]</f>
        <v>21469.465648854963</v>
      </c>
    </row>
    <row r="513" spans="1:35" ht="33.950000000000003" customHeight="1">
      <c r="A513" s="196" t="s">
        <v>3066</v>
      </c>
      <c r="C513" s="318">
        <v>45674</v>
      </c>
      <c r="D513" t="s">
        <v>3067</v>
      </c>
      <c r="E513" t="s">
        <v>3068</v>
      </c>
      <c r="F513" t="s">
        <v>3069</v>
      </c>
      <c r="G513" s="93">
        <v>235000</v>
      </c>
      <c r="I513" t="s">
        <v>909</v>
      </c>
      <c r="J513" t="s">
        <v>910</v>
      </c>
      <c r="K513" s="20" t="s">
        <v>3070</v>
      </c>
      <c r="L513" s="205">
        <v>46.806987999999997</v>
      </c>
      <c r="M513" s="270" t="s">
        <v>3071</v>
      </c>
      <c r="N513" s="211">
        <v>10.25</v>
      </c>
      <c r="O513" t="s">
        <v>25</v>
      </c>
      <c r="P513" t="s">
        <v>110</v>
      </c>
      <c r="Q513" s="199">
        <v>8.65</v>
      </c>
      <c r="S513" s="94" t="s">
        <v>62</v>
      </c>
      <c r="T513" s="222">
        <v>1</v>
      </c>
      <c r="U513" s="222">
        <v>0</v>
      </c>
      <c r="V513" s="222">
        <v>0.75</v>
      </c>
      <c r="AC513" s="63">
        <v>9.1</v>
      </c>
      <c r="AF513" t="s">
        <v>3072</v>
      </c>
      <c r="AH513" s="49">
        <f>Table2[[#This Row],[Prix de vente ($)]]/Table2[[#This Row],[Superficie totale (ha)]]</f>
        <v>22926.829268292684</v>
      </c>
    </row>
    <row r="514" spans="1:35" ht="33.950000000000003" customHeight="1">
      <c r="A514" s="196">
        <v>29199077</v>
      </c>
      <c r="C514" s="318">
        <v>45677</v>
      </c>
      <c r="D514" s="266" t="s">
        <v>3073</v>
      </c>
      <c r="E514" s="266" t="s">
        <v>3074</v>
      </c>
      <c r="F514" s="266" t="s">
        <v>3075</v>
      </c>
      <c r="G514" s="306">
        <v>35000</v>
      </c>
      <c r="I514" t="s">
        <v>3076</v>
      </c>
      <c r="J514" t="s">
        <v>3077</v>
      </c>
      <c r="L514" s="204">
        <v>47.258277</v>
      </c>
      <c r="M514" s="204">
        <v>-70.034270000000006</v>
      </c>
      <c r="N514" s="211">
        <v>10.24</v>
      </c>
      <c r="O514" t="s">
        <v>25</v>
      </c>
      <c r="P514" t="s">
        <v>173</v>
      </c>
      <c r="Q514" s="211">
        <v>10.24</v>
      </c>
      <c r="S514" s="80" t="s">
        <v>62</v>
      </c>
      <c r="T514" s="222">
        <v>0.7</v>
      </c>
      <c r="U514" s="222">
        <v>0.3</v>
      </c>
      <c r="V514" s="222">
        <v>0.6</v>
      </c>
      <c r="AC514" s="63">
        <v>4.2</v>
      </c>
      <c r="AF514" t="s">
        <v>3078</v>
      </c>
      <c r="AH514" s="49">
        <f>Table2[[#This Row],[Prix de vente ($)]]/Table2[[#This Row],[Superficie totale (ha)]]</f>
        <v>3417.96875</v>
      </c>
    </row>
    <row r="515" spans="1:35" ht="33.950000000000003" customHeight="1">
      <c r="A515" s="297">
        <v>29197911</v>
      </c>
      <c r="C515" s="318">
        <v>45677</v>
      </c>
      <c r="D515" t="s">
        <v>3079</v>
      </c>
      <c r="E515" t="s">
        <v>3080</v>
      </c>
      <c r="F515">
        <v>6642818</v>
      </c>
      <c r="G515" s="306">
        <v>185000</v>
      </c>
      <c r="I515" t="s">
        <v>29</v>
      </c>
      <c r="J515" s="20" t="s">
        <v>2810</v>
      </c>
      <c r="L515" s="204">
        <v>46.874892000000003</v>
      </c>
      <c r="M515" s="204">
        <v>-70.612660000000005</v>
      </c>
      <c r="N515" s="211">
        <v>16.899999999999999</v>
      </c>
      <c r="O515" t="s">
        <v>25</v>
      </c>
      <c r="P515" t="s">
        <v>384</v>
      </c>
      <c r="Q515" s="211">
        <v>16.899999999999999</v>
      </c>
      <c r="S515" s="94" t="s">
        <v>20</v>
      </c>
      <c r="T515" s="222">
        <v>0.8</v>
      </c>
      <c r="U515" s="222">
        <v>0.2</v>
      </c>
      <c r="V515" s="222">
        <v>0.8</v>
      </c>
      <c r="AC515" s="63">
        <f>4.7+7.1</f>
        <v>11.8</v>
      </c>
      <c r="AF515" t="s">
        <v>3081</v>
      </c>
      <c r="AH515" s="49">
        <f>Table2[[#This Row],[Prix de vente ($)]]/Table2[[#This Row],[Superficie totale (ha)]]</f>
        <v>10946.745562130178</v>
      </c>
    </row>
    <row r="516" spans="1:35" ht="33.950000000000003" customHeight="1">
      <c r="A516" s="196">
        <v>29201649</v>
      </c>
      <c r="C516" s="318">
        <v>45678</v>
      </c>
      <c r="D516" t="s">
        <v>3082</v>
      </c>
      <c r="E516" t="s">
        <v>3083</v>
      </c>
      <c r="F516" s="269" t="s">
        <v>3084</v>
      </c>
      <c r="G516" s="134">
        <v>395000</v>
      </c>
      <c r="I516" t="s">
        <v>1352</v>
      </c>
      <c r="J516" t="s">
        <v>3085</v>
      </c>
      <c r="K516" s="20" t="s">
        <v>3086</v>
      </c>
      <c r="L516" s="205" t="s">
        <v>3087</v>
      </c>
      <c r="M516" s="270" t="s">
        <v>3088</v>
      </c>
      <c r="N516" s="211">
        <v>37.549999999999997</v>
      </c>
      <c r="O516" t="s">
        <v>25</v>
      </c>
      <c r="P516" t="s">
        <v>19</v>
      </c>
      <c r="Q516" s="211">
        <f>Table2[[#This Row],[Superficie totale (ha)]]</f>
        <v>37.549999999999997</v>
      </c>
      <c r="S516" s="181" t="s">
        <v>20</v>
      </c>
      <c r="T516" s="222">
        <v>0.7</v>
      </c>
      <c r="U516" s="222">
        <v>0.3</v>
      </c>
      <c r="V516" s="222" t="s">
        <v>243</v>
      </c>
      <c r="AC516" s="63">
        <v>8.8000000000000007</v>
      </c>
      <c r="AF516" t="s">
        <v>3089</v>
      </c>
      <c r="AH516" s="49">
        <f>Table2[[#This Row],[Prix de vente ($)]]/Table2[[#This Row],[Superficie totale (ha)]]</f>
        <v>10519.30758988016</v>
      </c>
    </row>
    <row r="517" spans="1:35" ht="33.950000000000003" customHeight="1">
      <c r="A517" s="196">
        <v>29200846</v>
      </c>
      <c r="C517" s="318">
        <v>45678</v>
      </c>
      <c r="D517" s="248" t="s">
        <v>3090</v>
      </c>
      <c r="E517" s="247" t="s">
        <v>3091</v>
      </c>
      <c r="F517" s="248" t="s">
        <v>3092</v>
      </c>
      <c r="G517" s="134">
        <v>630000</v>
      </c>
      <c r="I517" t="s">
        <v>792</v>
      </c>
      <c r="J517" t="s">
        <v>2873</v>
      </c>
      <c r="K517" s="247" t="s">
        <v>3093</v>
      </c>
      <c r="L517" s="204">
        <v>46.918323000000001</v>
      </c>
      <c r="M517" s="204">
        <v>-71.761307000000002</v>
      </c>
      <c r="N517" s="211">
        <v>48.35</v>
      </c>
      <c r="O517" t="s">
        <v>25</v>
      </c>
      <c r="P517" t="s">
        <v>173</v>
      </c>
      <c r="Q517" s="211">
        <v>48.35</v>
      </c>
      <c r="S517" s="62" t="s">
        <v>175</v>
      </c>
      <c r="T517" s="219">
        <v>0.5</v>
      </c>
      <c r="U517" s="219">
        <v>0.5</v>
      </c>
      <c r="V517" s="219">
        <v>0.7</v>
      </c>
      <c r="W517" s="489"/>
      <c r="X517" s="219"/>
      <c r="AD517" s="273"/>
      <c r="AF517" t="s">
        <v>3094</v>
      </c>
      <c r="AH517" s="49">
        <f>Table2[[#This Row],[Prix de vente ($)]]/Table2[[#This Row],[Superficie totale (ha)]]</f>
        <v>13029.989658738366</v>
      </c>
    </row>
    <row r="518" spans="1:35" ht="33.950000000000003" customHeight="1">
      <c r="A518" s="196" t="s">
        <v>3095</v>
      </c>
      <c r="B518">
        <v>17247634</v>
      </c>
      <c r="C518" s="318">
        <v>45679</v>
      </c>
      <c r="D518" t="s">
        <v>3096</v>
      </c>
      <c r="E518" t="s">
        <v>3097</v>
      </c>
      <c r="F518" t="s">
        <v>3098</v>
      </c>
      <c r="G518" s="93">
        <v>360000</v>
      </c>
      <c r="I518" t="s">
        <v>75</v>
      </c>
      <c r="J518" t="s">
        <v>2969</v>
      </c>
      <c r="K518" t="s">
        <v>2970</v>
      </c>
      <c r="L518" s="205">
        <v>46.566305999999997</v>
      </c>
      <c r="M518" s="270" t="s">
        <v>3099</v>
      </c>
      <c r="N518" s="211">
        <v>17.97</v>
      </c>
      <c r="P518" t="s">
        <v>154</v>
      </c>
      <c r="S518" s="94" t="s">
        <v>20</v>
      </c>
      <c r="T518" s="222">
        <v>0.8</v>
      </c>
      <c r="U518" s="222">
        <v>0.2</v>
      </c>
      <c r="V518" s="222">
        <v>0.85</v>
      </c>
      <c r="Y518" t="s">
        <v>41</v>
      </c>
      <c r="AC518" s="63">
        <v>12.6</v>
      </c>
      <c r="AD518" s="95">
        <v>2400</v>
      </c>
      <c r="AF518" s="355" t="s">
        <v>3100</v>
      </c>
      <c r="AH518" s="49">
        <f>Table2[[#This Row],[Prix de vente ($)]]/Table2[[#This Row],[Superficie totale (ha)]]</f>
        <v>20033.388981636061</v>
      </c>
    </row>
    <row r="519" spans="1:35" ht="33.950000000000003" customHeight="1">
      <c r="A519" s="196">
        <v>29204661</v>
      </c>
      <c r="C519" s="318">
        <v>45679</v>
      </c>
      <c r="D519" t="s">
        <v>3101</v>
      </c>
      <c r="E519" t="s">
        <v>3102</v>
      </c>
      <c r="F519" s="305">
        <v>5763593</v>
      </c>
      <c r="G519" s="93">
        <v>20000</v>
      </c>
      <c r="I519" t="s">
        <v>2980</v>
      </c>
      <c r="J519" t="s">
        <v>3103</v>
      </c>
      <c r="K519" t="s">
        <v>3104</v>
      </c>
      <c r="L519" s="205" t="s">
        <v>3105</v>
      </c>
      <c r="M519" s="270" t="s">
        <v>3106</v>
      </c>
      <c r="N519" s="211">
        <v>30.1</v>
      </c>
      <c r="O519" t="s">
        <v>18</v>
      </c>
      <c r="P519" t="s">
        <v>63</v>
      </c>
      <c r="S519" s="94" t="s">
        <v>20</v>
      </c>
      <c r="T519" s="222">
        <v>0.7</v>
      </c>
      <c r="U519" s="222">
        <v>0.3</v>
      </c>
      <c r="V519" s="222">
        <v>0.75</v>
      </c>
      <c r="AC519" s="63">
        <v>9.1</v>
      </c>
      <c r="AF519" t="s">
        <v>3107</v>
      </c>
      <c r="AH519" s="49">
        <f>Table2[[#This Row],[Prix de vente ($)]]/Table2[[#This Row],[Superficie totale (ha)]]</f>
        <v>664.45182724252493</v>
      </c>
    </row>
    <row r="520" spans="1:35" ht="33.950000000000003" customHeight="1">
      <c r="A520" s="196" t="s">
        <v>3108</v>
      </c>
      <c r="C520" s="318">
        <v>45679</v>
      </c>
      <c r="F520" t="s">
        <v>3109</v>
      </c>
      <c r="I520" t="s">
        <v>476</v>
      </c>
      <c r="AH520" s="49" t="e">
        <f>Table2[[#This Row],[Prix de vente ($)]]/Table2[[#This Row],[Superficie totale (ha)]]</f>
        <v>#DIV/0!</v>
      </c>
    </row>
    <row r="521" spans="1:35" ht="33.75" customHeight="1">
      <c r="A521" s="196" t="s">
        <v>3110</v>
      </c>
      <c r="C521" s="318">
        <v>45679</v>
      </c>
      <c r="F521" t="s">
        <v>3111</v>
      </c>
      <c r="I521" t="s">
        <v>258</v>
      </c>
      <c r="AH521" s="49"/>
    </row>
    <row r="522" spans="1:35" ht="33.75" customHeight="1">
      <c r="A522" s="196">
        <v>29211782</v>
      </c>
      <c r="C522" s="318">
        <v>45681</v>
      </c>
      <c r="D522" s="239" t="s">
        <v>3112</v>
      </c>
      <c r="E522" s="239" t="s">
        <v>3113</v>
      </c>
      <c r="F522" t="s">
        <v>3114</v>
      </c>
      <c r="G522" s="93">
        <v>225000</v>
      </c>
      <c r="I522" t="s">
        <v>50</v>
      </c>
      <c r="J522" t="s">
        <v>51</v>
      </c>
      <c r="K522" s="239" t="s">
        <v>3115</v>
      </c>
      <c r="L522" s="205">
        <v>46.057597999999999</v>
      </c>
      <c r="M522" s="205">
        <v>-70.790395000000004</v>
      </c>
      <c r="N522" s="211">
        <v>32.630000000000003</v>
      </c>
      <c r="O522" t="s">
        <v>18</v>
      </c>
      <c r="P522" t="s">
        <v>173</v>
      </c>
      <c r="Q522" s="199">
        <f>32.63-5.2</f>
        <v>27.430000000000003</v>
      </c>
      <c r="S522" s="94" t="s">
        <v>33</v>
      </c>
      <c r="T522" s="222">
        <v>0.3</v>
      </c>
      <c r="U522" s="222">
        <v>0.7</v>
      </c>
      <c r="V522" s="222">
        <v>0.5</v>
      </c>
      <c r="AC522" s="63">
        <v>0</v>
      </c>
      <c r="AF522" t="s">
        <v>3116</v>
      </c>
      <c r="AH522" s="49">
        <f>Table2[[#This Row],[Prix de vente ($)]]/Table2[[#This Row],[Superficie totale (ha)]]</f>
        <v>6895.4949433037073</v>
      </c>
    </row>
    <row r="523" spans="1:35" ht="33.75" customHeight="1">
      <c r="A523" s="196" t="s">
        <v>3117</v>
      </c>
      <c r="C523" s="318">
        <v>45681</v>
      </c>
      <c r="D523" t="s">
        <v>3118</v>
      </c>
      <c r="E523" t="s">
        <v>3119</v>
      </c>
      <c r="F523" t="s">
        <v>3120</v>
      </c>
      <c r="G523" s="93">
        <v>950000</v>
      </c>
      <c r="I523" t="s">
        <v>48</v>
      </c>
      <c r="J523" t="s">
        <v>3121</v>
      </c>
      <c r="K523" t="s">
        <v>3122</v>
      </c>
      <c r="L523" s="205">
        <v>45.624906000000003</v>
      </c>
      <c r="M523" s="270" t="s">
        <v>3123</v>
      </c>
      <c r="N523" s="211">
        <f>13.76+63.3</f>
        <v>77.06</v>
      </c>
      <c r="O523" t="s">
        <v>18</v>
      </c>
      <c r="P523" t="s">
        <v>63</v>
      </c>
      <c r="R523">
        <v>2.8</v>
      </c>
      <c r="S523" s="94" t="s">
        <v>20</v>
      </c>
      <c r="T523" s="222">
        <v>0.9</v>
      </c>
      <c r="U523" s="222">
        <v>0.1</v>
      </c>
      <c r="V523" s="222">
        <v>0.85</v>
      </c>
      <c r="AC523" s="63">
        <f>77.06-2.8-9.4</f>
        <v>64.86</v>
      </c>
      <c r="AF523" t="s">
        <v>3125</v>
      </c>
      <c r="AG523" t="s">
        <v>3126</v>
      </c>
      <c r="AH523" s="49">
        <f>Table2[[#This Row],[Prix de vente ($)]]/Table2[[#This Row],[Superficie totale (ha)]]</f>
        <v>12328.056060212821</v>
      </c>
    </row>
    <row r="524" spans="1:35" s="66" customFormat="1" ht="33.75" customHeight="1">
      <c r="A524" s="196" t="s">
        <v>3127</v>
      </c>
      <c r="B524"/>
      <c r="C524" s="318">
        <v>45681</v>
      </c>
      <c r="D524"/>
      <c r="E524"/>
      <c r="F524" t="s">
        <v>3128</v>
      </c>
      <c r="G524" s="93"/>
      <c r="H524"/>
      <c r="I524" t="s">
        <v>328</v>
      </c>
      <c r="J524"/>
      <c r="K524"/>
      <c r="L524" s="205"/>
      <c r="M524" s="205"/>
      <c r="N524" s="211"/>
      <c r="O524"/>
      <c r="P524"/>
      <c r="Q524" s="199"/>
      <c r="R524"/>
      <c r="S524" s="94"/>
      <c r="T524" s="222"/>
      <c r="U524" s="222"/>
      <c r="V524" s="222"/>
      <c r="W524" s="486"/>
      <c r="X524" s="222"/>
      <c r="Y524"/>
      <c r="Z524" s="63"/>
      <c r="AA524"/>
      <c r="AB524"/>
      <c r="AC524" s="63"/>
      <c r="AD524" s="95"/>
      <c r="AE524" s="63"/>
      <c r="AF524"/>
      <c r="AG524"/>
      <c r="AH524" s="49"/>
      <c r="AI524"/>
    </row>
    <row r="525" spans="1:35" ht="33.75" customHeight="1">
      <c r="A525" s="196" t="s">
        <v>3129</v>
      </c>
      <c r="C525" s="318">
        <v>45684</v>
      </c>
      <c r="F525" t="s">
        <v>3130</v>
      </c>
      <c r="I525" t="s">
        <v>328</v>
      </c>
      <c r="AH525" s="49"/>
    </row>
    <row r="526" spans="1:35" ht="33.75" customHeight="1">
      <c r="A526" s="196">
        <v>29216437</v>
      </c>
      <c r="C526" s="318">
        <v>45685</v>
      </c>
      <c r="D526" t="s">
        <v>3131</v>
      </c>
      <c r="E526" t="s">
        <v>3132</v>
      </c>
      <c r="F526" s="269">
        <v>6459995</v>
      </c>
      <c r="G526" s="134">
        <v>140000</v>
      </c>
      <c r="I526" t="s">
        <v>1352</v>
      </c>
      <c r="J526" t="s">
        <v>3133</v>
      </c>
      <c r="K526" t="s">
        <v>3133</v>
      </c>
      <c r="L526" s="205" t="s">
        <v>3134</v>
      </c>
      <c r="M526" s="270" t="s">
        <v>3135</v>
      </c>
      <c r="N526" s="211">
        <v>39.19</v>
      </c>
      <c r="O526" t="s">
        <v>25</v>
      </c>
      <c r="P526" t="s">
        <v>19</v>
      </c>
      <c r="Q526" s="211">
        <f>Table2[[#This Row],[Superficie totale (ha)]]</f>
        <v>39.19</v>
      </c>
      <c r="S526" s="181" t="s">
        <v>20</v>
      </c>
      <c r="T526" s="222">
        <v>0.9</v>
      </c>
      <c r="U526" s="222">
        <v>0.1</v>
      </c>
      <c r="V526" s="222" t="s">
        <v>362</v>
      </c>
      <c r="AC526" s="63">
        <v>31.2</v>
      </c>
      <c r="AF526" t="s">
        <v>3136</v>
      </c>
      <c r="AH526" s="49">
        <f>Table2[[#This Row],[Prix de vente ($)]]/Table2[[#This Row],[Superficie totale (ha)]]</f>
        <v>3572.3398826231182</v>
      </c>
    </row>
    <row r="527" spans="1:35" ht="33.75" customHeight="1">
      <c r="A527" s="297" t="s">
        <v>3137</v>
      </c>
      <c r="C527" s="318">
        <v>45686</v>
      </c>
      <c r="D527" s="239" t="s">
        <v>3138</v>
      </c>
      <c r="E527" s="239" t="s">
        <v>3139</v>
      </c>
      <c r="F527" s="20" t="s">
        <v>3140</v>
      </c>
      <c r="G527" s="93">
        <v>680000</v>
      </c>
      <c r="I527" t="s">
        <v>1629</v>
      </c>
      <c r="J527" t="s">
        <v>3141</v>
      </c>
      <c r="K527" s="247" t="s">
        <v>3142</v>
      </c>
      <c r="L527" s="205">
        <v>45.375379000000002</v>
      </c>
      <c r="M527" s="205">
        <v>-71.420867999999999</v>
      </c>
      <c r="N527" s="211">
        <v>122.06</v>
      </c>
      <c r="O527" t="s">
        <v>18</v>
      </c>
      <c r="P527" t="s">
        <v>173</v>
      </c>
      <c r="Q527" s="211">
        <v>122.06</v>
      </c>
      <c r="S527" s="94" t="s">
        <v>20</v>
      </c>
      <c r="T527" s="222">
        <v>0.95</v>
      </c>
      <c r="U527" s="222">
        <v>0.05</v>
      </c>
      <c r="V527" s="222">
        <v>0.85</v>
      </c>
      <c r="AC527" s="63">
        <v>100</v>
      </c>
      <c r="AF527" t="s">
        <v>3143</v>
      </c>
      <c r="AH527" s="49">
        <f>Table2[[#This Row],[Prix de vente ($)]]/Table2[[#This Row],[Superficie totale (ha)]]</f>
        <v>5571.0306406685231</v>
      </c>
    </row>
    <row r="528" spans="1:35" ht="33.75" customHeight="1">
      <c r="A528" s="196" t="s">
        <v>3144</v>
      </c>
      <c r="C528" s="318">
        <v>45686</v>
      </c>
      <c r="F528" t="s">
        <v>3145</v>
      </c>
      <c r="I528" t="s">
        <v>476</v>
      </c>
      <c r="AH528" s="49" t="e">
        <f>Table2[[#This Row],[Prix de vente ($)]]/Table2[[#This Row],[Superficie totale (ha)]]</f>
        <v>#DIV/0!</v>
      </c>
    </row>
    <row r="529" spans="1:34" ht="33.75" customHeight="1">
      <c r="A529" s="196">
        <v>29222979</v>
      </c>
      <c r="C529" s="318">
        <v>45687</v>
      </c>
      <c r="D529" s="247" t="s">
        <v>3146</v>
      </c>
      <c r="E529" s="247" t="s">
        <v>3147</v>
      </c>
      <c r="F529" s="247" t="s">
        <v>3148</v>
      </c>
      <c r="G529" s="134">
        <v>135000</v>
      </c>
      <c r="I529" t="s">
        <v>2941</v>
      </c>
      <c r="J529" t="s">
        <v>2942</v>
      </c>
      <c r="L529" s="204">
        <v>46.213244000000003</v>
      </c>
      <c r="M529" s="204">
        <v>-73.301220000000001</v>
      </c>
      <c r="N529" s="211">
        <v>23.26</v>
      </c>
      <c r="O529" t="s">
        <v>25</v>
      </c>
      <c r="P529" t="s">
        <v>1179</v>
      </c>
      <c r="Q529" s="199">
        <v>23.26</v>
      </c>
      <c r="S529" s="94" t="s">
        <v>20</v>
      </c>
      <c r="T529" s="222">
        <v>0.9</v>
      </c>
      <c r="U529" s="222">
        <v>0.1</v>
      </c>
      <c r="V529" s="222">
        <v>0.65</v>
      </c>
      <c r="AC529" s="63">
        <v>4.7</v>
      </c>
      <c r="AF529" t="s">
        <v>3149</v>
      </c>
      <c r="AH529" s="49">
        <f>Table2[[#This Row],[Prix de vente ($)]]/Table2[[#This Row],[Superficie totale (ha)]]</f>
        <v>5803.9552880481506</v>
      </c>
    </row>
    <row r="530" spans="1:34" ht="33.75" customHeight="1">
      <c r="A530" s="196" t="s">
        <v>3150</v>
      </c>
      <c r="C530" s="318">
        <v>45687</v>
      </c>
      <c r="D530" t="s">
        <v>3151</v>
      </c>
      <c r="E530" t="s">
        <v>3152</v>
      </c>
      <c r="F530" t="s">
        <v>3153</v>
      </c>
      <c r="G530" s="93">
        <v>1100000</v>
      </c>
      <c r="I530" t="s">
        <v>2157</v>
      </c>
      <c r="J530" t="s">
        <v>3154</v>
      </c>
      <c r="K530" t="s">
        <v>3155</v>
      </c>
      <c r="L530" s="205">
        <v>45.013399999999997</v>
      </c>
      <c r="M530" s="270" t="s">
        <v>3156</v>
      </c>
      <c r="N530" s="211">
        <v>28.72</v>
      </c>
      <c r="O530" t="s">
        <v>18</v>
      </c>
      <c r="P530" t="s">
        <v>206</v>
      </c>
      <c r="S530" s="94" t="s">
        <v>20</v>
      </c>
      <c r="T530" s="222">
        <v>0.7</v>
      </c>
      <c r="U530" s="222">
        <v>0.3</v>
      </c>
      <c r="V530" s="222">
        <v>0.85</v>
      </c>
      <c r="Y530" t="s">
        <v>3157</v>
      </c>
      <c r="AC530" s="63">
        <v>10.9</v>
      </c>
      <c r="AD530" s="95">
        <v>2000</v>
      </c>
      <c r="AF530" t="s">
        <v>3158</v>
      </c>
      <c r="AH530" s="49">
        <f>Table2[[#This Row],[Prix de vente ($)]]/Table2[[#This Row],[Superficie totale (ha)]]</f>
        <v>38300.8356545961</v>
      </c>
    </row>
    <row r="531" spans="1:34" ht="33.75" customHeight="1">
      <c r="A531" s="50" t="s">
        <v>3159</v>
      </c>
      <c r="C531" s="460">
        <v>45687</v>
      </c>
      <c r="F531" s="50" t="s">
        <v>3160</v>
      </c>
      <c r="G531" s="366">
        <v>330000</v>
      </c>
      <c r="I531" t="s">
        <v>3161</v>
      </c>
      <c r="AH531" s="49"/>
    </row>
    <row r="532" spans="1:34" ht="33.75" customHeight="1">
      <c r="A532" s="196">
        <v>29227048</v>
      </c>
      <c r="C532" s="318">
        <v>45688</v>
      </c>
      <c r="F532" t="s">
        <v>3162</v>
      </c>
      <c r="G532" s="134">
        <v>200000</v>
      </c>
      <c r="I532" t="s">
        <v>58</v>
      </c>
      <c r="J532" t="s">
        <v>2346</v>
      </c>
      <c r="L532" s="205" t="s">
        <v>3163</v>
      </c>
      <c r="M532" s="270" t="s">
        <v>3164</v>
      </c>
      <c r="N532" s="211">
        <f>42.03+6.83+7.89+5.05</f>
        <v>61.8</v>
      </c>
      <c r="O532" t="s">
        <v>18</v>
      </c>
      <c r="P532" t="s">
        <v>110</v>
      </c>
      <c r="S532" s="94" t="s">
        <v>62</v>
      </c>
      <c r="T532" s="222">
        <v>0.6</v>
      </c>
      <c r="U532" s="222">
        <v>0.4</v>
      </c>
      <c r="V532" s="222" t="s">
        <v>1214</v>
      </c>
      <c r="AF532" t="s">
        <v>3165</v>
      </c>
      <c r="AH532" s="49">
        <f>Table2[[#This Row],[Prix de vente ($)]]/Table2[[#This Row],[Superficie totale (ha)]]</f>
        <v>3236.245954692557</v>
      </c>
    </row>
    <row r="533" spans="1:34" ht="33.75" customHeight="1">
      <c r="A533" s="196">
        <v>29227722</v>
      </c>
      <c r="C533" s="318">
        <v>45691</v>
      </c>
      <c r="D533" t="s">
        <v>3166</v>
      </c>
      <c r="E533" t="s">
        <v>3167</v>
      </c>
      <c r="F533" t="s">
        <v>3168</v>
      </c>
      <c r="G533" s="134">
        <v>350000</v>
      </c>
      <c r="I533" t="s">
        <v>1264</v>
      </c>
      <c r="J533" t="s">
        <v>1265</v>
      </c>
      <c r="K533" t="s">
        <v>3169</v>
      </c>
      <c r="L533" s="205">
        <v>45.731420999999997</v>
      </c>
      <c r="M533" s="205">
        <v>-74.123095000000006</v>
      </c>
      <c r="N533" s="211">
        <v>15.54</v>
      </c>
      <c r="O533" t="s">
        <v>25</v>
      </c>
      <c r="P533" t="s">
        <v>35</v>
      </c>
      <c r="Q533" s="199">
        <v>15.54</v>
      </c>
      <c r="S533" s="94" t="s">
        <v>20</v>
      </c>
      <c r="T533" s="222">
        <v>0.8</v>
      </c>
      <c r="U533" s="222">
        <v>0.2</v>
      </c>
      <c r="V533" s="222">
        <v>0.85</v>
      </c>
      <c r="AF533" t="s">
        <v>3170</v>
      </c>
      <c r="AH533" s="49">
        <f>Table2[[#This Row],[Prix de vente ($)]]/Table2[[#This Row],[Superficie totale (ha)]]</f>
        <v>22522.522522522522</v>
      </c>
    </row>
    <row r="534" spans="1:34" ht="33.75" customHeight="1">
      <c r="A534" s="297" t="s">
        <v>3171</v>
      </c>
      <c r="C534" s="318">
        <v>45691</v>
      </c>
      <c r="D534" s="239" t="s">
        <v>3172</v>
      </c>
      <c r="E534" s="239" t="s">
        <v>3173</v>
      </c>
      <c r="F534" t="s">
        <v>3174</v>
      </c>
      <c r="G534" s="93">
        <v>350000</v>
      </c>
      <c r="I534" t="s">
        <v>1629</v>
      </c>
      <c r="J534" t="s">
        <v>47</v>
      </c>
      <c r="K534" s="239" t="s">
        <v>3175</v>
      </c>
      <c r="L534" s="205">
        <v>45.326743999999998</v>
      </c>
      <c r="M534" s="205">
        <v>-71.728324000000001</v>
      </c>
      <c r="N534" s="211">
        <v>34.42</v>
      </c>
      <c r="O534" t="s">
        <v>18</v>
      </c>
      <c r="P534" t="s">
        <v>1179</v>
      </c>
      <c r="Q534" s="199">
        <v>34.42</v>
      </c>
      <c r="S534" s="94" t="s">
        <v>33</v>
      </c>
      <c r="T534" s="222">
        <v>0.1</v>
      </c>
      <c r="U534" s="222">
        <v>0.9</v>
      </c>
      <c r="V534" s="222">
        <v>0.75</v>
      </c>
      <c r="AC534" s="63">
        <v>0</v>
      </c>
      <c r="AH534" s="49">
        <f>Table2[[#This Row],[Prix de vente ($)]]/Table2[[#This Row],[Superficie totale (ha)]]</f>
        <v>10168.506682161533</v>
      </c>
    </row>
    <row r="535" spans="1:34" ht="33.75" customHeight="1">
      <c r="A535" s="297">
        <v>29228606</v>
      </c>
      <c r="C535" s="318">
        <v>45691</v>
      </c>
      <c r="D535" t="s">
        <v>3176</v>
      </c>
      <c r="E535" s="247" t="s">
        <v>3177</v>
      </c>
      <c r="F535" t="s">
        <v>3178</v>
      </c>
      <c r="G535" s="306">
        <v>104370</v>
      </c>
      <c r="I535" t="s">
        <v>29</v>
      </c>
      <c r="J535" t="s">
        <v>2740</v>
      </c>
      <c r="L535" s="204">
        <v>46.992393</v>
      </c>
      <c r="M535" s="204">
        <v>-70.436457000000004</v>
      </c>
      <c r="N535" s="211">
        <v>24.79</v>
      </c>
      <c r="O535" t="s">
        <v>18</v>
      </c>
      <c r="P535" t="s">
        <v>384</v>
      </c>
      <c r="Q535" s="199">
        <f>24.79-7.7</f>
        <v>17.09</v>
      </c>
      <c r="S535" s="94" t="s">
        <v>20</v>
      </c>
      <c r="T535" s="222">
        <v>0.8</v>
      </c>
      <c r="U535" s="222">
        <v>0.2</v>
      </c>
      <c r="V535" s="222">
        <v>0.7</v>
      </c>
      <c r="AC535" s="63">
        <f>6.9+2.1</f>
        <v>9</v>
      </c>
      <c r="AF535" t="s">
        <v>3179</v>
      </c>
      <c r="AH535" s="49">
        <f>Table2[[#This Row],[Prix de vente ($)]]/Table2[[#This Row],[Superficie totale (ha)]]</f>
        <v>4210.1653892698669</v>
      </c>
    </row>
    <row r="536" spans="1:34" ht="33.75" customHeight="1">
      <c r="A536" s="459" t="s">
        <v>3180</v>
      </c>
      <c r="C536" s="460">
        <v>45691</v>
      </c>
      <c r="F536" s="50" t="s">
        <v>3181</v>
      </c>
      <c r="G536" s="366">
        <v>74000</v>
      </c>
      <c r="I536" t="s">
        <v>3161</v>
      </c>
      <c r="AH536" s="49"/>
    </row>
    <row r="537" spans="1:34" ht="33.75" customHeight="1">
      <c r="A537" s="196" t="s">
        <v>3182</v>
      </c>
      <c r="C537" s="318">
        <v>45693</v>
      </c>
      <c r="D537" t="s">
        <v>3183</v>
      </c>
      <c r="E537" t="s">
        <v>3184</v>
      </c>
      <c r="F537" t="s">
        <v>3185</v>
      </c>
      <c r="G537" s="93">
        <v>40000</v>
      </c>
      <c r="I537" t="s">
        <v>75</v>
      </c>
      <c r="J537" t="s">
        <v>1972</v>
      </c>
      <c r="L537" s="205">
        <v>46.678634000000002</v>
      </c>
      <c r="M537" s="270" t="s">
        <v>3186</v>
      </c>
      <c r="N537" s="211">
        <v>11.47</v>
      </c>
      <c r="P537" t="s">
        <v>384</v>
      </c>
      <c r="S537" s="94" t="s">
        <v>20</v>
      </c>
      <c r="T537" s="222">
        <v>0.7</v>
      </c>
      <c r="U537" s="222">
        <v>0.3</v>
      </c>
      <c r="V537" s="222">
        <v>0.9</v>
      </c>
      <c r="AC537" s="63">
        <f>Table2[[#This Row],[Superficie totale (ha)]]</f>
        <v>11.47</v>
      </c>
      <c r="AF537" t="s">
        <v>3187</v>
      </c>
      <c r="AH537" s="49">
        <f>Table2[[#This Row],[Prix de vente ($)]]/Table2[[#This Row],[Superficie totale (ha)]]</f>
        <v>3487.3583260680034</v>
      </c>
    </row>
    <row r="538" spans="1:34" ht="33.75" customHeight="1">
      <c r="A538" s="196">
        <v>29234358</v>
      </c>
      <c r="C538" s="318">
        <v>45693</v>
      </c>
      <c r="F538" t="s">
        <v>3188</v>
      </c>
      <c r="G538" s="134">
        <v>100000</v>
      </c>
      <c r="I538" t="s">
        <v>58</v>
      </c>
      <c r="J538" t="s">
        <v>2346</v>
      </c>
      <c r="L538" s="205" t="s">
        <v>3189</v>
      </c>
      <c r="M538" s="270" t="s">
        <v>3190</v>
      </c>
      <c r="N538" s="211">
        <v>19.12</v>
      </c>
      <c r="O538" t="s">
        <v>18</v>
      </c>
      <c r="P538" t="s">
        <v>35</v>
      </c>
      <c r="S538" s="94" t="s">
        <v>62</v>
      </c>
      <c r="T538" s="222">
        <v>0.7</v>
      </c>
      <c r="U538" s="222">
        <v>0.3</v>
      </c>
      <c r="V538" s="222" t="s">
        <v>1999</v>
      </c>
      <c r="AC538" s="63">
        <v>1.4</v>
      </c>
      <c r="AF538" t="s">
        <v>3191</v>
      </c>
      <c r="AH538" s="49">
        <f>Table2[[#This Row],[Prix de vente ($)]]/Table2[[#This Row],[Superficie totale (ha)]]</f>
        <v>5230.1255230125516</v>
      </c>
    </row>
    <row r="539" spans="1:34" ht="33.75" customHeight="1">
      <c r="A539" s="196" t="s">
        <v>3192</v>
      </c>
      <c r="C539" s="318">
        <v>45693</v>
      </c>
      <c r="F539" t="s">
        <v>3193</v>
      </c>
      <c r="G539" s="93">
        <v>30000</v>
      </c>
      <c r="I539" t="s">
        <v>1363</v>
      </c>
      <c r="AH539" s="49"/>
    </row>
    <row r="540" spans="1:34" ht="33.75" customHeight="1">
      <c r="A540" s="196" t="s">
        <v>3194</v>
      </c>
      <c r="C540" s="318">
        <v>45694</v>
      </c>
      <c r="D540" t="s">
        <v>3195</v>
      </c>
      <c r="E540" t="s">
        <v>3196</v>
      </c>
      <c r="F540" t="s">
        <v>3197</v>
      </c>
      <c r="G540" s="93">
        <v>785000</v>
      </c>
      <c r="I540" t="s">
        <v>34</v>
      </c>
      <c r="J540" t="s">
        <v>3198</v>
      </c>
      <c r="K540" t="s">
        <v>3199</v>
      </c>
      <c r="L540" s="205">
        <v>45.776916</v>
      </c>
      <c r="M540" s="270" t="s">
        <v>3200</v>
      </c>
      <c r="N540" s="63">
        <f>3.2+6.03</f>
        <v>9.23</v>
      </c>
      <c r="O540" t="s">
        <v>18</v>
      </c>
      <c r="P540" t="s">
        <v>206</v>
      </c>
      <c r="Q540" s="63">
        <f>3.2+6.03</f>
        <v>9.23</v>
      </c>
      <c r="S540" s="94" t="s">
        <v>20</v>
      </c>
      <c r="T540" s="222">
        <v>1</v>
      </c>
      <c r="U540" s="222">
        <v>0</v>
      </c>
      <c r="V540" s="222">
        <v>0.85</v>
      </c>
      <c r="Y540" t="s">
        <v>3201</v>
      </c>
      <c r="AC540" s="63">
        <f>3.2+6.03</f>
        <v>9.23</v>
      </c>
      <c r="AF540" t="s">
        <v>3202</v>
      </c>
      <c r="AH540" s="49">
        <f>Table2[[#This Row],[Prix de vente ($)]]/Table2[[#This Row],[Superficie totale (ha)]]</f>
        <v>85048.754062838561</v>
      </c>
    </row>
    <row r="541" spans="1:34" ht="33.75" customHeight="1">
      <c r="A541" s="196" t="s">
        <v>3203</v>
      </c>
      <c r="C541" s="318">
        <v>45694</v>
      </c>
      <c r="F541" t="s">
        <v>3204</v>
      </c>
      <c r="I541" t="s">
        <v>328</v>
      </c>
      <c r="AH541" s="49"/>
    </row>
    <row r="542" spans="1:34" ht="33.75" customHeight="1">
      <c r="A542" s="196" t="s">
        <v>3205</v>
      </c>
      <c r="C542" s="318">
        <v>45698</v>
      </c>
      <c r="F542" t="s">
        <v>3206</v>
      </c>
      <c r="I542" t="s">
        <v>258</v>
      </c>
      <c r="AH542" s="49"/>
    </row>
    <row r="543" spans="1:34" ht="33.75" customHeight="1">
      <c r="A543" s="196" t="s">
        <v>3207</v>
      </c>
      <c r="C543" s="318">
        <v>45700</v>
      </c>
      <c r="F543" t="s">
        <v>3208</v>
      </c>
      <c r="I543" t="s">
        <v>476</v>
      </c>
      <c r="AH543" s="49" t="e">
        <f>Table2[[#This Row],[Prix de vente ($)]]/Table2[[#This Row],[Superficie totale (ha)]]</f>
        <v>#DIV/0!</v>
      </c>
    </row>
    <row r="544" spans="1:34" ht="33.75" customHeight="1">
      <c r="A544" s="196" t="s">
        <v>3209</v>
      </c>
      <c r="C544" s="318">
        <v>45700</v>
      </c>
      <c r="F544" t="s">
        <v>3210</v>
      </c>
      <c r="I544" t="s">
        <v>476</v>
      </c>
      <c r="AH544" s="49"/>
    </row>
    <row r="545" spans="1:35" ht="33.75" customHeight="1">
      <c r="A545" s="196">
        <v>29249512</v>
      </c>
      <c r="C545" s="318">
        <v>45701</v>
      </c>
      <c r="D545" t="s">
        <v>3211</v>
      </c>
      <c r="E545" t="s">
        <v>3212</v>
      </c>
      <c r="F545" t="s">
        <v>3213</v>
      </c>
      <c r="G545" s="134">
        <v>715000</v>
      </c>
      <c r="I545" t="s">
        <v>1516</v>
      </c>
      <c r="J545" t="s">
        <v>3214</v>
      </c>
      <c r="K545" t="s">
        <v>3215</v>
      </c>
      <c r="L545" s="204">
        <v>45.837924000000001</v>
      </c>
      <c r="M545" s="204">
        <v>-74.261565000000004</v>
      </c>
      <c r="N545" s="211">
        <v>31.53</v>
      </c>
      <c r="O545" t="s">
        <v>25</v>
      </c>
      <c r="P545" t="s">
        <v>361</v>
      </c>
      <c r="Q545" s="199">
        <v>31.53</v>
      </c>
      <c r="S545" s="62" t="s">
        <v>62</v>
      </c>
      <c r="T545" s="219">
        <v>0.75</v>
      </c>
      <c r="U545" s="219">
        <v>0.25</v>
      </c>
      <c r="V545" s="219">
        <v>0.7</v>
      </c>
      <c r="W545" s="489"/>
      <c r="X545" s="219"/>
      <c r="AD545" s="273"/>
      <c r="AF545" t="s">
        <v>3216</v>
      </c>
      <c r="AH545" s="49">
        <f>Table2[[#This Row],[Prix de vente ($)]]/Table2[[#This Row],[Superficie totale (ha)]]</f>
        <v>22676.815731049792</v>
      </c>
    </row>
    <row r="546" spans="1:35" ht="33.75" customHeight="1">
      <c r="A546" s="196">
        <v>29258424</v>
      </c>
      <c r="C546" s="318">
        <v>45706</v>
      </c>
      <c r="D546" s="239" t="s">
        <v>3217</v>
      </c>
      <c r="E546" s="239" t="s">
        <v>3218</v>
      </c>
      <c r="F546" s="239" t="s">
        <v>3219</v>
      </c>
      <c r="G546" s="306">
        <v>350000</v>
      </c>
      <c r="I546" t="s">
        <v>50</v>
      </c>
      <c r="J546" t="s">
        <v>3220</v>
      </c>
      <c r="L546" s="204">
        <v>45.962884000000003</v>
      </c>
      <c r="M546" s="204">
        <v>-70.625201000000004</v>
      </c>
      <c r="N546" s="211">
        <v>72.650000000000006</v>
      </c>
      <c r="O546" t="s">
        <v>18</v>
      </c>
      <c r="P546" t="s">
        <v>384</v>
      </c>
      <c r="Q546" s="211">
        <v>72.650000000000006</v>
      </c>
      <c r="S546" s="94" t="s">
        <v>20</v>
      </c>
      <c r="T546" s="222">
        <v>0.65</v>
      </c>
      <c r="U546" s="222">
        <v>0.35</v>
      </c>
      <c r="V546" s="222">
        <v>0.85</v>
      </c>
      <c r="AC546" s="63">
        <f>4.4+6.1+3.1</f>
        <v>13.6</v>
      </c>
      <c r="AF546" t="s">
        <v>3221</v>
      </c>
      <c r="AH546" s="49">
        <f>Table2[[#This Row],[Prix de vente ($)]]/Table2[[#This Row],[Superficie totale (ha)]]</f>
        <v>4817.6187198898824</v>
      </c>
    </row>
    <row r="547" spans="1:35" ht="33.75" customHeight="1">
      <c r="A547" s="196">
        <v>29264349</v>
      </c>
      <c r="C547" s="318">
        <v>45708</v>
      </c>
      <c r="D547" t="s">
        <v>3222</v>
      </c>
      <c r="E547" t="s">
        <v>3223</v>
      </c>
      <c r="F547" s="269">
        <v>5843316</v>
      </c>
      <c r="G547" s="134">
        <v>300000</v>
      </c>
      <c r="I547" t="s">
        <v>1352</v>
      </c>
      <c r="J547" t="s">
        <v>3085</v>
      </c>
      <c r="K547" s="20" t="s">
        <v>3224</v>
      </c>
      <c r="L547" s="205" t="s">
        <v>3225</v>
      </c>
      <c r="M547" s="270" t="s">
        <v>3226</v>
      </c>
      <c r="N547" s="211">
        <v>31.64</v>
      </c>
      <c r="O547" t="s">
        <v>25</v>
      </c>
      <c r="P547" t="s">
        <v>19</v>
      </c>
      <c r="Q547" s="211">
        <f>Table2[[#This Row],[Superficie totale (ha)]]</f>
        <v>31.64</v>
      </c>
      <c r="S547" s="181" t="s">
        <v>20</v>
      </c>
      <c r="T547" s="222">
        <v>0.8</v>
      </c>
      <c r="U547" s="222">
        <v>0.2</v>
      </c>
      <c r="V547" s="222" t="s">
        <v>243</v>
      </c>
      <c r="AC547" s="63">
        <v>17.3</v>
      </c>
      <c r="AF547" t="s">
        <v>3227</v>
      </c>
      <c r="AH547" s="49">
        <f>Table2[[#This Row],[Prix de vente ($)]]/Table2[[#This Row],[Superficie totale (ha)]]</f>
        <v>9481.6687737041721</v>
      </c>
    </row>
    <row r="548" spans="1:35" ht="33.75" customHeight="1">
      <c r="A548" s="196">
        <v>29263583</v>
      </c>
      <c r="C548" s="318">
        <v>45708</v>
      </c>
      <c r="D548" t="s">
        <v>3228</v>
      </c>
      <c r="E548" t="s">
        <v>3229</v>
      </c>
      <c r="F548" t="s">
        <v>3230</v>
      </c>
      <c r="G548" s="134">
        <v>180000</v>
      </c>
      <c r="I548" t="s">
        <v>53</v>
      </c>
      <c r="J548" t="s">
        <v>55</v>
      </c>
      <c r="K548" t="s">
        <v>1211</v>
      </c>
      <c r="L548" s="205" t="s">
        <v>3231</v>
      </c>
      <c r="M548" s="270" t="s">
        <v>3232</v>
      </c>
      <c r="N548" s="211">
        <f>3.45+99.11</f>
        <v>102.56</v>
      </c>
      <c r="O548" t="s">
        <v>25</v>
      </c>
      <c r="P548" t="s">
        <v>63</v>
      </c>
      <c r="S548" s="94" t="s">
        <v>175</v>
      </c>
      <c r="T548" s="222">
        <v>0.5</v>
      </c>
      <c r="U548" s="222">
        <v>0.5</v>
      </c>
      <c r="V548" s="222" t="s">
        <v>362</v>
      </c>
      <c r="AC548" s="63">
        <v>4.8</v>
      </c>
      <c r="AF548" t="s">
        <v>3233</v>
      </c>
      <c r="AH548" s="49">
        <f>Table2[[#This Row],[Prix de vente ($)]]/Table2[[#This Row],[Superficie totale (ha)]]</f>
        <v>1755.0702028081123</v>
      </c>
    </row>
    <row r="549" spans="1:35" ht="33.75" customHeight="1">
      <c r="A549" s="196">
        <v>29265622</v>
      </c>
      <c r="C549" s="318">
        <v>45709</v>
      </c>
      <c r="F549" t="s">
        <v>3234</v>
      </c>
      <c r="G549" s="134">
        <v>250000</v>
      </c>
      <c r="I549" t="s">
        <v>58</v>
      </c>
      <c r="J549" t="s">
        <v>60</v>
      </c>
      <c r="L549" s="205" t="s">
        <v>3235</v>
      </c>
      <c r="M549" s="270" t="s">
        <v>3236</v>
      </c>
      <c r="N549" s="211">
        <v>39.01</v>
      </c>
      <c r="O549" t="s">
        <v>18</v>
      </c>
      <c r="P549" t="s">
        <v>35</v>
      </c>
      <c r="S549" s="94" t="s">
        <v>62</v>
      </c>
      <c r="T549" s="222">
        <v>0.8</v>
      </c>
      <c r="U549" s="222">
        <v>0.2</v>
      </c>
      <c r="V549" s="222" t="s">
        <v>243</v>
      </c>
      <c r="AC549" s="63">
        <v>2</v>
      </c>
      <c r="AF549" t="s">
        <v>3237</v>
      </c>
      <c r="AG549" t="s">
        <v>3238</v>
      </c>
      <c r="AH549" s="49">
        <f>Table2[[#This Row],[Prix de vente ($)]]/Table2[[#This Row],[Superficie totale (ha)]]</f>
        <v>6408.6131761086908</v>
      </c>
    </row>
    <row r="550" spans="1:35" ht="33.75" customHeight="1">
      <c r="A550" s="297" t="s">
        <v>3239</v>
      </c>
      <c r="C550" s="318">
        <v>45714</v>
      </c>
      <c r="D550" s="239" t="s">
        <v>3240</v>
      </c>
      <c r="E550" s="239" t="s">
        <v>3241</v>
      </c>
      <c r="F550" t="s">
        <v>3242</v>
      </c>
      <c r="G550" s="93">
        <v>240000</v>
      </c>
      <c r="I550" t="s">
        <v>1629</v>
      </c>
      <c r="J550" t="s">
        <v>1630</v>
      </c>
      <c r="K550" s="239" t="s">
        <v>3243</v>
      </c>
      <c r="L550" s="205">
        <v>45.472935</v>
      </c>
      <c r="M550" s="205">
        <v>-71.769124000000005</v>
      </c>
      <c r="N550" s="211">
        <v>23.38</v>
      </c>
      <c r="O550" t="s">
        <v>18</v>
      </c>
      <c r="P550" t="s">
        <v>1179</v>
      </c>
      <c r="Q550" s="211">
        <v>23.38</v>
      </c>
      <c r="S550" s="94" t="s">
        <v>62</v>
      </c>
      <c r="T550" s="222">
        <v>0.5</v>
      </c>
      <c r="U550" s="222">
        <v>0.5</v>
      </c>
      <c r="V550" s="222">
        <v>0.65</v>
      </c>
      <c r="AC550" s="63">
        <f>4.8+1.5</f>
        <v>6.3</v>
      </c>
      <c r="AF550" t="s">
        <v>3244</v>
      </c>
      <c r="AH550" s="49">
        <f>Table2[[#This Row],[Prix de vente ($)]]/Table2[[#This Row],[Superficie totale (ha)]]</f>
        <v>10265.183917878529</v>
      </c>
    </row>
    <row r="551" spans="1:35" ht="33.75" customHeight="1">
      <c r="A551" s="196">
        <v>29279032</v>
      </c>
      <c r="C551" s="318">
        <v>45716</v>
      </c>
      <c r="D551" s="247" t="s">
        <v>3245</v>
      </c>
      <c r="E551" s="247" t="s">
        <v>3246</v>
      </c>
      <c r="F551" s="247" t="s">
        <v>3247</v>
      </c>
      <c r="G551" s="134">
        <v>900000</v>
      </c>
      <c r="I551" t="s">
        <v>1477</v>
      </c>
      <c r="J551" s="247" t="s">
        <v>2835</v>
      </c>
      <c r="K551" s="247" t="s">
        <v>3248</v>
      </c>
      <c r="N551" s="211">
        <v>20.23</v>
      </c>
      <c r="O551" s="80" t="s">
        <v>3249</v>
      </c>
      <c r="P551" s="47" t="s">
        <v>35</v>
      </c>
      <c r="Q551" s="199">
        <v>20.07</v>
      </c>
      <c r="S551" s="181" t="s">
        <v>20</v>
      </c>
      <c r="T551" s="222">
        <v>0.75</v>
      </c>
      <c r="U551" s="222">
        <v>0.25</v>
      </c>
      <c r="V551" s="222">
        <v>0.85</v>
      </c>
      <c r="AF551" t="s">
        <v>3250</v>
      </c>
      <c r="AH551" s="49">
        <f>Table2[[#This Row],[Prix de vente ($)]]/Table2[[#This Row],[Superficie totale (ha)]]</f>
        <v>44488.383588729608</v>
      </c>
    </row>
    <row r="552" spans="1:35" ht="33.75" customHeight="1">
      <c r="A552" s="196" t="s">
        <v>3251</v>
      </c>
      <c r="C552" s="318">
        <v>45716</v>
      </c>
      <c r="F552" t="s">
        <v>3252</v>
      </c>
      <c r="G552" s="93">
        <v>185000</v>
      </c>
      <c r="I552" t="s">
        <v>1363</v>
      </c>
      <c r="AH552" s="49"/>
    </row>
    <row r="553" spans="1:35" ht="33.75" customHeight="1">
      <c r="A553" s="196">
        <v>29284043</v>
      </c>
      <c r="C553" s="318">
        <v>45719</v>
      </c>
      <c r="D553" t="s">
        <v>698</v>
      </c>
      <c r="E553" t="s">
        <v>3253</v>
      </c>
      <c r="F553" t="s">
        <v>3254</v>
      </c>
      <c r="G553" s="134">
        <v>170000</v>
      </c>
      <c r="I553" t="s">
        <v>2245</v>
      </c>
      <c r="J553" t="s">
        <v>2337</v>
      </c>
      <c r="K553" t="s">
        <v>2804</v>
      </c>
      <c r="L553" s="205" t="s">
        <v>3255</v>
      </c>
      <c r="M553" s="270" t="s">
        <v>3256</v>
      </c>
      <c r="N553" s="211">
        <f>26.77+31.86+0.06+0.85</f>
        <v>59.54</v>
      </c>
      <c r="O553" t="s">
        <v>25</v>
      </c>
      <c r="P553" t="s">
        <v>1179</v>
      </c>
      <c r="Q553" s="211">
        <f>Table2[[#This Row],[Superficie totale (ha)]]</f>
        <v>59.54</v>
      </c>
      <c r="S553" s="16" t="s">
        <v>33</v>
      </c>
      <c r="T553" s="222">
        <v>0.3</v>
      </c>
      <c r="U553" s="222">
        <v>0.7</v>
      </c>
      <c r="V553" s="222" t="s">
        <v>3257</v>
      </c>
      <c r="AF553" t="s">
        <v>3258</v>
      </c>
      <c r="AH553" s="49">
        <f>Table2[[#This Row],[Prix de vente ($)]]/Table2[[#This Row],[Superficie totale (ha)]]</f>
        <v>2855.2233792408465</v>
      </c>
    </row>
    <row r="554" spans="1:35" ht="33.75" customHeight="1">
      <c r="A554" s="196">
        <v>29286224</v>
      </c>
      <c r="C554" s="318">
        <v>45720</v>
      </c>
      <c r="D554" s="249" t="s">
        <v>3259</v>
      </c>
      <c r="E554" s="249" t="s">
        <v>3260</v>
      </c>
      <c r="F554" s="249" t="s">
        <v>3261</v>
      </c>
      <c r="G554" s="93">
        <v>430000</v>
      </c>
      <c r="I554" t="s">
        <v>1597</v>
      </c>
      <c r="J554" t="s">
        <v>3064</v>
      </c>
      <c r="L554" s="205">
        <v>45.366982</v>
      </c>
      <c r="M554" s="205">
        <v>-72.148349999999994</v>
      </c>
      <c r="N554" s="211">
        <v>17.13</v>
      </c>
      <c r="O554" t="s">
        <v>25</v>
      </c>
      <c r="P554" t="s">
        <v>63</v>
      </c>
      <c r="S554" s="94" t="s">
        <v>20</v>
      </c>
      <c r="T554" s="222">
        <v>1</v>
      </c>
      <c r="U554" s="222">
        <v>0</v>
      </c>
      <c r="V554" s="222">
        <v>0.95</v>
      </c>
      <c r="AC554" s="63">
        <v>13.93</v>
      </c>
      <c r="AF554" t="s">
        <v>3262</v>
      </c>
      <c r="AH554" s="49">
        <f>Table2[[#This Row],[Prix de vente ($)]]/Table2[[#This Row],[Superficie totale (ha)]]</f>
        <v>25102.159953298309</v>
      </c>
    </row>
    <row r="555" spans="1:35" ht="33.75" customHeight="1">
      <c r="A555" s="196">
        <v>29287620</v>
      </c>
      <c r="C555" s="318">
        <v>45721</v>
      </c>
      <c r="D555" s="266" t="s">
        <v>3263</v>
      </c>
      <c r="E555" s="266" t="s">
        <v>3264</v>
      </c>
      <c r="F555" s="285" t="s">
        <v>3265</v>
      </c>
      <c r="G555" s="134">
        <v>250000</v>
      </c>
      <c r="I555" t="s">
        <v>16</v>
      </c>
      <c r="J555" t="s">
        <v>3266</v>
      </c>
      <c r="L555" s="205">
        <v>46.673068999999998</v>
      </c>
      <c r="M555" s="205">
        <v>-70.473172000000005</v>
      </c>
      <c r="N555" s="211">
        <v>46.68</v>
      </c>
      <c r="O555" t="s">
        <v>18</v>
      </c>
      <c r="P555" t="s">
        <v>19</v>
      </c>
      <c r="Q555" s="211">
        <v>46.68</v>
      </c>
      <c r="S555" s="284" t="s">
        <v>20</v>
      </c>
      <c r="T555" s="222">
        <v>0.8</v>
      </c>
      <c r="U555" s="222">
        <v>0.2</v>
      </c>
      <c r="V555" s="222">
        <v>0.9</v>
      </c>
      <c r="AC555" s="63">
        <v>22.2</v>
      </c>
      <c r="AF555" t="s">
        <v>3267</v>
      </c>
      <c r="AH555" s="49">
        <f>Table2[[#This Row],[Prix de vente ($)]]/Table2[[#This Row],[Superficie totale (ha)]]</f>
        <v>5355.6126820908312</v>
      </c>
    </row>
    <row r="556" spans="1:35" ht="33.75" customHeight="1">
      <c r="A556" s="196" t="s">
        <v>3268</v>
      </c>
      <c r="C556" s="318">
        <v>45721</v>
      </c>
      <c r="D556" t="s">
        <v>3269</v>
      </c>
      <c r="E556" t="s">
        <v>3270</v>
      </c>
      <c r="F556" t="s">
        <v>3271</v>
      </c>
      <c r="G556" s="93">
        <v>1600000</v>
      </c>
      <c r="I556" t="s">
        <v>594</v>
      </c>
      <c r="J556" t="s">
        <v>3272</v>
      </c>
      <c r="K556" t="s">
        <v>3273</v>
      </c>
      <c r="L556" s="205">
        <v>45.530240999999997</v>
      </c>
      <c r="M556" s="270" t="s">
        <v>3274</v>
      </c>
      <c r="N556" s="211">
        <f>42.27+100.08</f>
        <v>142.35</v>
      </c>
      <c r="O556" t="s">
        <v>18</v>
      </c>
      <c r="P556" t="s">
        <v>63</v>
      </c>
      <c r="S556" s="94" t="s">
        <v>20</v>
      </c>
      <c r="T556" s="222">
        <v>0.7</v>
      </c>
      <c r="U556" s="222">
        <v>0.3</v>
      </c>
      <c r="V556" s="222">
        <v>0.6</v>
      </c>
      <c r="Y556" t="s">
        <v>36</v>
      </c>
      <c r="AC556" s="63">
        <f>49.6+23.4</f>
        <v>73</v>
      </c>
      <c r="AE556" s="63">
        <v>37834</v>
      </c>
      <c r="AF556" t="s">
        <v>3275</v>
      </c>
      <c r="AH556" s="49">
        <f>Table2[[#This Row],[Prix de vente ($)]]/Table2[[#This Row],[Superficie totale (ha)]]</f>
        <v>11239.901650860555</v>
      </c>
    </row>
    <row r="557" spans="1:35" ht="33.75" customHeight="1">
      <c r="A557" s="196" t="s">
        <v>3276</v>
      </c>
      <c r="C557" s="318">
        <v>45722</v>
      </c>
      <c r="F557" t="s">
        <v>3277</v>
      </c>
      <c r="I557" t="s">
        <v>328</v>
      </c>
      <c r="AH557" s="49"/>
    </row>
    <row r="558" spans="1:35" ht="33.75" customHeight="1">
      <c r="A558" s="196">
        <v>29293229</v>
      </c>
      <c r="C558" s="318">
        <v>45723</v>
      </c>
      <c r="D558" s="265" t="s">
        <v>3278</v>
      </c>
      <c r="E558" s="265" t="s">
        <v>3279</v>
      </c>
      <c r="F558" s="287" t="s">
        <v>3280</v>
      </c>
      <c r="G558" s="134">
        <v>168000</v>
      </c>
      <c r="I558" t="s">
        <v>16</v>
      </c>
      <c r="J558" t="s">
        <v>3266</v>
      </c>
      <c r="L558" s="205">
        <v>46.721341000000002</v>
      </c>
      <c r="M558" s="205">
        <v>-70.434580999999994</v>
      </c>
      <c r="N558" s="211">
        <v>21.2</v>
      </c>
      <c r="O558" t="s">
        <v>18</v>
      </c>
      <c r="P558" t="s">
        <v>19</v>
      </c>
      <c r="Q558" s="211">
        <v>21.2</v>
      </c>
      <c r="S558" s="284" t="s">
        <v>20</v>
      </c>
      <c r="T558" s="222">
        <v>0.6</v>
      </c>
      <c r="U558" s="222">
        <v>0.4</v>
      </c>
      <c r="V558" s="222">
        <v>0.65</v>
      </c>
      <c r="AC558" s="63">
        <v>10.6</v>
      </c>
      <c r="AF558" t="s">
        <v>3281</v>
      </c>
      <c r="AH558" s="49">
        <f>Table2[[#This Row],[Prix de vente ($)]]/Table2[[#This Row],[Superficie totale (ha)]]</f>
        <v>7924.5283018867931</v>
      </c>
    </row>
    <row r="559" spans="1:35" ht="33.75" customHeight="1">
      <c r="A559" s="458" t="s">
        <v>3282</v>
      </c>
      <c r="C559" s="460">
        <v>45723</v>
      </c>
      <c r="F559" s="223" t="s">
        <v>3283</v>
      </c>
      <c r="G559" s="366">
        <v>600000</v>
      </c>
      <c r="I559" t="s">
        <v>3161</v>
      </c>
      <c r="AH559" s="49"/>
    </row>
    <row r="560" spans="1:35" ht="33.75" customHeight="1">
      <c r="A560" s="351">
        <v>29300011</v>
      </c>
      <c r="B560" s="66"/>
      <c r="C560" s="362">
        <v>45727</v>
      </c>
      <c r="D560" s="66" t="s">
        <v>3284</v>
      </c>
      <c r="E560" s="66" t="s">
        <v>3285</v>
      </c>
      <c r="F560" s="467" t="s">
        <v>3286</v>
      </c>
      <c r="G560" s="353">
        <v>110000</v>
      </c>
      <c r="H560" s="66"/>
      <c r="I560" s="66" t="s">
        <v>74</v>
      </c>
      <c r="J560" s="66" t="s">
        <v>3287</v>
      </c>
      <c r="K560" s="66" t="s">
        <v>3288</v>
      </c>
      <c r="L560" s="207">
        <v>46.169034000000003</v>
      </c>
      <c r="M560" s="468" t="s">
        <v>3289</v>
      </c>
      <c r="N560" s="210">
        <v>8.91</v>
      </c>
      <c r="O560" s="66" t="s">
        <v>18</v>
      </c>
      <c r="P560" s="66" t="s">
        <v>19</v>
      </c>
      <c r="Q560" s="212">
        <v>8.91</v>
      </c>
      <c r="R560" s="66">
        <v>0</v>
      </c>
      <c r="S560" s="98" t="s">
        <v>20</v>
      </c>
      <c r="T560" s="221">
        <v>1</v>
      </c>
      <c r="U560" s="221">
        <v>0</v>
      </c>
      <c r="V560" s="221">
        <v>0.7</v>
      </c>
      <c r="W560" s="493"/>
      <c r="X560" s="221"/>
      <c r="Y560" s="66"/>
      <c r="Z560" s="123"/>
      <c r="AB560" s="66"/>
      <c r="AC560" s="466">
        <v>8.91</v>
      </c>
      <c r="AD560" s="354"/>
      <c r="AE560" s="123"/>
      <c r="AF560" s="66"/>
      <c r="AG560" s="66"/>
      <c r="AH560" s="74">
        <f>Table2[[#This Row],[Prix de vente ($)]]/Table2[[#This Row],[Superficie totale (ha)]]</f>
        <v>12345.679012345679</v>
      </c>
      <c r="AI560" s="66"/>
    </row>
    <row r="561" spans="1:34" ht="33.75" customHeight="1">
      <c r="A561" s="196" t="s">
        <v>3290</v>
      </c>
      <c r="C561" s="318">
        <v>45728</v>
      </c>
      <c r="F561" t="s">
        <v>3291</v>
      </c>
      <c r="G561" s="366">
        <v>265000</v>
      </c>
      <c r="I561" t="s">
        <v>2445</v>
      </c>
      <c r="J561" t="s">
        <v>3292</v>
      </c>
      <c r="N561" s="50">
        <v>11.5</v>
      </c>
      <c r="O561" s="50" t="s">
        <v>18</v>
      </c>
      <c r="P561" s="424" t="s">
        <v>35</v>
      </c>
      <c r="Q561" s="50">
        <v>11.5</v>
      </c>
      <c r="S561" s="50" t="s">
        <v>62</v>
      </c>
      <c r="T561" s="425">
        <v>0.9</v>
      </c>
      <c r="U561" s="425">
        <v>0.1</v>
      </c>
      <c r="V561" s="425">
        <v>0.85</v>
      </c>
      <c r="W561" s="494"/>
      <c r="X561" s="425"/>
      <c r="AC561" s="50">
        <v>9.5</v>
      </c>
      <c r="AF561" s="427" t="s">
        <v>3293</v>
      </c>
      <c r="AH561" s="49">
        <f>Table2[[#This Row],[Prix de vente ($)]]/Table2[[#This Row],[Superficie totale (ha)]]</f>
        <v>23043.478260869564</v>
      </c>
    </row>
    <row r="562" spans="1:34" ht="33.75" customHeight="1">
      <c r="A562" s="239" t="s">
        <v>3294</v>
      </c>
      <c r="C562" s="318">
        <v>45734</v>
      </c>
      <c r="D562" t="s">
        <v>3295</v>
      </c>
      <c r="E562" s="249" t="s">
        <v>3296</v>
      </c>
      <c r="F562" s="249" t="s">
        <v>3297</v>
      </c>
      <c r="G562" s="93">
        <v>400000</v>
      </c>
      <c r="I562" t="s">
        <v>1597</v>
      </c>
      <c r="J562" t="s">
        <v>3298</v>
      </c>
      <c r="L562" s="205">
        <v>45.201312999999999</v>
      </c>
      <c r="M562" s="205">
        <v>-72.170748000000003</v>
      </c>
      <c r="N562" s="211">
        <v>11.33</v>
      </c>
      <c r="O562" t="s">
        <v>25</v>
      </c>
      <c r="P562" t="s">
        <v>35</v>
      </c>
      <c r="S562" s="94" t="s">
        <v>20</v>
      </c>
      <c r="T562" s="222">
        <v>0.9</v>
      </c>
      <c r="U562" s="222">
        <v>0.1</v>
      </c>
      <c r="V562" s="222">
        <v>0.7</v>
      </c>
      <c r="AC562" s="63">
        <v>10.3</v>
      </c>
      <c r="AF562" t="s">
        <v>3299</v>
      </c>
      <c r="AH562" s="49">
        <f>Table2[[#This Row],[Prix de vente ($)]]/Table2[[#This Row],[Superficie totale (ha)]]</f>
        <v>35304.501323918797</v>
      </c>
    </row>
    <row r="563" spans="1:34" ht="33.75" customHeight="1">
      <c r="A563" s="297">
        <v>29314193</v>
      </c>
      <c r="C563" s="318">
        <v>45735</v>
      </c>
      <c r="D563" s="247" t="s">
        <v>3300</v>
      </c>
      <c r="E563" s="247" t="s">
        <v>3301</v>
      </c>
      <c r="F563" s="247" t="s">
        <v>3302</v>
      </c>
      <c r="G563" s="93">
        <v>160000</v>
      </c>
      <c r="I563" t="s">
        <v>50</v>
      </c>
      <c r="J563" t="s">
        <v>3303</v>
      </c>
      <c r="K563" s="247" t="s">
        <v>3304</v>
      </c>
      <c r="L563" s="205">
        <v>46.010347000000003</v>
      </c>
      <c r="M563" s="205">
        <v>-70.592240000000004</v>
      </c>
      <c r="N563" s="211">
        <v>18.18</v>
      </c>
      <c r="O563" t="s">
        <v>25</v>
      </c>
      <c r="P563" t="s">
        <v>384</v>
      </c>
      <c r="Q563" s="211">
        <v>18.18</v>
      </c>
      <c r="S563" s="94" t="s">
        <v>175</v>
      </c>
      <c r="T563" s="222">
        <v>0.5</v>
      </c>
      <c r="U563" s="222">
        <v>0.5</v>
      </c>
      <c r="V563" s="222">
        <v>0.9</v>
      </c>
      <c r="AC563" s="63">
        <v>0</v>
      </c>
      <c r="AH563" s="49">
        <f>Table2[[#This Row],[Prix de vente ($)]]/Table2[[#This Row],[Superficie totale (ha)]]</f>
        <v>8800.8800880088002</v>
      </c>
    </row>
    <row r="564" spans="1:34" ht="33.75" customHeight="1">
      <c r="A564" s="196" t="s">
        <v>3305</v>
      </c>
      <c r="C564" s="318">
        <v>45735</v>
      </c>
      <c r="F564" t="s">
        <v>3306</v>
      </c>
      <c r="G564" s="93">
        <v>400000</v>
      </c>
      <c r="I564" t="s">
        <v>515</v>
      </c>
      <c r="AH564" s="49" t="e">
        <f>Table2[[#This Row],[Prix de vente ($)]]/Table2[[#This Row],[Superficie totale (ha)]]</f>
        <v>#DIV/0!</v>
      </c>
    </row>
    <row r="565" spans="1:34" ht="33.75" customHeight="1">
      <c r="A565" s="196">
        <v>29317902</v>
      </c>
      <c r="C565" s="318">
        <v>45736</v>
      </c>
      <c r="D565" s="265" t="s">
        <v>3307</v>
      </c>
      <c r="E565" s="265" t="s">
        <v>3308</v>
      </c>
      <c r="F565" s="272" t="s">
        <v>3309</v>
      </c>
      <c r="G565" s="93">
        <v>200000</v>
      </c>
      <c r="I565" t="s">
        <v>3076</v>
      </c>
      <c r="J565" t="s">
        <v>3310</v>
      </c>
      <c r="L565" s="205">
        <v>47.108139999999999</v>
      </c>
      <c r="M565" s="205">
        <v>-69.815676999999994</v>
      </c>
      <c r="N565" s="211">
        <v>26</v>
      </c>
      <c r="O565" t="s">
        <v>25</v>
      </c>
      <c r="P565" t="s">
        <v>19</v>
      </c>
      <c r="Q565" s="211">
        <v>26</v>
      </c>
      <c r="S565" s="80" t="s">
        <v>62</v>
      </c>
      <c r="T565" s="222">
        <v>1</v>
      </c>
      <c r="U565" s="222">
        <v>0</v>
      </c>
      <c r="V565" s="222">
        <v>0.75</v>
      </c>
      <c r="AC565" s="63">
        <v>17.7</v>
      </c>
      <c r="AF565" t="s">
        <v>3311</v>
      </c>
      <c r="AH565" s="49">
        <f>Table2[[#This Row],[Prix de vente ($)]]/Table2[[#This Row],[Superficie totale (ha)]]</f>
        <v>7692.3076923076924</v>
      </c>
    </row>
    <row r="566" spans="1:34" ht="33.75" customHeight="1">
      <c r="A566" s="196">
        <v>29322174</v>
      </c>
      <c r="C566" s="318">
        <v>45740</v>
      </c>
      <c r="D566" s="247" t="s">
        <v>3312</v>
      </c>
      <c r="E566" s="247" t="s">
        <v>3313</v>
      </c>
      <c r="F566" s="247" t="s">
        <v>3314</v>
      </c>
      <c r="G566" s="134">
        <v>83000</v>
      </c>
      <c r="I566" t="s">
        <v>16</v>
      </c>
      <c r="J566" t="s">
        <v>3315</v>
      </c>
      <c r="L566" s="205">
        <v>46.731200000000001</v>
      </c>
      <c r="M566" s="205">
        <v>-70.747870000000006</v>
      </c>
      <c r="N566" s="211">
        <v>18.440000000000001</v>
      </c>
      <c r="O566" t="s">
        <v>18</v>
      </c>
      <c r="P566" t="s">
        <v>19</v>
      </c>
      <c r="Q566" s="211">
        <v>18.440000000000001</v>
      </c>
      <c r="S566" s="94" t="s">
        <v>310</v>
      </c>
      <c r="T566" s="222">
        <v>0.4</v>
      </c>
      <c r="U566" s="222">
        <v>0.6</v>
      </c>
      <c r="V566" s="222">
        <v>0.7</v>
      </c>
      <c r="AC566" s="63">
        <v>1.2</v>
      </c>
      <c r="AF566" t="s">
        <v>3316</v>
      </c>
      <c r="AH566" s="49">
        <f>Table2[[#This Row],[Prix de vente ($)]]/Table2[[#This Row],[Superficie totale (ha)]]</f>
        <v>4501.0845986984814</v>
      </c>
    </row>
    <row r="567" spans="1:34" ht="33.75" customHeight="1">
      <c r="A567" s="196">
        <v>29325623</v>
      </c>
      <c r="C567" s="318">
        <v>45741</v>
      </c>
      <c r="D567" t="s">
        <v>3317</v>
      </c>
      <c r="E567" t="s">
        <v>3318</v>
      </c>
      <c r="F567" s="269">
        <v>4987653</v>
      </c>
      <c r="G567" s="93">
        <v>190000</v>
      </c>
      <c r="I567" t="s">
        <v>2980</v>
      </c>
      <c r="J567" t="s">
        <v>3319</v>
      </c>
      <c r="K567" t="s">
        <v>3320</v>
      </c>
      <c r="L567" s="205" t="s">
        <v>3321</v>
      </c>
      <c r="M567" s="270" t="s">
        <v>3322</v>
      </c>
      <c r="N567" s="211">
        <v>46.89</v>
      </c>
      <c r="O567" t="s">
        <v>25</v>
      </c>
      <c r="P567" t="s">
        <v>63</v>
      </c>
      <c r="S567" s="94" t="s">
        <v>33</v>
      </c>
      <c r="T567" s="222">
        <v>0.4</v>
      </c>
      <c r="U567" s="222">
        <v>0.6</v>
      </c>
      <c r="V567" s="222">
        <v>0.8</v>
      </c>
      <c r="AC567" s="63">
        <v>6.6</v>
      </c>
      <c r="AF567" t="s">
        <v>3323</v>
      </c>
      <c r="AH567" s="49">
        <f>Table2[[#This Row],[Prix de vente ($)]]/Table2[[#This Row],[Superficie totale (ha)]]</f>
        <v>4052.0366815952229</v>
      </c>
    </row>
    <row r="568" spans="1:34">
      <c r="A568" s="196" t="s">
        <v>3324</v>
      </c>
      <c r="C568" s="318">
        <v>45741</v>
      </c>
      <c r="D568" t="s">
        <v>3325</v>
      </c>
      <c r="E568" t="s">
        <v>3326</v>
      </c>
      <c r="F568" t="s">
        <v>3327</v>
      </c>
      <c r="G568" s="93">
        <f>119861+33138</f>
        <v>152999</v>
      </c>
      <c r="I568" t="s">
        <v>556</v>
      </c>
      <c r="J568" t="s">
        <v>3328</v>
      </c>
      <c r="K568" t="s">
        <v>3329</v>
      </c>
      <c r="L568" s="205">
        <v>48.229588</v>
      </c>
      <c r="M568" s="270" t="s">
        <v>3330</v>
      </c>
      <c r="N568" s="211">
        <f>49.11+32.68+34.48</f>
        <v>116.26999999999998</v>
      </c>
      <c r="O568" t="s">
        <v>25</v>
      </c>
      <c r="P568" t="s">
        <v>63</v>
      </c>
      <c r="Q568" s="211">
        <f>Table2[[#This Row],[Superficie totale (ha)]]</f>
        <v>116.26999999999998</v>
      </c>
      <c r="S568" s="94" t="s">
        <v>33</v>
      </c>
      <c r="T568" s="222">
        <v>0.3</v>
      </c>
      <c r="U568" s="222">
        <v>0.7</v>
      </c>
      <c r="V568" s="222">
        <v>0.7</v>
      </c>
      <c r="AF568" t="s">
        <v>3331</v>
      </c>
      <c r="AH568" s="49"/>
    </row>
    <row r="569" spans="1:34" ht="45">
      <c r="A569" s="196" t="s">
        <v>3332</v>
      </c>
      <c r="C569" s="318">
        <v>45742</v>
      </c>
      <c r="D569" t="s">
        <v>3333</v>
      </c>
      <c r="E569" t="s">
        <v>3334</v>
      </c>
      <c r="F569" t="s">
        <v>3335</v>
      </c>
      <c r="G569" s="93">
        <v>400000</v>
      </c>
      <c r="I569" t="s">
        <v>34</v>
      </c>
      <c r="J569" t="s">
        <v>3198</v>
      </c>
      <c r="K569" t="s">
        <v>3336</v>
      </c>
      <c r="L569" s="205">
        <v>45.784511999999999</v>
      </c>
      <c r="M569" s="270" t="s">
        <v>3337</v>
      </c>
      <c r="N569" s="211">
        <v>15.65</v>
      </c>
      <c r="O569" t="s">
        <v>18</v>
      </c>
      <c r="P569" t="s">
        <v>206</v>
      </c>
      <c r="S569" s="94" t="s">
        <v>20</v>
      </c>
      <c r="T569" s="222">
        <v>0.9</v>
      </c>
      <c r="U569" s="222">
        <v>0.1</v>
      </c>
      <c r="V569" s="222">
        <v>0.85</v>
      </c>
      <c r="AC569" s="63">
        <v>15.65</v>
      </c>
      <c r="AF569" s="20" t="s">
        <v>3338</v>
      </c>
      <c r="AH569" s="49">
        <f>Table2[[#This Row],[Prix de vente ($)]]/Table2[[#This Row],[Superficie totale (ha)]]</f>
        <v>25559.105431309905</v>
      </c>
    </row>
    <row r="570" spans="1:34">
      <c r="A570" s="196" t="s">
        <v>3339</v>
      </c>
      <c r="C570" s="318">
        <v>45748</v>
      </c>
      <c r="F570" t="s">
        <v>3340</v>
      </c>
      <c r="I570" t="s">
        <v>909</v>
      </c>
      <c r="J570" t="s">
        <v>910</v>
      </c>
      <c r="AH570" s="49" t="e">
        <f>Table2[[#This Row],[Prix de vente ($)]]/Table2[[#This Row],[Superficie totale (ha)]]</f>
        <v>#DIV/0!</v>
      </c>
    </row>
    <row r="571" spans="1:34" ht="15.75">
      <c r="A571" s="196">
        <v>29345113</v>
      </c>
      <c r="C571" s="318">
        <v>45749</v>
      </c>
      <c r="D571" s="249" t="s">
        <v>3341</v>
      </c>
      <c r="E571" s="249" t="s">
        <v>3342</v>
      </c>
      <c r="F571" s="249" t="s">
        <v>3343</v>
      </c>
      <c r="G571" s="134">
        <v>16500</v>
      </c>
      <c r="I571" t="s">
        <v>2108</v>
      </c>
      <c r="J571" t="s">
        <v>2488</v>
      </c>
      <c r="N571" s="211">
        <v>2.92</v>
      </c>
      <c r="O571" t="s">
        <v>25</v>
      </c>
      <c r="P571" t="s">
        <v>173</v>
      </c>
      <c r="Q571" s="211">
        <v>2.92</v>
      </c>
      <c r="S571" s="181" t="s">
        <v>20</v>
      </c>
      <c r="T571" s="222">
        <v>0.9</v>
      </c>
      <c r="U571" s="222">
        <v>0.1</v>
      </c>
      <c r="V571" s="222">
        <v>0.85</v>
      </c>
      <c r="AC571" s="63">
        <v>2.6</v>
      </c>
      <c r="AF571" t="s">
        <v>3344</v>
      </c>
      <c r="AH571" s="49">
        <f>Table2[[#This Row],[Prix de vente ($)]]/Table2[[#This Row],[Superficie totale (ha)]]</f>
        <v>5650.6849315068494</v>
      </c>
    </row>
    <row r="572" spans="1:34">
      <c r="A572" s="196">
        <v>29344558</v>
      </c>
      <c r="C572" s="318">
        <v>45749</v>
      </c>
      <c r="D572" t="s">
        <v>3345</v>
      </c>
      <c r="E572" t="s">
        <v>3346</v>
      </c>
      <c r="F572" t="s">
        <v>3347</v>
      </c>
      <c r="G572" s="93">
        <v>145000</v>
      </c>
      <c r="I572" t="s">
        <v>2980</v>
      </c>
      <c r="J572" t="s">
        <v>3348</v>
      </c>
      <c r="K572" t="s">
        <v>3349</v>
      </c>
      <c r="L572" s="205" t="s">
        <v>3350</v>
      </c>
      <c r="M572" s="270" t="s">
        <v>3351</v>
      </c>
      <c r="N572" s="211">
        <f>24.6+34.14+5.89+15.6</f>
        <v>80.22999999999999</v>
      </c>
      <c r="O572" t="s">
        <v>18</v>
      </c>
      <c r="P572" t="s">
        <v>206</v>
      </c>
      <c r="R572">
        <v>2.2000000000000002</v>
      </c>
      <c r="S572" s="94" t="s">
        <v>33</v>
      </c>
      <c r="T572" s="222">
        <v>0.3</v>
      </c>
      <c r="U572" s="222">
        <v>0.7</v>
      </c>
      <c r="V572" s="222">
        <v>0.5</v>
      </c>
      <c r="AF572" t="s">
        <v>3352</v>
      </c>
      <c r="AG572" t="s">
        <v>3353</v>
      </c>
      <c r="AH572" s="49">
        <f>Table2[[#This Row],[Prix de vente ($)]]/Table2[[#This Row],[Superficie totale (ha)]]</f>
        <v>1807.3040009971335</v>
      </c>
    </row>
    <row r="573" spans="1:34">
      <c r="A573" s="196">
        <v>29346422</v>
      </c>
      <c r="C573" s="318">
        <v>45749</v>
      </c>
      <c r="F573" s="269">
        <v>6670578</v>
      </c>
      <c r="G573" s="134">
        <v>408000</v>
      </c>
      <c r="I573" t="s">
        <v>58</v>
      </c>
      <c r="J573" t="s">
        <v>2346</v>
      </c>
      <c r="L573" s="204" t="s">
        <v>3354</v>
      </c>
      <c r="M573" s="277" t="s">
        <v>3355</v>
      </c>
      <c r="N573" s="211">
        <v>103.5</v>
      </c>
      <c r="O573" t="s">
        <v>18</v>
      </c>
      <c r="P573" t="s">
        <v>3356</v>
      </c>
      <c r="S573" s="62" t="s">
        <v>175</v>
      </c>
      <c r="T573" s="219">
        <v>0.5</v>
      </c>
      <c r="U573" s="219">
        <v>0.5</v>
      </c>
      <c r="V573" s="219" t="s">
        <v>1214</v>
      </c>
      <c r="W573" s="489"/>
      <c r="X573" s="219"/>
      <c r="AC573" s="63">
        <v>4.3</v>
      </c>
      <c r="AD573" s="273"/>
      <c r="AH573" s="49">
        <f>Table2[[#This Row],[Prix de vente ($)]]/Table2[[#This Row],[Superficie totale (ha)]]</f>
        <v>3942.0289855072465</v>
      </c>
    </row>
    <row r="574" spans="1:34" ht="15.75">
      <c r="A574" s="196">
        <v>29346859</v>
      </c>
      <c r="C574" s="318">
        <v>45750</v>
      </c>
      <c r="D574" s="249" t="s">
        <v>3357</v>
      </c>
      <c r="E574" s="249" t="s">
        <v>3358</v>
      </c>
      <c r="F574" s="20" t="s">
        <v>3359</v>
      </c>
      <c r="G574" s="134">
        <v>27500</v>
      </c>
      <c r="I574" t="s">
        <v>2108</v>
      </c>
      <c r="J574" t="s">
        <v>1182</v>
      </c>
      <c r="L574" s="204"/>
      <c r="M574" s="204"/>
      <c r="N574" s="211">
        <v>4.16</v>
      </c>
      <c r="O574" t="s">
        <v>18</v>
      </c>
      <c r="P574" s="47" t="s">
        <v>35</v>
      </c>
      <c r="Q574" s="211">
        <v>4.16</v>
      </c>
      <c r="S574" s="284" t="s">
        <v>20</v>
      </c>
      <c r="T574" s="219">
        <v>1</v>
      </c>
      <c r="U574" s="219">
        <v>0</v>
      </c>
      <c r="V574" s="219">
        <v>0.75</v>
      </c>
      <c r="W574" s="489"/>
      <c r="X574" s="219"/>
      <c r="AC574" s="63">
        <v>0</v>
      </c>
      <c r="AD574" s="273"/>
      <c r="AF574" t="s">
        <v>3360</v>
      </c>
      <c r="AH574" s="49">
        <f>Table2[[#This Row],[Prix de vente ($)]]/Table2[[#This Row],[Superficie totale (ha)]]</f>
        <v>6610.5769230769229</v>
      </c>
    </row>
    <row r="575" spans="1:34">
      <c r="A575" s="297">
        <v>29347799</v>
      </c>
      <c r="C575" s="318">
        <v>45750</v>
      </c>
      <c r="D575" s="239" t="s">
        <v>3361</v>
      </c>
      <c r="E575" s="239" t="s">
        <v>3362</v>
      </c>
      <c r="F575" s="239" t="s">
        <v>3363</v>
      </c>
      <c r="G575" s="93">
        <v>300000</v>
      </c>
      <c r="I575" t="s">
        <v>50</v>
      </c>
      <c r="J575" t="s">
        <v>3364</v>
      </c>
      <c r="K575" s="239" t="s">
        <v>3365</v>
      </c>
      <c r="L575" s="205">
        <v>46.051354000000003</v>
      </c>
      <c r="M575" s="205">
        <v>-70.444546000000003</v>
      </c>
      <c r="N575" s="211">
        <v>42.69</v>
      </c>
      <c r="O575" t="s">
        <v>18</v>
      </c>
      <c r="P575" t="s">
        <v>206</v>
      </c>
      <c r="Q575" s="211">
        <v>42.69</v>
      </c>
      <c r="S575" s="94" t="s">
        <v>33</v>
      </c>
      <c r="T575" s="222">
        <v>0.1</v>
      </c>
      <c r="U575" s="222">
        <v>0.9</v>
      </c>
      <c r="V575" s="222">
        <v>0.7</v>
      </c>
      <c r="AC575" s="63">
        <v>0</v>
      </c>
      <c r="AF575" t="s">
        <v>3366</v>
      </c>
      <c r="AH575" s="49">
        <f>Table2[[#This Row],[Prix de vente ($)]]/Table2[[#This Row],[Superficie totale (ha)]]</f>
        <v>7027.4068868587492</v>
      </c>
    </row>
    <row r="576" spans="1:34">
      <c r="A576" s="196" t="s">
        <v>3367</v>
      </c>
      <c r="C576" s="318">
        <v>45750</v>
      </c>
      <c r="F576" t="s">
        <v>3368</v>
      </c>
      <c r="I576" t="s">
        <v>258</v>
      </c>
      <c r="AH576" s="49"/>
    </row>
    <row r="577" spans="1:34" ht="36">
      <c r="A577" s="196" t="s">
        <v>3369</v>
      </c>
      <c r="C577" s="318">
        <v>45750</v>
      </c>
      <c r="F577" t="s">
        <v>3370</v>
      </c>
      <c r="G577" s="366">
        <v>35000</v>
      </c>
      <c r="I577" t="s">
        <v>2445</v>
      </c>
      <c r="J577" t="s">
        <v>3371</v>
      </c>
      <c r="N577" s="50">
        <v>6.48</v>
      </c>
      <c r="O577" s="50" t="s">
        <v>18</v>
      </c>
      <c r="P577" s="424" t="s">
        <v>35</v>
      </c>
      <c r="Q577" s="50">
        <v>6.48</v>
      </c>
      <c r="S577" s="50" t="s">
        <v>62</v>
      </c>
      <c r="T577" s="425">
        <v>0.65</v>
      </c>
      <c r="U577" s="425">
        <v>0.35</v>
      </c>
      <c r="V577" s="425">
        <v>0.75</v>
      </c>
      <c r="W577" s="494"/>
      <c r="X577" s="425"/>
      <c r="AC577" s="50">
        <v>0</v>
      </c>
      <c r="AF577" s="426" t="s">
        <v>3372</v>
      </c>
      <c r="AH577" s="49">
        <f>Table2[[#This Row],[Prix de vente ($)]]/Table2[[#This Row],[Superficie totale (ha)]]</f>
        <v>5401.2345679012342</v>
      </c>
    </row>
    <row r="578" spans="1:34">
      <c r="A578" s="196" t="s">
        <v>3373</v>
      </c>
      <c r="C578" s="318">
        <v>45750</v>
      </c>
      <c r="F578" t="s">
        <v>3374</v>
      </c>
      <c r="I578" t="s">
        <v>328</v>
      </c>
      <c r="AH578" s="49"/>
    </row>
    <row r="579" spans="1:34" ht="15.75">
      <c r="A579" s="196">
        <v>29351706</v>
      </c>
      <c r="C579" s="318">
        <v>45751</v>
      </c>
      <c r="D579" s="249" t="s">
        <v>3375</v>
      </c>
      <c r="E579" s="249" t="s">
        <v>3376</v>
      </c>
      <c r="F579" t="s">
        <v>3377</v>
      </c>
      <c r="G579" s="134">
        <v>205000</v>
      </c>
      <c r="I579" t="s">
        <v>16</v>
      </c>
      <c r="J579" t="s">
        <v>3378</v>
      </c>
      <c r="L579" s="205">
        <v>46.453071999999999</v>
      </c>
      <c r="M579" s="205">
        <v>-70.585013000000004</v>
      </c>
      <c r="N579" s="211">
        <v>23.62</v>
      </c>
      <c r="O579" t="s">
        <v>18</v>
      </c>
      <c r="P579" t="s">
        <v>173</v>
      </c>
      <c r="Q579" s="211">
        <v>23.62</v>
      </c>
      <c r="S579" s="284" t="s">
        <v>20</v>
      </c>
      <c r="T579" s="222">
        <v>0.7</v>
      </c>
      <c r="U579" s="222">
        <v>0.3</v>
      </c>
      <c r="V579" s="222">
        <v>0.7</v>
      </c>
      <c r="AC579" s="63">
        <v>8.3000000000000007</v>
      </c>
      <c r="AF579" t="s">
        <v>3379</v>
      </c>
      <c r="AH579" s="49">
        <f>Table2[[#This Row],[Prix de vente ($)]]/Table2[[#This Row],[Superficie totale (ha)]]</f>
        <v>8679.0855207451314</v>
      </c>
    </row>
    <row r="580" spans="1:34">
      <c r="A580" s="196" t="s">
        <v>3380</v>
      </c>
      <c r="C580" s="318">
        <v>45751</v>
      </c>
      <c r="D580" t="s">
        <v>3381</v>
      </c>
      <c r="E580" s="20" t="s">
        <v>3382</v>
      </c>
      <c r="F580">
        <v>5622821</v>
      </c>
      <c r="G580" s="93">
        <v>694000</v>
      </c>
      <c r="I580" t="s">
        <v>594</v>
      </c>
      <c r="J580" t="s">
        <v>760</v>
      </c>
      <c r="K580" t="s">
        <v>3383</v>
      </c>
      <c r="L580" s="205">
        <v>45.295811</v>
      </c>
      <c r="M580" s="270" t="s">
        <v>3384</v>
      </c>
      <c r="N580" s="211">
        <v>32.83</v>
      </c>
      <c r="O580" t="s">
        <v>66</v>
      </c>
      <c r="P580" t="s">
        <v>206</v>
      </c>
      <c r="R580">
        <v>6.3</v>
      </c>
      <c r="S580" s="94" t="s">
        <v>20</v>
      </c>
      <c r="T580" s="222">
        <v>0.7</v>
      </c>
      <c r="U580" s="222">
        <v>0.3</v>
      </c>
      <c r="V580" s="222">
        <v>0.7</v>
      </c>
      <c r="AC580" s="63">
        <v>8</v>
      </c>
      <c r="AH580" s="49">
        <f>Table2[[#This Row],[Prix de vente ($)]]/Table2[[#This Row],[Superficie totale (ha)]]</f>
        <v>21139.20194943649</v>
      </c>
    </row>
    <row r="581" spans="1:34">
      <c r="A581" s="196" t="s">
        <v>3385</v>
      </c>
      <c r="C581" s="318">
        <v>45751</v>
      </c>
      <c r="F581" t="s">
        <v>3386</v>
      </c>
      <c r="I581" t="s">
        <v>476</v>
      </c>
      <c r="AH581" s="49" t="e">
        <f>Table2[[#This Row],[Prix de vente ($)]]/Table2[[#This Row],[Superficie totale (ha)]]</f>
        <v>#DIV/0!</v>
      </c>
    </row>
    <row r="582" spans="1:34">
      <c r="A582" s="196" t="s">
        <v>3387</v>
      </c>
      <c r="C582" s="318">
        <v>45751</v>
      </c>
      <c r="F582" t="s">
        <v>3388</v>
      </c>
      <c r="I582" t="s">
        <v>258</v>
      </c>
      <c r="AH582" s="49"/>
    </row>
    <row r="583" spans="1:34">
      <c r="A583" s="196">
        <v>29365735</v>
      </c>
      <c r="C583" s="318">
        <v>45758</v>
      </c>
      <c r="D583" t="s">
        <v>3389</v>
      </c>
      <c r="E583" t="s">
        <v>3390</v>
      </c>
      <c r="F583" t="s">
        <v>3391</v>
      </c>
      <c r="G583" s="93">
        <v>37500</v>
      </c>
      <c r="I583" t="s">
        <v>2980</v>
      </c>
      <c r="J583" t="s">
        <v>3392</v>
      </c>
      <c r="K583" t="s">
        <v>3393</v>
      </c>
      <c r="L583" s="205" t="s">
        <v>3394</v>
      </c>
      <c r="M583" s="270" t="s">
        <v>3395</v>
      </c>
      <c r="N583" s="211">
        <f>4.02+1.31+8.26+2.95</f>
        <v>16.54</v>
      </c>
      <c r="O583" t="s">
        <v>18</v>
      </c>
      <c r="P583" t="s">
        <v>317</v>
      </c>
      <c r="S583" s="94" t="s">
        <v>20</v>
      </c>
      <c r="T583" s="222">
        <v>0.6</v>
      </c>
      <c r="U583" s="222">
        <v>0.4</v>
      </c>
      <c r="V583" s="222">
        <v>0.75</v>
      </c>
      <c r="AC583" s="63">
        <v>6.3</v>
      </c>
      <c r="AF583" t="s">
        <v>3396</v>
      </c>
      <c r="AH583" s="49">
        <f>Table2[[#This Row],[Prix de vente ($)]]/Table2[[#This Row],[Superficie totale (ha)]]</f>
        <v>2267.2309552599759</v>
      </c>
    </row>
    <row r="584" spans="1:34">
      <c r="A584" s="196">
        <v>29378206</v>
      </c>
      <c r="C584" s="318">
        <v>45764</v>
      </c>
      <c r="D584" s="247" t="s">
        <v>3397</v>
      </c>
      <c r="E584" s="247" t="s">
        <v>3398</v>
      </c>
      <c r="F584" s="247" t="s">
        <v>3399</v>
      </c>
      <c r="G584" s="93">
        <v>415000</v>
      </c>
      <c r="I584" t="s">
        <v>50</v>
      </c>
      <c r="J584" t="s">
        <v>3400</v>
      </c>
      <c r="L584" s="205">
        <v>45.958362000000001</v>
      </c>
      <c r="M584" s="205">
        <v>-70.495053999999996</v>
      </c>
      <c r="N584" s="211">
        <v>31.21</v>
      </c>
      <c r="O584" t="s">
        <v>18</v>
      </c>
      <c r="P584" t="s">
        <v>173</v>
      </c>
      <c r="Q584" s="211">
        <v>31.21</v>
      </c>
      <c r="S584" s="94" t="s">
        <v>20</v>
      </c>
      <c r="T584" s="222">
        <v>0.9</v>
      </c>
      <c r="U584" s="222">
        <v>0.1</v>
      </c>
      <c r="V584" s="222">
        <v>0.85</v>
      </c>
      <c r="AC584" s="63">
        <v>16.5</v>
      </c>
      <c r="AF584" t="s">
        <v>3401</v>
      </c>
      <c r="AH584" s="49">
        <f>Table2[[#This Row],[Prix de vente ($)]]/Table2[[#This Row],[Superficie totale (ha)]]</f>
        <v>13297.020185837871</v>
      </c>
    </row>
    <row r="585" spans="1:34">
      <c r="A585" s="196" t="s">
        <v>3402</v>
      </c>
      <c r="C585" s="318">
        <v>45769</v>
      </c>
      <c r="F585" t="s">
        <v>3403</v>
      </c>
      <c r="I585" t="s">
        <v>201</v>
      </c>
      <c r="AH585" s="49" t="e">
        <f>Table2[[#This Row],[Prix de vente ($)]]/Table2[[#This Row],[Superficie totale (ha)]]</f>
        <v>#DIV/0!</v>
      </c>
    </row>
    <row r="586" spans="1:34">
      <c r="A586" s="196" t="s">
        <v>3404</v>
      </c>
      <c r="C586" s="318">
        <v>45769</v>
      </c>
      <c r="F586" t="s">
        <v>3405</v>
      </c>
      <c r="I586" t="s">
        <v>258</v>
      </c>
      <c r="AH586" s="49"/>
    </row>
    <row r="587" spans="1:34">
      <c r="A587" s="196" t="s">
        <v>3406</v>
      </c>
      <c r="C587" s="318">
        <v>45769</v>
      </c>
      <c r="F587" t="s">
        <v>1985</v>
      </c>
      <c r="G587" s="93">
        <v>150000</v>
      </c>
      <c r="I587" t="s">
        <v>3407</v>
      </c>
      <c r="AH587" s="49" t="e">
        <f>Table2[[#This Row],[Prix de vente ($)]]/Table2[[#This Row],[Superficie totale (ha)]]</f>
        <v>#DIV/0!</v>
      </c>
    </row>
    <row r="588" spans="1:34">
      <c r="A588" s="196" t="s">
        <v>3408</v>
      </c>
      <c r="C588" s="318">
        <v>45769</v>
      </c>
      <c r="F588" t="s">
        <v>3409</v>
      </c>
      <c r="I588" t="s">
        <v>328</v>
      </c>
      <c r="AH588" s="49"/>
    </row>
    <row r="589" spans="1:34">
      <c r="A589" s="297" t="s">
        <v>3410</v>
      </c>
      <c r="C589" s="318">
        <v>45772</v>
      </c>
      <c r="D589" s="247" t="s">
        <v>3411</v>
      </c>
      <c r="E589" t="s">
        <v>3412</v>
      </c>
      <c r="F589" t="s">
        <v>3413</v>
      </c>
      <c r="G589" s="93">
        <v>100000</v>
      </c>
      <c r="I589" t="s">
        <v>1629</v>
      </c>
      <c r="J589" t="s">
        <v>3414</v>
      </c>
      <c r="K589" s="247" t="s">
        <v>3415</v>
      </c>
      <c r="L589" s="205">
        <v>45.767747</v>
      </c>
      <c r="M589" s="205">
        <v>-71.454380999999998</v>
      </c>
      <c r="N589" s="211">
        <v>13.73</v>
      </c>
      <c r="O589" t="s">
        <v>18</v>
      </c>
      <c r="P589" t="s">
        <v>206</v>
      </c>
      <c r="Q589" s="211">
        <v>13.73</v>
      </c>
      <c r="S589" s="94" t="s">
        <v>62</v>
      </c>
      <c r="T589" s="222">
        <v>0.6</v>
      </c>
      <c r="U589" s="222">
        <v>0.4</v>
      </c>
      <c r="V589" s="222">
        <v>0.75</v>
      </c>
      <c r="AC589" s="63">
        <v>0</v>
      </c>
      <c r="AF589" t="s">
        <v>3416</v>
      </c>
      <c r="AH589" s="49">
        <f>Table2[[#This Row],[Prix de vente ($)]]/Table2[[#This Row],[Superficie totale (ha)]]</f>
        <v>7283.3211944646755</v>
      </c>
    </row>
    <row r="590" spans="1:34">
      <c r="A590" s="297" t="s">
        <v>3417</v>
      </c>
      <c r="C590" s="318">
        <v>45775</v>
      </c>
      <c r="D590" s="239" t="s">
        <v>3418</v>
      </c>
      <c r="E590" t="s">
        <v>3419</v>
      </c>
      <c r="F590" t="s">
        <v>3420</v>
      </c>
      <c r="G590" s="93">
        <v>97000</v>
      </c>
      <c r="I590" t="s">
        <v>1629</v>
      </c>
      <c r="J590" t="s">
        <v>3421</v>
      </c>
      <c r="K590" s="239" t="s">
        <v>3422</v>
      </c>
      <c r="L590" s="205">
        <v>45.54598</v>
      </c>
      <c r="M590" s="205">
        <v>-71.183381999999995</v>
      </c>
      <c r="N590" s="211">
        <v>5.9</v>
      </c>
      <c r="O590" t="s">
        <v>25</v>
      </c>
      <c r="P590" t="s">
        <v>35</v>
      </c>
      <c r="Q590" s="199">
        <v>5.9</v>
      </c>
      <c r="S590" s="94" t="s">
        <v>33</v>
      </c>
      <c r="T590" s="222">
        <v>0.2</v>
      </c>
      <c r="U590" s="222">
        <v>0.8</v>
      </c>
      <c r="V590" s="222">
        <v>0.6</v>
      </c>
      <c r="AC590" s="63">
        <v>0</v>
      </c>
      <c r="AF590" t="s">
        <v>3423</v>
      </c>
      <c r="AH590" s="49">
        <f>Table2[[#This Row],[Prix de vente ($)]]/Table2[[#This Row],[Superficie totale (ha)]]</f>
        <v>16440.677966101695</v>
      </c>
    </row>
    <row r="591" spans="1:34">
      <c r="A591" s="196">
        <v>29401648</v>
      </c>
      <c r="C591" s="318">
        <v>45776</v>
      </c>
      <c r="D591" s="239" t="s">
        <v>3424</v>
      </c>
      <c r="E591" s="239" t="s">
        <v>3425</v>
      </c>
      <c r="F591" s="239" t="s">
        <v>3426</v>
      </c>
      <c r="G591" s="134">
        <v>35000</v>
      </c>
      <c r="I591" t="s">
        <v>1177</v>
      </c>
      <c r="J591" t="s">
        <v>1260</v>
      </c>
      <c r="L591" s="205">
        <v>45.395308</v>
      </c>
      <c r="M591" s="205">
        <v>-74.204167999999996</v>
      </c>
      <c r="N591" s="211">
        <v>7.28</v>
      </c>
      <c r="O591" t="s">
        <v>25</v>
      </c>
      <c r="P591" t="s">
        <v>1679</v>
      </c>
      <c r="Q591" s="211">
        <v>7.28</v>
      </c>
      <c r="S591" s="94" t="s">
        <v>20</v>
      </c>
      <c r="T591" s="222">
        <v>0.65</v>
      </c>
      <c r="U591" s="222">
        <v>0.35</v>
      </c>
      <c r="V591" s="222">
        <v>0.85</v>
      </c>
      <c r="AC591" s="63">
        <v>2.6</v>
      </c>
      <c r="AF591" t="s">
        <v>126</v>
      </c>
      <c r="AH591" s="49">
        <f>Table2[[#This Row],[Prix de vente ($)]]/Table2[[#This Row],[Superficie totale (ha)]]</f>
        <v>4807.6923076923076</v>
      </c>
    </row>
    <row r="592" spans="1:34">
      <c r="A592" s="196">
        <v>29400190</v>
      </c>
      <c r="C592" s="318">
        <v>45776</v>
      </c>
      <c r="D592" t="s">
        <v>3427</v>
      </c>
      <c r="E592" t="s">
        <v>3428</v>
      </c>
      <c r="F592" s="269">
        <v>6666925</v>
      </c>
      <c r="G592" s="134">
        <v>70000</v>
      </c>
      <c r="I592" t="s">
        <v>2245</v>
      </c>
      <c r="J592" t="s">
        <v>2337</v>
      </c>
      <c r="K592" t="s">
        <v>3429</v>
      </c>
      <c r="L592" s="205" t="s">
        <v>3430</v>
      </c>
      <c r="M592" s="270" t="s">
        <v>3431</v>
      </c>
      <c r="N592" s="211">
        <v>33.51</v>
      </c>
      <c r="O592" t="s">
        <v>25</v>
      </c>
      <c r="P592" t="s">
        <v>384</v>
      </c>
      <c r="Q592" s="211">
        <f>Table2[[#This Row],[Superficie totale (ha)]]</f>
        <v>33.51</v>
      </c>
      <c r="S592" s="16" t="s">
        <v>20</v>
      </c>
      <c r="T592" s="215">
        <v>0.7</v>
      </c>
      <c r="U592" s="215">
        <v>0.3</v>
      </c>
      <c r="V592" s="222" t="s">
        <v>1214</v>
      </c>
      <c r="AF592" t="s">
        <v>3432</v>
      </c>
      <c r="AH592" s="49">
        <f>Table2[[#This Row],[Prix de vente ($)]]/Table2[[#This Row],[Superficie totale (ha)]]</f>
        <v>2088.9286780065654</v>
      </c>
    </row>
    <row r="593" spans="1:35" ht="15.75">
      <c r="A593" s="196">
        <v>29399629</v>
      </c>
      <c r="C593" s="318">
        <v>45776</v>
      </c>
      <c r="D593" s="265" t="s">
        <v>3433</v>
      </c>
      <c r="E593" s="265" t="s">
        <v>3434</v>
      </c>
      <c r="F593" s="287" t="s">
        <v>3435</v>
      </c>
      <c r="G593" s="134">
        <v>240000</v>
      </c>
      <c r="I593" t="s">
        <v>16</v>
      </c>
      <c r="J593" t="s">
        <v>3266</v>
      </c>
      <c r="L593" s="205">
        <v>46.701566</v>
      </c>
      <c r="M593" s="205">
        <v>-70.485320999999999</v>
      </c>
      <c r="N593" s="211">
        <v>46.91</v>
      </c>
      <c r="O593" t="s">
        <v>25</v>
      </c>
      <c r="P593" t="s">
        <v>19</v>
      </c>
      <c r="Q593" s="199">
        <v>40</v>
      </c>
      <c r="S593" s="94" t="s">
        <v>310</v>
      </c>
      <c r="T593" s="222">
        <v>0.1</v>
      </c>
      <c r="U593" s="222">
        <v>0.9</v>
      </c>
      <c r="V593" s="222">
        <v>0.7</v>
      </c>
      <c r="AC593" s="63">
        <v>0</v>
      </c>
      <c r="AF593" t="s">
        <v>3436</v>
      </c>
      <c r="AH593" s="49">
        <f>Table2[[#This Row],[Prix de vente ($)]]/Table2[[#This Row],[Superficie totale (ha)]]</f>
        <v>5116.1799189938183</v>
      </c>
    </row>
    <row r="594" spans="1:35">
      <c r="A594" s="239" t="s">
        <v>3437</v>
      </c>
      <c r="C594" s="318">
        <v>45778</v>
      </c>
      <c r="D594" s="239" t="s">
        <v>3438</v>
      </c>
      <c r="E594" s="239" t="s">
        <v>3439</v>
      </c>
      <c r="F594" t="s">
        <v>3440</v>
      </c>
      <c r="G594" s="93">
        <v>330000</v>
      </c>
      <c r="I594" t="s">
        <v>1597</v>
      </c>
      <c r="J594" t="s">
        <v>3441</v>
      </c>
      <c r="K594" s="239" t="s">
        <v>3442</v>
      </c>
      <c r="L594" s="205">
        <v>45.105998</v>
      </c>
      <c r="M594" s="205">
        <v>-72.416004999999998</v>
      </c>
      <c r="N594" s="211">
        <v>22.4</v>
      </c>
      <c r="O594" t="s">
        <v>18</v>
      </c>
      <c r="P594" t="s">
        <v>317</v>
      </c>
      <c r="S594" s="94" t="s">
        <v>20</v>
      </c>
      <c r="T594" s="222">
        <v>1</v>
      </c>
      <c r="U594" s="222">
        <v>0</v>
      </c>
      <c r="V594" s="222">
        <v>0.75</v>
      </c>
      <c r="AC594" s="63">
        <v>22.4</v>
      </c>
      <c r="AF594" t="s">
        <v>3443</v>
      </c>
      <c r="AH594" s="49">
        <f>Table2[[#This Row],[Prix de vente ($)]]/Table2[[#This Row],[Superficie totale (ha)]]</f>
        <v>14732.142857142859</v>
      </c>
    </row>
    <row r="595" spans="1:35">
      <c r="A595" s="196" t="s">
        <v>3444</v>
      </c>
      <c r="C595" s="318">
        <v>45783</v>
      </c>
      <c r="D595" t="s">
        <v>3445</v>
      </c>
      <c r="E595" t="s">
        <v>3446</v>
      </c>
      <c r="F595" t="s">
        <v>3447</v>
      </c>
      <c r="G595" s="93">
        <v>425000</v>
      </c>
      <c r="I595" t="s">
        <v>3448</v>
      </c>
      <c r="J595" t="s">
        <v>3449</v>
      </c>
      <c r="K595" t="s">
        <v>3450</v>
      </c>
      <c r="L595" s="205">
        <v>45.252155999999999</v>
      </c>
      <c r="M595" s="270" t="s">
        <v>3451</v>
      </c>
      <c r="N595" s="211">
        <f>28.74+12.52</f>
        <v>41.26</v>
      </c>
      <c r="O595" t="s">
        <v>36</v>
      </c>
      <c r="P595" t="s">
        <v>206</v>
      </c>
      <c r="Q595" s="211">
        <f>Table2[[#This Row],[Superficie totale (ha)]]</f>
        <v>41.26</v>
      </c>
      <c r="S595" s="94" t="s">
        <v>20</v>
      </c>
      <c r="T595" s="222">
        <v>0.75</v>
      </c>
      <c r="U595" s="222">
        <v>0.25</v>
      </c>
      <c r="V595" s="222">
        <v>0.75</v>
      </c>
      <c r="AC595" s="63">
        <v>16.2</v>
      </c>
      <c r="AF595" t="s">
        <v>1072</v>
      </c>
      <c r="AH595" s="49">
        <f>Table2[[#This Row],[Prix de vente ($)]]/Table2[[#This Row],[Superficie totale (ha)]]</f>
        <v>10300.53320407174</v>
      </c>
    </row>
    <row r="596" spans="1:35">
      <c r="A596" s="196">
        <v>29420909</v>
      </c>
      <c r="C596" s="318">
        <v>45784</v>
      </c>
      <c r="D596" s="239" t="s">
        <v>3452</v>
      </c>
      <c r="E596" s="239" t="s">
        <v>3453</v>
      </c>
      <c r="F596" s="239" t="s">
        <v>3454</v>
      </c>
      <c r="G596" s="134">
        <v>175500</v>
      </c>
      <c r="I596" t="s">
        <v>1177</v>
      </c>
      <c r="J596" t="s">
        <v>3455</v>
      </c>
      <c r="L596" s="204">
        <v>45.439382000000002</v>
      </c>
      <c r="M596" s="204">
        <v>-74.332374999999999</v>
      </c>
      <c r="N596" s="211">
        <v>16.100000000000001</v>
      </c>
      <c r="O596" t="s">
        <v>25</v>
      </c>
      <c r="P596" t="s">
        <v>1179</v>
      </c>
      <c r="Q596" s="211">
        <v>16.100000000000001</v>
      </c>
      <c r="S596" s="94" t="s">
        <v>20</v>
      </c>
      <c r="T596" s="222">
        <v>0.75</v>
      </c>
      <c r="U596" s="222">
        <v>0.25</v>
      </c>
      <c r="V596" s="222">
        <v>0.8</v>
      </c>
      <c r="AC596" s="63">
        <v>6.2</v>
      </c>
      <c r="AF596" t="s">
        <v>3456</v>
      </c>
      <c r="AH596" s="49">
        <f>Table2[[#This Row],[Prix de vente ($)]]/Table2[[#This Row],[Superficie totale (ha)]]</f>
        <v>10900.621118012421</v>
      </c>
    </row>
    <row r="597" spans="1:35">
      <c r="A597" t="s">
        <v>3457</v>
      </c>
      <c r="C597" s="318">
        <v>45785</v>
      </c>
      <c r="D597" t="s">
        <v>3458</v>
      </c>
      <c r="E597" t="s">
        <v>3459</v>
      </c>
      <c r="F597" t="s">
        <v>3460</v>
      </c>
      <c r="G597" s="93">
        <v>62000</v>
      </c>
      <c r="I597" t="s">
        <v>909</v>
      </c>
      <c r="J597" t="s">
        <v>910</v>
      </c>
      <c r="K597" t="s">
        <v>3461</v>
      </c>
      <c r="L597" s="205">
        <v>46.793925000000002</v>
      </c>
      <c r="M597" s="270" t="s">
        <v>3462</v>
      </c>
      <c r="N597" s="211">
        <v>7.27</v>
      </c>
      <c r="O597" t="s">
        <v>25</v>
      </c>
      <c r="P597" t="s">
        <v>19</v>
      </c>
      <c r="S597" s="94" t="s">
        <v>62</v>
      </c>
      <c r="T597" s="222">
        <v>1</v>
      </c>
      <c r="U597" s="222">
        <v>0</v>
      </c>
      <c r="V597" s="222">
        <v>0.8</v>
      </c>
      <c r="AC597" s="63">
        <f>7.27-1.4</f>
        <v>5.8699999999999992</v>
      </c>
      <c r="AF597" t="s">
        <v>3072</v>
      </c>
      <c r="AH597" s="49">
        <f>Table2[[#This Row],[Prix de vente ($)]]/Table2[[#This Row],[Superficie totale (ha)]]</f>
        <v>8528.1980742778542</v>
      </c>
    </row>
    <row r="598" spans="1:35" ht="15.75">
      <c r="A598" s="196">
        <v>29429611</v>
      </c>
      <c r="C598" s="318">
        <v>45789</v>
      </c>
      <c r="D598" s="249" t="s">
        <v>3463</v>
      </c>
      <c r="E598" s="249" t="s">
        <v>3464</v>
      </c>
      <c r="F598" s="249" t="s">
        <v>3465</v>
      </c>
      <c r="G598" s="134">
        <v>95000</v>
      </c>
      <c r="I598" t="s">
        <v>1177</v>
      </c>
      <c r="J598" t="s">
        <v>3466</v>
      </c>
      <c r="L598" s="205">
        <v>45.428877</v>
      </c>
      <c r="M598" s="205">
        <v>-74.282786000000002</v>
      </c>
      <c r="N598" s="211">
        <v>5.34</v>
      </c>
      <c r="O598" t="s">
        <v>18</v>
      </c>
      <c r="P598" t="s">
        <v>1679</v>
      </c>
      <c r="Q598" s="211">
        <v>5.34</v>
      </c>
      <c r="S598" s="94" t="s">
        <v>20</v>
      </c>
      <c r="T598" s="222">
        <v>1</v>
      </c>
      <c r="U598" s="222">
        <v>0</v>
      </c>
      <c r="V598" s="222">
        <v>0.65</v>
      </c>
      <c r="AC598" s="211">
        <v>5.34</v>
      </c>
      <c r="AF598" t="s">
        <v>3467</v>
      </c>
      <c r="AH598" s="49">
        <f>Table2[[#This Row],[Prix de vente ($)]]/Table2[[#This Row],[Superficie totale (ha)]]</f>
        <v>17790.262172284645</v>
      </c>
    </row>
    <row r="599" spans="1:35">
      <c r="A599" s="196">
        <v>29430471</v>
      </c>
      <c r="C599" s="318">
        <v>45789</v>
      </c>
      <c r="D599" s="239" t="s">
        <v>3468</v>
      </c>
      <c r="E599" s="239" t="s">
        <v>3469</v>
      </c>
      <c r="F599" s="287" t="s">
        <v>3470</v>
      </c>
      <c r="G599" s="134">
        <v>180000</v>
      </c>
      <c r="I599" t="s">
        <v>16</v>
      </c>
      <c r="J599" t="s">
        <v>3471</v>
      </c>
      <c r="L599" s="205">
        <v>46.530842999999997</v>
      </c>
      <c r="M599" s="205">
        <v>-70.632234999999994</v>
      </c>
      <c r="N599" s="211">
        <v>30.06</v>
      </c>
      <c r="O599" t="s">
        <v>18</v>
      </c>
      <c r="P599" t="s">
        <v>173</v>
      </c>
      <c r="Q599" s="211">
        <v>30.06</v>
      </c>
      <c r="S599" s="94" t="s">
        <v>310</v>
      </c>
      <c r="T599" s="222">
        <v>0.2</v>
      </c>
      <c r="U599" s="222">
        <v>0.8</v>
      </c>
      <c r="V599" s="222">
        <v>0.6</v>
      </c>
      <c r="AC599" s="63">
        <v>0</v>
      </c>
      <c r="AF599" t="s">
        <v>3472</v>
      </c>
      <c r="AH599" s="49">
        <f>Table2[[#This Row],[Prix de vente ($)]]/Table2[[#This Row],[Superficie totale (ha)]]</f>
        <v>5988.0239520958085</v>
      </c>
    </row>
    <row r="600" spans="1:35">
      <c r="A600" s="196" t="s">
        <v>3473</v>
      </c>
      <c r="C600" s="318">
        <v>45790</v>
      </c>
      <c r="D600" t="s">
        <v>3474</v>
      </c>
      <c r="E600" t="s">
        <v>3475</v>
      </c>
      <c r="F600" t="s">
        <v>3476</v>
      </c>
      <c r="G600" s="93">
        <v>1800000</v>
      </c>
      <c r="I600" t="s">
        <v>2157</v>
      </c>
      <c r="J600" t="s">
        <v>3154</v>
      </c>
      <c r="K600" t="s">
        <v>3477</v>
      </c>
      <c r="L600" s="205">
        <v>45.051233000000003</v>
      </c>
      <c r="M600" s="270" t="s">
        <v>3478</v>
      </c>
      <c r="N600" s="211">
        <f>21.61+35.51</f>
        <v>57.12</v>
      </c>
      <c r="O600" t="s">
        <v>18</v>
      </c>
      <c r="P600" t="s">
        <v>206</v>
      </c>
      <c r="R600">
        <f>1.1+0.7+1.2+7.2</f>
        <v>10.199999999999999</v>
      </c>
      <c r="S600" s="94" t="s">
        <v>20</v>
      </c>
      <c r="T600" s="222">
        <v>0.7</v>
      </c>
      <c r="U600" s="222">
        <v>0.3</v>
      </c>
      <c r="V600" s="222">
        <v>0.85</v>
      </c>
      <c r="Y600" t="s">
        <v>3479</v>
      </c>
      <c r="AC600" s="63">
        <v>21</v>
      </c>
      <c r="AF600" t="s">
        <v>3158</v>
      </c>
      <c r="AH600" s="49">
        <f>Table2[[#This Row],[Prix de vente ($)]]/Table2[[#This Row],[Superficie totale (ha)]]</f>
        <v>31512.605042016807</v>
      </c>
    </row>
    <row r="601" spans="1:35">
      <c r="A601" s="196" t="s">
        <v>3480</v>
      </c>
      <c r="C601" s="318">
        <v>45792</v>
      </c>
      <c r="D601" t="s">
        <v>3481</v>
      </c>
      <c r="E601" t="s">
        <v>3482</v>
      </c>
      <c r="F601" t="s">
        <v>3483</v>
      </c>
      <c r="G601" s="93">
        <v>2700000</v>
      </c>
      <c r="I601" t="s">
        <v>2157</v>
      </c>
      <c r="J601" t="s">
        <v>3484</v>
      </c>
      <c r="K601" t="s">
        <v>3485</v>
      </c>
      <c r="L601" s="205">
        <v>45.065905000000001</v>
      </c>
      <c r="M601" s="270" t="s">
        <v>3486</v>
      </c>
      <c r="N601" s="211">
        <f>34.98+34.5</f>
        <v>69.47999999999999</v>
      </c>
      <c r="O601" t="s">
        <v>18</v>
      </c>
      <c r="P601" t="s">
        <v>206</v>
      </c>
      <c r="S601" s="94" t="s">
        <v>20</v>
      </c>
      <c r="T601" s="222">
        <v>1</v>
      </c>
      <c r="U601" s="222">
        <v>0</v>
      </c>
      <c r="V601" s="222">
        <v>0.9</v>
      </c>
      <c r="Y601" t="s">
        <v>36</v>
      </c>
      <c r="AC601" s="63">
        <v>62.5</v>
      </c>
      <c r="AF601" t="s">
        <v>3158</v>
      </c>
      <c r="AH601" s="49">
        <f>Table2[[#This Row],[Prix de vente ($)]]/Table2[[#This Row],[Superficie totale (ha)]]</f>
        <v>38860.103626943011</v>
      </c>
    </row>
    <row r="602" spans="1:35" ht="36">
      <c r="A602" s="458" t="s">
        <v>3487</v>
      </c>
      <c r="C602" s="460">
        <v>45792</v>
      </c>
      <c r="F602" s="223" t="s">
        <v>3488</v>
      </c>
      <c r="G602" s="366">
        <v>603000</v>
      </c>
      <c r="I602" t="s">
        <v>3161</v>
      </c>
      <c r="AH602" s="49"/>
    </row>
    <row r="603" spans="1:35">
      <c r="A603" s="196" t="s">
        <v>3489</v>
      </c>
      <c r="C603" s="318">
        <v>45798</v>
      </c>
      <c r="F603" t="s">
        <v>3490</v>
      </c>
      <c r="I603" t="s">
        <v>201</v>
      </c>
      <c r="AH603" s="49" t="e">
        <f>Table2[[#This Row],[Prix de vente ($)]]/Table2[[#This Row],[Superficie totale (ha)]]</f>
        <v>#DIV/0!</v>
      </c>
    </row>
    <row r="604" spans="1:35">
      <c r="A604" s="196" t="s">
        <v>3491</v>
      </c>
      <c r="C604" s="318">
        <v>45799</v>
      </c>
      <c r="F604" t="s">
        <v>3492</v>
      </c>
      <c r="I604" t="s">
        <v>476</v>
      </c>
      <c r="AH604" s="49"/>
    </row>
    <row r="605" spans="1:35">
      <c r="A605" s="297" t="s">
        <v>3493</v>
      </c>
      <c r="C605" s="318">
        <v>45800</v>
      </c>
      <c r="D605" s="247" t="s">
        <v>3494</v>
      </c>
      <c r="E605" s="247" t="s">
        <v>3495</v>
      </c>
      <c r="F605" t="s">
        <v>3496</v>
      </c>
      <c r="G605" s="93">
        <v>300000</v>
      </c>
      <c r="I605" t="s">
        <v>1629</v>
      </c>
      <c r="J605" t="s">
        <v>3497</v>
      </c>
      <c r="K605" s="247" t="s">
        <v>3498</v>
      </c>
      <c r="L605" s="205">
        <v>45.485289999999999</v>
      </c>
      <c r="M605" s="205">
        <v>-71.575053999999994</v>
      </c>
      <c r="N605" s="211">
        <v>43.47</v>
      </c>
      <c r="O605" t="s">
        <v>18</v>
      </c>
      <c r="P605" t="s">
        <v>206</v>
      </c>
      <c r="Q605" s="211">
        <v>43.47</v>
      </c>
      <c r="S605" s="94" t="s">
        <v>33</v>
      </c>
      <c r="T605" s="222">
        <v>0.3</v>
      </c>
      <c r="U605" s="222">
        <v>0.7</v>
      </c>
      <c r="V605" s="222">
        <v>0.7</v>
      </c>
      <c r="AC605" s="63">
        <v>0</v>
      </c>
      <c r="AF605" t="s">
        <v>3499</v>
      </c>
      <c r="AH605" s="49">
        <f>Table2[[#This Row],[Prix de vente ($)]]/Table2[[#This Row],[Superficie totale (ha)]]</f>
        <v>6901.3112491373358</v>
      </c>
    </row>
    <row r="606" spans="1:35">
      <c r="A606" s="464">
        <v>29461158</v>
      </c>
      <c r="B606" s="66"/>
      <c r="C606" s="362">
        <v>45800</v>
      </c>
      <c r="D606" s="66" t="s">
        <v>3500</v>
      </c>
      <c r="E606" s="66" t="s">
        <v>3501</v>
      </c>
      <c r="F606" s="66">
        <v>5261323</v>
      </c>
      <c r="G606" s="353">
        <v>230000</v>
      </c>
      <c r="H606" s="66"/>
      <c r="I606" s="66" t="s">
        <v>74</v>
      </c>
      <c r="J606" s="66" t="s">
        <v>3502</v>
      </c>
      <c r="K606" s="66" t="s">
        <v>3503</v>
      </c>
      <c r="L606" s="207">
        <v>45.947127000000002</v>
      </c>
      <c r="M606" s="468" t="s">
        <v>3504</v>
      </c>
      <c r="N606" s="210">
        <v>20.93</v>
      </c>
      <c r="O606" s="66" t="s">
        <v>18</v>
      </c>
      <c r="P606" s="66" t="s">
        <v>26</v>
      </c>
      <c r="Q606" s="212">
        <v>20.93</v>
      </c>
      <c r="R606" s="66">
        <v>0</v>
      </c>
      <c r="S606" s="98" t="s">
        <v>33</v>
      </c>
      <c r="T606" s="221">
        <v>0.4</v>
      </c>
      <c r="U606" s="221">
        <v>0.6</v>
      </c>
      <c r="V606" s="221">
        <v>0.75</v>
      </c>
      <c r="W606" s="493"/>
      <c r="X606" s="221"/>
      <c r="Y606" s="66"/>
      <c r="Z606" s="123"/>
      <c r="AB606" s="66"/>
      <c r="AC606" s="123">
        <v>2.4</v>
      </c>
      <c r="AD606" s="354"/>
      <c r="AE606" s="123"/>
      <c r="AF606" s="66"/>
      <c r="AG606" s="66"/>
      <c r="AH606" s="74">
        <f>Table2[[#This Row],[Prix de vente ($)]]/Table2[[#This Row],[Superficie totale (ha)]]</f>
        <v>10989.010989010989</v>
      </c>
      <c r="AI606" s="66"/>
    </row>
    <row r="607" spans="1:35" ht="15.75">
      <c r="A607" s="297" t="s">
        <v>3505</v>
      </c>
      <c r="C607" s="364">
        <v>45804</v>
      </c>
      <c r="D607" s="265" t="s">
        <v>3506</v>
      </c>
      <c r="E607" s="265" t="s">
        <v>3507</v>
      </c>
      <c r="F607" t="s">
        <v>3508</v>
      </c>
      <c r="G607" s="93">
        <v>65000</v>
      </c>
      <c r="I607" t="s">
        <v>1629</v>
      </c>
      <c r="J607" t="s">
        <v>3414</v>
      </c>
      <c r="K607" s="265" t="s">
        <v>3509</v>
      </c>
      <c r="L607" s="205">
        <v>45.691868999999997</v>
      </c>
      <c r="M607" s="205">
        <v>-71.446768000000006</v>
      </c>
      <c r="N607" s="211">
        <v>11.59</v>
      </c>
      <c r="O607" t="s">
        <v>25</v>
      </c>
      <c r="P607" t="s">
        <v>35</v>
      </c>
      <c r="Q607" s="211">
        <v>11.59</v>
      </c>
      <c r="S607" s="94" t="s">
        <v>33</v>
      </c>
      <c r="T607" s="222">
        <v>0</v>
      </c>
      <c r="U607" s="222">
        <v>1</v>
      </c>
      <c r="V607" s="222">
        <v>0.45</v>
      </c>
      <c r="AC607" s="63">
        <v>0</v>
      </c>
      <c r="AF607" t="s">
        <v>3510</v>
      </c>
      <c r="AH607" s="49">
        <f>Table2[[#This Row],[Prix de vente ($)]]/Table2[[#This Row],[Superficie totale (ha)]]</f>
        <v>5608.2830025884386</v>
      </c>
    </row>
    <row r="608" spans="1:35">
      <c r="A608" s="196">
        <v>29479247</v>
      </c>
      <c r="C608" s="318">
        <v>45807</v>
      </c>
      <c r="D608" t="s">
        <v>3511</v>
      </c>
      <c r="E608" t="s">
        <v>3512</v>
      </c>
      <c r="F608" s="269">
        <v>5130815</v>
      </c>
      <c r="G608" s="93">
        <v>435000</v>
      </c>
      <c r="J608" t="s">
        <v>3513</v>
      </c>
      <c r="K608" t="s">
        <v>3514</v>
      </c>
      <c r="L608" s="205" t="s">
        <v>3515</v>
      </c>
      <c r="M608" s="270" t="s">
        <v>3516</v>
      </c>
      <c r="N608" s="211">
        <v>14.19</v>
      </c>
      <c r="O608" t="s">
        <v>18</v>
      </c>
      <c r="P608" t="s">
        <v>206</v>
      </c>
      <c r="S608" s="94" t="s">
        <v>20</v>
      </c>
      <c r="T608" s="222">
        <v>0.6</v>
      </c>
      <c r="U608" s="222">
        <v>0.4</v>
      </c>
      <c r="V608" s="222" t="s">
        <v>243</v>
      </c>
      <c r="AC608" s="63">
        <v>5.8</v>
      </c>
      <c r="AF608" t="s">
        <v>1328</v>
      </c>
      <c r="AH608" s="49">
        <f>Table2[[#This Row],[Prix de vente ($)]]/Table2[[#This Row],[Superficie totale (ha)]]</f>
        <v>30655.3911205074</v>
      </c>
    </row>
    <row r="609" spans="1:35">
      <c r="A609" s="196" t="s">
        <v>3517</v>
      </c>
      <c r="C609" s="318">
        <v>45807</v>
      </c>
      <c r="F609" t="s">
        <v>3518</v>
      </c>
      <c r="I609" t="s">
        <v>476</v>
      </c>
      <c r="AH609" s="49"/>
    </row>
    <row r="610" spans="1:35" ht="15.75">
      <c r="A610" s="297" t="s">
        <v>3519</v>
      </c>
      <c r="C610" s="318">
        <v>45813</v>
      </c>
      <c r="D610" s="265" t="s">
        <v>3520</v>
      </c>
      <c r="E610" s="272" t="s">
        <v>3521</v>
      </c>
      <c r="F610" t="s">
        <v>3522</v>
      </c>
      <c r="G610" s="93">
        <v>250000</v>
      </c>
      <c r="I610" t="s">
        <v>1629</v>
      </c>
      <c r="J610" t="s">
        <v>3523</v>
      </c>
      <c r="K610" s="272" t="s">
        <v>3524</v>
      </c>
      <c r="L610" s="205">
        <v>45.575811000000002</v>
      </c>
      <c r="M610" s="205">
        <v>-71.398034999999993</v>
      </c>
      <c r="N610" s="211">
        <v>32.08</v>
      </c>
      <c r="O610" t="s">
        <v>18</v>
      </c>
      <c r="P610" t="s">
        <v>1179</v>
      </c>
      <c r="Q610" s="211">
        <v>32.08</v>
      </c>
      <c r="S610" s="94" t="s">
        <v>62</v>
      </c>
      <c r="T610" s="222">
        <v>0.7</v>
      </c>
      <c r="U610" s="222">
        <v>0.3</v>
      </c>
      <c r="V610" s="222">
        <v>0.8</v>
      </c>
      <c r="AC610" s="63">
        <v>10.9</v>
      </c>
      <c r="AF610" t="s">
        <v>3525</v>
      </c>
      <c r="AH610" s="49">
        <f>Table2[[#This Row],[Prix de vente ($)]]/Table2[[#This Row],[Superficie totale (ha)]]</f>
        <v>7793.0174563591027</v>
      </c>
    </row>
    <row r="611" spans="1:35">
      <c r="A611" s="196" t="s">
        <v>3526</v>
      </c>
      <c r="C611" s="318">
        <v>45814</v>
      </c>
      <c r="D611" t="s">
        <v>3527</v>
      </c>
      <c r="E611" t="s">
        <v>3528</v>
      </c>
      <c r="F611" t="s">
        <v>3529</v>
      </c>
      <c r="G611" s="93">
        <v>80000</v>
      </c>
      <c r="I611" t="s">
        <v>909</v>
      </c>
      <c r="J611" t="s">
        <v>910</v>
      </c>
      <c r="L611" s="205">
        <v>46.854965</v>
      </c>
      <c r="M611" s="205">
        <v>-71.665015999999994</v>
      </c>
      <c r="N611" s="211">
        <v>9.92</v>
      </c>
      <c r="O611" t="s">
        <v>18</v>
      </c>
      <c r="P611" t="s">
        <v>206</v>
      </c>
      <c r="Q611" s="211">
        <v>9.92</v>
      </c>
      <c r="S611" s="94" t="s">
        <v>62</v>
      </c>
      <c r="T611" s="222">
        <v>0.6</v>
      </c>
      <c r="U611" s="222">
        <v>0.4</v>
      </c>
      <c r="V611" s="222">
        <v>0.8</v>
      </c>
      <c r="AC611" s="63">
        <v>2</v>
      </c>
      <c r="AF611" t="s">
        <v>3530</v>
      </c>
      <c r="AH611" s="49">
        <f>Table2[[#This Row],[Prix de vente ($)]]/Table2[[#This Row],[Superficie totale (ha)]]</f>
        <v>8064.5161290322585</v>
      </c>
    </row>
    <row r="612" spans="1:35" ht="14.25" customHeight="1">
      <c r="A612" s="239" t="s">
        <v>3531</v>
      </c>
      <c r="C612" s="318">
        <v>45819</v>
      </c>
      <c r="D612" s="239" t="s">
        <v>3532</v>
      </c>
      <c r="E612" s="239" t="s">
        <v>3533</v>
      </c>
      <c r="F612" s="239" t="s">
        <v>3534</v>
      </c>
      <c r="G612" s="93">
        <v>502000</v>
      </c>
      <c r="I612" t="s">
        <v>1597</v>
      </c>
      <c r="J612" t="s">
        <v>3535</v>
      </c>
      <c r="L612" s="205">
        <v>45.260629999999999</v>
      </c>
      <c r="M612" s="205">
        <v>-72.398161999999999</v>
      </c>
      <c r="N612" s="211">
        <v>12.62</v>
      </c>
      <c r="O612" t="s">
        <v>25</v>
      </c>
      <c r="P612" t="s">
        <v>63</v>
      </c>
      <c r="S612" s="94" t="s">
        <v>20</v>
      </c>
      <c r="T612" s="222">
        <v>0.7</v>
      </c>
      <c r="U612" s="222">
        <v>0.3</v>
      </c>
      <c r="V612" s="222">
        <v>0.8</v>
      </c>
      <c r="AC612" s="63">
        <v>7.3</v>
      </c>
      <c r="AF612" t="s">
        <v>3536</v>
      </c>
      <c r="AH612" s="49">
        <f>Table2[[#This Row],[Prix de vente ($)]]/Table2[[#This Row],[Superficie totale (ha)]]</f>
        <v>39778.129952456424</v>
      </c>
    </row>
    <row r="613" spans="1:35">
      <c r="A613" s="196" t="s">
        <v>3537</v>
      </c>
      <c r="C613" s="318">
        <v>45825</v>
      </c>
      <c r="F613" t="s">
        <v>3538</v>
      </c>
      <c r="I613" t="s">
        <v>476</v>
      </c>
      <c r="AH613" s="49" t="e">
        <f>Table2[[#This Row],[Prix de vente ($)]]/Table2[[#This Row],[Superficie totale (ha)]]</f>
        <v>#DIV/0!</v>
      </c>
    </row>
    <row r="614" spans="1:35">
      <c r="A614" s="196" t="s">
        <v>3539</v>
      </c>
      <c r="C614" s="318">
        <v>45826</v>
      </c>
      <c r="F614" t="s">
        <v>3540</v>
      </c>
      <c r="I614" t="s">
        <v>476</v>
      </c>
      <c r="AH614" s="49" t="e">
        <f>Table2[[#This Row],[Prix de vente ($)]]/Table2[[#This Row],[Superficie totale (ha)]]</f>
        <v>#DIV/0!</v>
      </c>
    </row>
    <row r="615" spans="1:35">
      <c r="A615" s="196" t="s">
        <v>3541</v>
      </c>
      <c r="C615" s="318">
        <v>45828</v>
      </c>
      <c r="D615" t="s">
        <v>3542</v>
      </c>
      <c r="E615" t="s">
        <v>3543</v>
      </c>
      <c r="F615" t="s">
        <v>3544</v>
      </c>
      <c r="G615" s="93">
        <v>520000</v>
      </c>
      <c r="I615" t="s">
        <v>58</v>
      </c>
      <c r="J615" t="s">
        <v>3272</v>
      </c>
      <c r="K615" t="s">
        <v>3545</v>
      </c>
      <c r="L615" s="205">
        <v>45.4664</v>
      </c>
      <c r="M615" s="270" t="s">
        <v>3546</v>
      </c>
      <c r="N615" s="211">
        <v>42.46</v>
      </c>
      <c r="O615" t="s">
        <v>18</v>
      </c>
      <c r="P615" t="s">
        <v>317</v>
      </c>
      <c r="S615" s="94" t="s">
        <v>20</v>
      </c>
      <c r="T615" s="222">
        <v>0.85</v>
      </c>
      <c r="U615" s="222">
        <v>0.15</v>
      </c>
      <c r="V615" s="222">
        <v>0.85</v>
      </c>
      <c r="Y615" t="s">
        <v>41</v>
      </c>
      <c r="AC615" s="63">
        <v>32.9</v>
      </c>
      <c r="AH615" s="49">
        <f>Table2[[#This Row],[Prix de vente ($)]]/Table2[[#This Row],[Superficie totale (ha)]]</f>
        <v>12246.820536975978</v>
      </c>
    </row>
    <row r="616" spans="1:35">
      <c r="A616" s="196" t="s">
        <v>3547</v>
      </c>
      <c r="C616" s="318">
        <v>45828</v>
      </c>
      <c r="F616" t="s">
        <v>3548</v>
      </c>
      <c r="I616" t="s">
        <v>476</v>
      </c>
      <c r="AH616" s="49" t="e">
        <f>Table2[[#This Row],[Prix de vente ($)]]/Table2[[#This Row],[Superficie totale (ha)]]</f>
        <v>#DIV/0!</v>
      </c>
    </row>
    <row r="617" spans="1:35" ht="15.75">
      <c r="A617" s="196">
        <v>29545762</v>
      </c>
      <c r="C617" s="318">
        <v>45831</v>
      </c>
      <c r="D617" s="249" t="s">
        <v>3549</v>
      </c>
      <c r="E617" s="249" t="s">
        <v>3550</v>
      </c>
      <c r="F617" s="249" t="s">
        <v>3551</v>
      </c>
      <c r="G617" s="134">
        <v>80000</v>
      </c>
      <c r="I617" t="s">
        <v>2941</v>
      </c>
      <c r="J617" t="s">
        <v>2942</v>
      </c>
      <c r="L617" s="205">
        <v>46.261149000000003</v>
      </c>
      <c r="M617" s="205">
        <v>-73.317667999999998</v>
      </c>
      <c r="N617" s="211">
        <v>13.98</v>
      </c>
      <c r="O617" t="s">
        <v>25</v>
      </c>
      <c r="P617" t="s">
        <v>1179</v>
      </c>
      <c r="Q617" s="199">
        <v>13.98</v>
      </c>
      <c r="S617" s="94" t="s">
        <v>20</v>
      </c>
      <c r="T617" s="222">
        <v>0.7</v>
      </c>
      <c r="U617" s="222">
        <v>0.3</v>
      </c>
      <c r="V617" s="222">
        <v>0.85</v>
      </c>
      <c r="AC617" s="63">
        <v>2</v>
      </c>
      <c r="AF617" t="s">
        <v>3552</v>
      </c>
      <c r="AH617" s="49">
        <f>Table2[[#This Row],[Prix de vente ($)]]/Table2[[#This Row],[Superficie totale (ha)]]</f>
        <v>5722.4606580829759</v>
      </c>
    </row>
    <row r="618" spans="1:35">
      <c r="A618" s="196" t="s">
        <v>3553</v>
      </c>
      <c r="C618" s="318">
        <v>45831</v>
      </c>
      <c r="F618" t="s">
        <v>3554</v>
      </c>
      <c r="I618" t="s">
        <v>476</v>
      </c>
      <c r="AH618" s="49" t="e">
        <f>Table2[[#This Row],[Prix de vente ($)]]/Table2[[#This Row],[Superficie totale (ha)]]</f>
        <v>#DIV/0!</v>
      </c>
    </row>
    <row r="619" spans="1:35">
      <c r="A619" s="297" t="s">
        <v>3555</v>
      </c>
      <c r="C619" s="318">
        <v>45833</v>
      </c>
      <c r="D619" t="s">
        <v>3556</v>
      </c>
      <c r="E619" s="247" t="s">
        <v>3557</v>
      </c>
      <c r="F619" t="s">
        <v>3558</v>
      </c>
      <c r="G619" s="93">
        <v>630000</v>
      </c>
      <c r="I619" t="s">
        <v>1629</v>
      </c>
      <c r="J619" t="s">
        <v>47</v>
      </c>
      <c r="K619" s="247" t="s">
        <v>3559</v>
      </c>
      <c r="L619" s="205">
        <v>45.352375000000002</v>
      </c>
      <c r="M619" s="205">
        <v>-71.613276999999997</v>
      </c>
      <c r="N619" s="211">
        <f>15.88+26.64</f>
        <v>42.52</v>
      </c>
      <c r="O619" t="s">
        <v>18</v>
      </c>
      <c r="P619" t="s">
        <v>384</v>
      </c>
      <c r="Q619" s="211">
        <f>15.88+26.64-8.6</f>
        <v>33.92</v>
      </c>
      <c r="S619" s="94" t="s">
        <v>20</v>
      </c>
      <c r="T619" s="222">
        <v>0.9</v>
      </c>
      <c r="U619" s="222">
        <v>0.1</v>
      </c>
      <c r="V619" s="222">
        <v>0.75</v>
      </c>
      <c r="AC619" s="63">
        <v>1.3</v>
      </c>
      <c r="AF619" t="s">
        <v>3560</v>
      </c>
      <c r="AH619" s="49">
        <f>Table2[[#This Row],[Prix de vente ($)]]/Table2[[#This Row],[Superficie totale (ha)]]</f>
        <v>14816.556914393226</v>
      </c>
    </row>
    <row r="620" spans="1:35">
      <c r="A620" s="196" t="s">
        <v>3561</v>
      </c>
      <c r="C620" s="318">
        <v>45833</v>
      </c>
      <c r="D620" t="s">
        <v>3562</v>
      </c>
      <c r="E620" t="s">
        <v>3563</v>
      </c>
      <c r="F620" t="s">
        <v>3564</v>
      </c>
      <c r="G620" s="93">
        <v>35000</v>
      </c>
      <c r="I620" t="s">
        <v>909</v>
      </c>
      <c r="J620" t="s">
        <v>910</v>
      </c>
      <c r="L620" s="205">
        <v>46.84402</v>
      </c>
      <c r="M620" s="270" t="s">
        <v>3565</v>
      </c>
      <c r="N620" s="211">
        <v>5.05</v>
      </c>
      <c r="O620" t="s">
        <v>18</v>
      </c>
      <c r="P620" t="s">
        <v>317</v>
      </c>
      <c r="S620" s="94" t="s">
        <v>62</v>
      </c>
      <c r="T620" s="222">
        <v>1</v>
      </c>
      <c r="U620" s="222">
        <v>0</v>
      </c>
      <c r="V620" s="222">
        <v>0.75</v>
      </c>
      <c r="AC620" s="63">
        <v>5.05</v>
      </c>
      <c r="AH620" s="49">
        <f>Table2[[#This Row],[Prix de vente ($)]]/Table2[[#This Row],[Superficie totale (ha)]]</f>
        <v>6930.6930693069307</v>
      </c>
    </row>
    <row r="621" spans="1:35" ht="30">
      <c r="A621" s="196">
        <v>29547534</v>
      </c>
      <c r="C621" s="318">
        <v>45833</v>
      </c>
      <c r="D621" s="247" t="s">
        <v>3566</v>
      </c>
      <c r="E621" s="247" t="s">
        <v>3567</v>
      </c>
      <c r="F621" s="247" t="s">
        <v>3568</v>
      </c>
      <c r="G621" s="93">
        <v>700000</v>
      </c>
      <c r="I621" t="s">
        <v>29</v>
      </c>
      <c r="J621" s="20" t="s">
        <v>1490</v>
      </c>
      <c r="L621" s="205">
        <v>46.831955000000001</v>
      </c>
      <c r="M621" s="205">
        <v>-70.589196000000001</v>
      </c>
      <c r="N621" s="211">
        <v>123.78</v>
      </c>
      <c r="O621" t="s">
        <v>25</v>
      </c>
      <c r="P621" t="s">
        <v>384</v>
      </c>
      <c r="Q621" s="199">
        <v>123.78</v>
      </c>
      <c r="S621" s="94" t="s">
        <v>20</v>
      </c>
      <c r="T621" s="222">
        <v>0.7</v>
      </c>
      <c r="U621" s="222">
        <v>0.3</v>
      </c>
      <c r="V621" s="222">
        <v>0.6</v>
      </c>
      <c r="AC621" s="63">
        <v>60.8</v>
      </c>
      <c r="AF621" t="s">
        <v>3569</v>
      </c>
      <c r="AH621" s="49">
        <f>Table2[[#This Row],[Prix de vente ($)]]/Table2[[#This Row],[Superficie totale (ha)]]</f>
        <v>5655.1947002746811</v>
      </c>
    </row>
    <row r="622" spans="1:35" ht="45">
      <c r="A622" s="196">
        <v>29553159</v>
      </c>
      <c r="C622" s="318">
        <v>45834</v>
      </c>
      <c r="D622" t="s">
        <v>3570</v>
      </c>
      <c r="E622" t="s">
        <v>3571</v>
      </c>
      <c r="F622" s="269">
        <v>5310702</v>
      </c>
      <c r="G622" s="93">
        <v>600000</v>
      </c>
      <c r="J622" t="s">
        <v>45</v>
      </c>
      <c r="K622" t="s">
        <v>3572</v>
      </c>
      <c r="L622" s="205" t="s">
        <v>3573</v>
      </c>
      <c r="M622" s="270" t="s">
        <v>3574</v>
      </c>
      <c r="N622" s="211">
        <v>9.0299999999999994</v>
      </c>
      <c r="O622" t="s">
        <v>18</v>
      </c>
      <c r="P622" t="s">
        <v>206</v>
      </c>
      <c r="S622" s="94" t="s">
        <v>20</v>
      </c>
      <c r="T622" s="222">
        <v>0.7</v>
      </c>
      <c r="U622" s="222">
        <v>0.3</v>
      </c>
      <c r="V622" s="222" t="s">
        <v>243</v>
      </c>
      <c r="AC622" s="63">
        <v>6</v>
      </c>
      <c r="AF622" s="20" t="s">
        <v>3575</v>
      </c>
      <c r="AH622" s="49">
        <f>Table2[[#This Row],[Prix de vente ($)]]/Table2[[#This Row],[Superficie totale (ha)]]</f>
        <v>66445.182724252503</v>
      </c>
    </row>
    <row r="623" spans="1:35">
      <c r="A623" s="196" t="s">
        <v>3576</v>
      </c>
      <c r="C623" s="318">
        <v>45835</v>
      </c>
      <c r="D623" t="s">
        <v>3577</v>
      </c>
      <c r="E623" t="s">
        <v>3578</v>
      </c>
      <c r="F623" t="s">
        <v>3579</v>
      </c>
      <c r="G623" s="93">
        <v>273000</v>
      </c>
      <c r="I623" t="s">
        <v>654</v>
      </c>
      <c r="J623" s="328" t="s">
        <v>3580</v>
      </c>
      <c r="K623" t="s">
        <v>3581</v>
      </c>
      <c r="L623" s="205">
        <v>46.971927999999998</v>
      </c>
      <c r="M623" s="270" t="s">
        <v>3582</v>
      </c>
      <c r="N623" s="211">
        <v>25.69</v>
      </c>
      <c r="O623" t="s">
        <v>71</v>
      </c>
      <c r="P623" t="s">
        <v>2177</v>
      </c>
      <c r="S623" s="94" t="s">
        <v>62</v>
      </c>
      <c r="T623" s="222">
        <v>0.65</v>
      </c>
      <c r="U623" s="222">
        <v>0.35</v>
      </c>
      <c r="V623" s="222">
        <v>0.75</v>
      </c>
      <c r="AC623" s="63">
        <v>13.5</v>
      </c>
      <c r="AH623" s="49">
        <f>Table2[[#This Row],[Prix de vente ($)]]/Table2[[#This Row],[Superficie totale (ha)]]</f>
        <v>10626.702997275204</v>
      </c>
    </row>
    <row r="624" spans="1:35">
      <c r="A624" s="470" t="s">
        <v>3583</v>
      </c>
      <c r="B624" s="66"/>
      <c r="C624" s="362">
        <v>45835</v>
      </c>
      <c r="D624" s="66" t="s">
        <v>3584</v>
      </c>
      <c r="E624" s="66" t="s">
        <v>3585</v>
      </c>
      <c r="F624" s="66">
        <v>6580804</v>
      </c>
      <c r="G624" s="353">
        <v>375000</v>
      </c>
      <c r="H624" s="66"/>
      <c r="I624" s="66" t="s">
        <v>74</v>
      </c>
      <c r="J624" s="66" t="s">
        <v>3287</v>
      </c>
      <c r="K624" s="66" t="s">
        <v>3586</v>
      </c>
      <c r="L624" s="207">
        <v>46.153770000000002</v>
      </c>
      <c r="M624" s="203" t="s">
        <v>3587</v>
      </c>
      <c r="N624" s="210">
        <v>40.78</v>
      </c>
      <c r="O624" s="66" t="s">
        <v>18</v>
      </c>
      <c r="P624" s="66" t="s">
        <v>19</v>
      </c>
      <c r="Q624" s="212">
        <v>40.78</v>
      </c>
      <c r="R624" s="66">
        <v>0</v>
      </c>
      <c r="S624" s="98" t="s">
        <v>20</v>
      </c>
      <c r="T624" s="221">
        <v>1</v>
      </c>
      <c r="U624" s="221">
        <v>0</v>
      </c>
      <c r="V624" s="221">
        <v>0.8</v>
      </c>
      <c r="W624" s="493"/>
      <c r="X624" s="221"/>
      <c r="Y624" s="66"/>
      <c r="Z624" s="123"/>
      <c r="AB624" s="66"/>
      <c r="AC624" s="123">
        <v>39.299999999999997</v>
      </c>
      <c r="AD624" s="354"/>
      <c r="AE624" s="123"/>
      <c r="AF624" s="66"/>
      <c r="AG624" s="66"/>
      <c r="AH624" s="74">
        <f>Table2[[#This Row],[Prix de vente ($)]]/Table2[[#This Row],[Superficie totale (ha)]]</f>
        <v>9195.6841589014221</v>
      </c>
      <c r="AI624" s="66"/>
    </row>
    <row r="625" spans="1:34">
      <c r="A625" s="196">
        <v>29571541</v>
      </c>
      <c r="C625" s="318">
        <v>45841</v>
      </c>
      <c r="D625" s="239" t="s">
        <v>3588</v>
      </c>
      <c r="E625" s="239" t="s">
        <v>3589</v>
      </c>
      <c r="F625" s="239" t="s">
        <v>3590</v>
      </c>
      <c r="G625" s="93">
        <v>110000</v>
      </c>
      <c r="I625" t="s">
        <v>3076</v>
      </c>
      <c r="J625" t="s">
        <v>3591</v>
      </c>
      <c r="L625" s="205">
        <v>46.952807</v>
      </c>
      <c r="M625" s="205">
        <v>-69.928088000000002</v>
      </c>
      <c r="N625" s="211">
        <v>10.48</v>
      </c>
      <c r="O625" t="s">
        <v>25</v>
      </c>
      <c r="P625" t="s">
        <v>19</v>
      </c>
      <c r="Q625" s="199">
        <v>10.48</v>
      </c>
      <c r="S625" s="94" t="s">
        <v>310</v>
      </c>
      <c r="T625" s="222">
        <v>0.3</v>
      </c>
      <c r="U625" s="222">
        <v>0.7</v>
      </c>
      <c r="V625" s="222">
        <v>0.75</v>
      </c>
      <c r="AC625" s="63">
        <v>2.9</v>
      </c>
      <c r="AF625" t="s">
        <v>3592</v>
      </c>
      <c r="AH625" s="49">
        <f>Table2[[#This Row],[Prix de vente ($)]]/Table2[[#This Row],[Superficie totale (ha)]]</f>
        <v>10496.183206106869</v>
      </c>
    </row>
    <row r="626" spans="1:34">
      <c r="A626" s="196" t="s">
        <v>3593</v>
      </c>
      <c r="C626" s="318">
        <v>45841</v>
      </c>
      <c r="F626" t="s">
        <v>3594</v>
      </c>
      <c r="I626" t="s">
        <v>201</v>
      </c>
      <c r="AH626" s="49" t="e">
        <f>Table2[[#This Row],[Prix de vente ($)]]/Table2[[#This Row],[Superficie totale (ha)]]</f>
        <v>#DIV/0!</v>
      </c>
    </row>
    <row r="627" spans="1:34" ht="15.75">
      <c r="A627" s="196">
        <v>29576242</v>
      </c>
      <c r="C627" s="318">
        <v>45842</v>
      </c>
      <c r="D627" s="249" t="s">
        <v>3595</v>
      </c>
      <c r="E627" s="249" t="s">
        <v>3596</v>
      </c>
      <c r="F627" t="s">
        <v>3597</v>
      </c>
      <c r="G627" s="306">
        <v>375000</v>
      </c>
      <c r="I627" t="s">
        <v>909</v>
      </c>
      <c r="J627" t="s">
        <v>98</v>
      </c>
      <c r="L627" s="204">
        <v>47.082197000000001</v>
      </c>
      <c r="M627" s="204">
        <v>-71.352108999999999</v>
      </c>
      <c r="N627" s="211">
        <v>54.93</v>
      </c>
      <c r="O627" t="s">
        <v>25</v>
      </c>
      <c r="P627" t="s">
        <v>1726</v>
      </c>
      <c r="Q627" s="211">
        <v>54.93</v>
      </c>
      <c r="S627" s="94" t="s">
        <v>20</v>
      </c>
      <c r="T627" s="222">
        <v>0.8</v>
      </c>
      <c r="U627" s="222">
        <v>0.2</v>
      </c>
      <c r="AC627" s="63">
        <v>6.7</v>
      </c>
      <c r="AH627" s="49">
        <f>Table2[[#This Row],[Prix de vente ($)]]/Table2[[#This Row],[Superficie totale (ha)]]</f>
        <v>6826.8705625341345</v>
      </c>
    </row>
    <row r="628" spans="1:34">
      <c r="A628" s="239" t="s">
        <v>3598</v>
      </c>
      <c r="C628" s="318">
        <v>45845</v>
      </c>
      <c r="D628" s="247" t="s">
        <v>549</v>
      </c>
      <c r="E628" s="247" t="s">
        <v>3599</v>
      </c>
      <c r="F628" s="247" t="s">
        <v>3600</v>
      </c>
      <c r="G628" s="93">
        <v>135000</v>
      </c>
      <c r="I628" t="s">
        <v>53</v>
      </c>
      <c r="J628" t="s">
        <v>3601</v>
      </c>
      <c r="L628" s="205">
        <v>47.665753000000002</v>
      </c>
      <c r="M628" s="205">
        <v>-69.170337000000004</v>
      </c>
      <c r="N628" s="211">
        <v>43.99</v>
      </c>
      <c r="O628" t="s">
        <v>25</v>
      </c>
      <c r="P628" t="s">
        <v>19</v>
      </c>
      <c r="S628" s="94" t="s">
        <v>33</v>
      </c>
      <c r="T628" s="222">
        <v>0.2</v>
      </c>
      <c r="U628" s="222">
        <v>0.8</v>
      </c>
      <c r="V628" s="222">
        <v>0.75</v>
      </c>
      <c r="AF628" t="s">
        <v>3602</v>
      </c>
      <c r="AH628" s="49">
        <f>Table2[[#This Row],[Prix de vente ($)]]/Table2[[#This Row],[Superficie totale (ha)]]</f>
        <v>3068.8792907478969</v>
      </c>
    </row>
    <row r="629" spans="1:34" ht="45">
      <c r="A629" s="196" t="s">
        <v>3603</v>
      </c>
      <c r="B629">
        <v>23867573</v>
      </c>
      <c r="C629" s="318">
        <v>45846</v>
      </c>
      <c r="D629" s="20" t="s">
        <v>3604</v>
      </c>
      <c r="E629" t="s">
        <v>3605</v>
      </c>
      <c r="F629" t="s">
        <v>3606</v>
      </c>
      <c r="G629" s="93">
        <v>1200000</v>
      </c>
      <c r="I629" t="s">
        <v>2157</v>
      </c>
      <c r="J629" s="20" t="s">
        <v>3154</v>
      </c>
      <c r="K629" s="20" t="s">
        <v>3607</v>
      </c>
      <c r="L629" s="205">
        <v>45.021844999999999</v>
      </c>
      <c r="M629" s="270" t="s">
        <v>3608</v>
      </c>
      <c r="N629" s="211">
        <f>39.86+20.12</f>
        <v>59.980000000000004</v>
      </c>
      <c r="O629" t="s">
        <v>18</v>
      </c>
      <c r="P629" t="s">
        <v>3609</v>
      </c>
      <c r="R629">
        <f>2.2+2.2+1.2+0.3+1.4+5.1</f>
        <v>12.4</v>
      </c>
      <c r="S629" s="94" t="s">
        <v>20</v>
      </c>
      <c r="T629" s="222">
        <v>0.9</v>
      </c>
      <c r="U629" s="222">
        <v>0.1</v>
      </c>
      <c r="V629" s="222">
        <v>0.74</v>
      </c>
      <c r="Y629" t="s">
        <v>21</v>
      </c>
      <c r="AC629" s="63">
        <f>2.5+2.3+17.3</f>
        <v>22.1</v>
      </c>
      <c r="AE629" s="63">
        <v>8600</v>
      </c>
      <c r="AF629" t="s">
        <v>3610</v>
      </c>
      <c r="AH629" s="49">
        <f>Table2[[#This Row],[Prix de vente ($)]]/Table2[[#This Row],[Superficie totale (ha)]]</f>
        <v>20006.668889629877</v>
      </c>
    </row>
    <row r="630" spans="1:34">
      <c r="A630" s="196" t="s">
        <v>3611</v>
      </c>
      <c r="C630" s="318">
        <v>45847</v>
      </c>
      <c r="D630" t="s">
        <v>3612</v>
      </c>
      <c r="E630" t="s">
        <v>3613</v>
      </c>
      <c r="F630" t="s">
        <v>3614</v>
      </c>
      <c r="G630" s="93">
        <v>105000</v>
      </c>
      <c r="I630" t="s">
        <v>75</v>
      </c>
      <c r="J630" t="s">
        <v>1972</v>
      </c>
      <c r="K630" t="s">
        <v>3615</v>
      </c>
      <c r="L630" s="205">
        <v>46.654936999999997</v>
      </c>
      <c r="M630" s="270" t="s">
        <v>3616</v>
      </c>
      <c r="N630" s="211">
        <v>21.12</v>
      </c>
      <c r="P630" t="s">
        <v>384</v>
      </c>
      <c r="S630" s="94" t="s">
        <v>20</v>
      </c>
      <c r="T630" s="222">
        <v>0.8</v>
      </c>
      <c r="U630" s="222">
        <v>0.2</v>
      </c>
      <c r="V630" s="222">
        <v>0.9</v>
      </c>
      <c r="AC630" s="63">
        <v>12</v>
      </c>
      <c r="AH630" s="49">
        <f>Table2[[#This Row],[Prix de vente ($)]]/Table2[[#This Row],[Superficie totale (ha)]]</f>
        <v>4971.590909090909</v>
      </c>
    </row>
    <row r="631" spans="1:34" ht="45">
      <c r="A631" s="196">
        <v>29590190</v>
      </c>
      <c r="C631" s="318">
        <v>45847</v>
      </c>
      <c r="D631" s="265" t="s">
        <v>3617</v>
      </c>
      <c r="E631" s="265" t="s">
        <v>3618</v>
      </c>
      <c r="F631" s="265" t="s">
        <v>3619</v>
      </c>
      <c r="G631" s="93">
        <v>152000</v>
      </c>
      <c r="I631" t="s">
        <v>3076</v>
      </c>
      <c r="J631" t="s">
        <v>3620</v>
      </c>
      <c r="L631" s="205">
        <v>46.905464000000002</v>
      </c>
      <c r="M631" s="205">
        <v>-69.917796999999993</v>
      </c>
      <c r="N631" s="211">
        <v>40.57</v>
      </c>
      <c r="O631" t="s">
        <v>25</v>
      </c>
      <c r="P631" t="s">
        <v>19</v>
      </c>
      <c r="Q631" s="199">
        <v>40.57</v>
      </c>
      <c r="S631" s="94" t="s">
        <v>175</v>
      </c>
      <c r="T631" s="222">
        <v>0.5</v>
      </c>
      <c r="U631" s="222">
        <v>0.5</v>
      </c>
      <c r="V631" s="222">
        <v>0.6</v>
      </c>
      <c r="AC631" s="63">
        <v>15</v>
      </c>
      <c r="AF631" s="20" t="s">
        <v>3621</v>
      </c>
      <c r="AH631" s="49">
        <f>Table2[[#This Row],[Prix de vente ($)]]/Table2[[#This Row],[Superficie totale (ha)]]</f>
        <v>3746.6107961547941</v>
      </c>
    </row>
    <row r="632" spans="1:34">
      <c r="A632" s="239" t="s">
        <v>3622</v>
      </c>
      <c r="C632" s="318">
        <v>45847</v>
      </c>
      <c r="D632" s="247" t="s">
        <v>3623</v>
      </c>
      <c r="E632" s="247" t="s">
        <v>3624</v>
      </c>
      <c r="F632" s="247" t="s">
        <v>3625</v>
      </c>
      <c r="G632" s="93">
        <v>275000</v>
      </c>
      <c r="I632" t="s">
        <v>53</v>
      </c>
      <c r="J632" s="241" t="s">
        <v>64</v>
      </c>
      <c r="L632" s="205">
        <v>47.444484000000003</v>
      </c>
      <c r="M632" s="205">
        <v>-69.363483000000002</v>
      </c>
      <c r="N632" s="211">
        <v>67.81</v>
      </c>
      <c r="O632" t="s">
        <v>25</v>
      </c>
      <c r="P632" t="s">
        <v>173</v>
      </c>
      <c r="S632" s="94" t="s">
        <v>20</v>
      </c>
      <c r="T632" s="222">
        <v>1</v>
      </c>
      <c r="U632" s="222">
        <v>0</v>
      </c>
      <c r="V632" s="222">
        <v>0.65</v>
      </c>
      <c r="AC632" s="63">
        <v>54.4</v>
      </c>
      <c r="AF632" t="s">
        <v>3626</v>
      </c>
      <c r="AH632" s="49">
        <f>Table2[[#This Row],[Prix de vente ($)]]/Table2[[#This Row],[Superficie totale (ha)]]</f>
        <v>4055.4490488128595</v>
      </c>
    </row>
    <row r="633" spans="1:34">
      <c r="A633" s="196">
        <v>29592371</v>
      </c>
      <c r="C633" s="318">
        <v>45848</v>
      </c>
      <c r="D633" s="239" t="s">
        <v>3627</v>
      </c>
      <c r="E633" s="239" t="s">
        <v>3628</v>
      </c>
      <c r="F633" s="239" t="s">
        <v>3629</v>
      </c>
      <c r="G633" s="93">
        <v>240000</v>
      </c>
      <c r="I633" t="s">
        <v>909</v>
      </c>
      <c r="J633" t="s">
        <v>910</v>
      </c>
      <c r="L633" s="205">
        <v>46.852057000000002</v>
      </c>
      <c r="M633" s="205">
        <v>-71.687876000000003</v>
      </c>
      <c r="N633" s="211">
        <v>14.78</v>
      </c>
      <c r="O633" t="s">
        <v>25</v>
      </c>
      <c r="P633" t="s">
        <v>1726</v>
      </c>
      <c r="Q633" s="199">
        <v>14.78</v>
      </c>
      <c r="S633" s="94" t="s">
        <v>62</v>
      </c>
      <c r="T633" s="222">
        <v>1</v>
      </c>
      <c r="U633" s="222">
        <v>0</v>
      </c>
      <c r="V633" s="222">
        <v>0.85</v>
      </c>
      <c r="AC633" s="63">
        <v>10</v>
      </c>
      <c r="AF633" t="s">
        <v>3630</v>
      </c>
      <c r="AH633" s="49">
        <f>Table2[[#This Row],[Prix de vente ($)]]/Table2[[#This Row],[Superficie totale (ha)]]</f>
        <v>16238.159675236808</v>
      </c>
    </row>
    <row r="634" spans="1:34" ht="15.75">
      <c r="A634" s="297" t="s">
        <v>3631</v>
      </c>
      <c r="C634" s="318">
        <v>45849</v>
      </c>
      <c r="D634" s="249" t="s">
        <v>3632</v>
      </c>
      <c r="E634" s="249" t="s">
        <v>3633</v>
      </c>
      <c r="F634" t="s">
        <v>3634</v>
      </c>
      <c r="G634" s="93">
        <v>98000</v>
      </c>
      <c r="I634" t="s">
        <v>1629</v>
      </c>
      <c r="J634" t="s">
        <v>3414</v>
      </c>
      <c r="K634" s="249" t="s">
        <v>3635</v>
      </c>
      <c r="L634" s="205">
        <v>45.663038</v>
      </c>
      <c r="M634" s="205">
        <v>-71.538842000000002</v>
      </c>
      <c r="N634" s="211">
        <v>48.47</v>
      </c>
      <c r="O634" t="s">
        <v>18</v>
      </c>
      <c r="P634" t="s">
        <v>1179</v>
      </c>
      <c r="Q634" s="298">
        <f>Table2[[#This Row],[Superficie totale (ha)]]-1.1</f>
        <v>47.37</v>
      </c>
      <c r="S634" s="94" t="s">
        <v>33</v>
      </c>
      <c r="T634" s="222">
        <v>0.15</v>
      </c>
      <c r="U634" s="222">
        <v>0.85</v>
      </c>
      <c r="V634" s="222">
        <v>0.65</v>
      </c>
      <c r="AC634" s="63">
        <v>0</v>
      </c>
      <c r="AF634" t="s">
        <v>3636</v>
      </c>
      <c r="AH634" s="49">
        <f>Table2[[#This Row],[Prix de vente ($)]]/Table2[[#This Row],[Superficie totale (ha)]]</f>
        <v>2021.8691974417166</v>
      </c>
    </row>
    <row r="635" spans="1:34">
      <c r="A635" s="239" t="s">
        <v>3637</v>
      </c>
      <c r="C635" s="318">
        <v>45849</v>
      </c>
      <c r="D635" s="247" t="s">
        <v>3638</v>
      </c>
      <c r="E635" s="247" t="s">
        <v>3639</v>
      </c>
      <c r="F635" s="247" t="s">
        <v>3640</v>
      </c>
      <c r="G635" s="93">
        <v>115000</v>
      </c>
      <c r="I635" t="s">
        <v>53</v>
      </c>
      <c r="J635" s="241" t="s">
        <v>64</v>
      </c>
      <c r="K635" s="247" t="s">
        <v>3641</v>
      </c>
      <c r="L635" s="205">
        <v>47.459401999999997</v>
      </c>
      <c r="M635" s="205">
        <v>-69.368750000000006</v>
      </c>
      <c r="N635" s="211">
        <v>43.98</v>
      </c>
      <c r="O635" t="s">
        <v>25</v>
      </c>
      <c r="P635" t="s">
        <v>173</v>
      </c>
      <c r="S635" s="94" t="s">
        <v>175</v>
      </c>
      <c r="T635" s="222">
        <v>0.5</v>
      </c>
      <c r="U635" s="222">
        <v>0.5</v>
      </c>
      <c r="V635" s="222">
        <v>0.7</v>
      </c>
      <c r="AC635" s="63">
        <v>5.9</v>
      </c>
      <c r="AH635" s="49">
        <f>Table2[[#This Row],[Prix de vente ($)]]/Table2[[#This Row],[Superficie totale (ha)]]</f>
        <v>2614.8249204183721</v>
      </c>
    </row>
    <row r="636" spans="1:34" ht="18">
      <c r="A636" s="239" t="s">
        <v>3642</v>
      </c>
      <c r="C636" s="365">
        <v>45849</v>
      </c>
      <c r="G636" s="366">
        <v>59999</v>
      </c>
      <c r="I636" t="s">
        <v>29</v>
      </c>
      <c r="N636" s="369">
        <v>1.1200000000000001</v>
      </c>
      <c r="AH636" s="49">
        <f>Table2[[#This Row],[Prix de vente ($)]]/Table2[[#This Row],[Superficie totale (ha)]]</f>
        <v>53570.53571428571</v>
      </c>
    </row>
    <row r="637" spans="1:34">
      <c r="A637" s="239" t="s">
        <v>3643</v>
      </c>
      <c r="C637" s="318">
        <v>45853</v>
      </c>
      <c r="D637" s="247" t="s">
        <v>3644</v>
      </c>
      <c r="E637" s="247" t="s">
        <v>3645</v>
      </c>
      <c r="F637" s="247" t="s">
        <v>3646</v>
      </c>
      <c r="G637" s="93">
        <v>50000</v>
      </c>
      <c r="I637" t="s">
        <v>53</v>
      </c>
      <c r="J637" s="247" t="s">
        <v>3647</v>
      </c>
      <c r="L637" s="205">
        <v>47.425235999999998</v>
      </c>
      <c r="M637" s="205">
        <v>-68.950354000000004</v>
      </c>
      <c r="N637" s="211">
        <v>40.07</v>
      </c>
      <c r="O637" t="s">
        <v>25</v>
      </c>
      <c r="P637" t="s">
        <v>19</v>
      </c>
      <c r="S637" s="94" t="s">
        <v>310</v>
      </c>
      <c r="T637" s="222">
        <v>0.35</v>
      </c>
      <c r="U637" s="222">
        <v>0.65</v>
      </c>
      <c r="V637" s="222">
        <v>0.7</v>
      </c>
      <c r="AF637" t="s">
        <v>3648</v>
      </c>
      <c r="AH637" s="49">
        <f>Table2[[#This Row],[Prix de vente ($)]]/Table2[[#This Row],[Superficie totale (ha)]]</f>
        <v>1247.8163214374845</v>
      </c>
    </row>
    <row r="638" spans="1:34" ht="18">
      <c r="A638" s="239" t="s">
        <v>3649</v>
      </c>
      <c r="C638" s="365">
        <v>45856</v>
      </c>
      <c r="G638" s="366">
        <v>90000</v>
      </c>
      <c r="I638" t="s">
        <v>29</v>
      </c>
      <c r="N638" s="369">
        <v>9.27</v>
      </c>
      <c r="AH638" s="49">
        <f>Table2[[#This Row],[Prix de vente ($)]]/Table2[[#This Row],[Superficie totale (ha)]]</f>
        <v>9708.7378640776697</v>
      </c>
    </row>
    <row r="639" spans="1:34" ht="54">
      <c r="A639" s="196" t="s">
        <v>3650</v>
      </c>
      <c r="C639" s="318">
        <v>45859</v>
      </c>
      <c r="F639" t="s">
        <v>3651</v>
      </c>
      <c r="G639" s="367">
        <v>298900</v>
      </c>
      <c r="I639" t="s">
        <v>2445</v>
      </c>
      <c r="J639" t="s">
        <v>2953</v>
      </c>
      <c r="N639" s="223">
        <v>3.5</v>
      </c>
      <c r="O639" s="50" t="s">
        <v>18</v>
      </c>
      <c r="P639" s="424" t="s">
        <v>35</v>
      </c>
      <c r="Q639" s="223">
        <v>3.5</v>
      </c>
      <c r="S639" s="50" t="s">
        <v>62</v>
      </c>
      <c r="T639" s="425">
        <v>1</v>
      </c>
      <c r="U639" s="425">
        <v>0</v>
      </c>
      <c r="V639" s="425">
        <v>0.75</v>
      </c>
      <c r="W639" s="494"/>
      <c r="X639" s="425"/>
      <c r="AC639" s="50">
        <v>2.9</v>
      </c>
      <c r="AF639" s="426" t="s">
        <v>3652</v>
      </c>
      <c r="AH639" s="49">
        <f>Table2[[#This Row],[Prix de vente ($)]]/Table2[[#This Row],[Superficie totale (ha)]]</f>
        <v>85400</v>
      </c>
    </row>
    <row r="640" spans="1:34" ht="18">
      <c r="A640" s="196" t="s">
        <v>3653</v>
      </c>
      <c r="C640" s="318">
        <v>45867</v>
      </c>
      <c r="D640" t="s">
        <v>3654</v>
      </c>
      <c r="E640" t="s">
        <v>3655</v>
      </c>
      <c r="F640" t="s">
        <v>3656</v>
      </c>
      <c r="G640" s="93">
        <v>151140</v>
      </c>
      <c r="I640" t="s">
        <v>75</v>
      </c>
      <c r="J640" t="s">
        <v>1972</v>
      </c>
      <c r="K640" t="s">
        <v>3657</v>
      </c>
      <c r="L640" s="205">
        <v>46.645256000000003</v>
      </c>
      <c r="M640" s="270" t="s">
        <v>3658</v>
      </c>
      <c r="N640" s="211">
        <f>9.6+4.9+1.96+7.93+1.45</f>
        <v>25.84</v>
      </c>
      <c r="O640" s="50" t="s">
        <v>18</v>
      </c>
      <c r="P640" t="s">
        <v>63</v>
      </c>
      <c r="S640" s="50" t="s">
        <v>62</v>
      </c>
      <c r="T640" s="222">
        <v>0.6</v>
      </c>
      <c r="U640" s="222">
        <v>0.4</v>
      </c>
      <c r="V640" s="222">
        <v>0.9</v>
      </c>
      <c r="AC640" s="63">
        <v>5.8</v>
      </c>
      <c r="AF640" t="s">
        <v>3659</v>
      </c>
      <c r="AH640" s="49">
        <f>Table2[[#This Row],[Prix de vente ($)]]/Table2[[#This Row],[Superficie totale (ha)]]</f>
        <v>5849.071207430341</v>
      </c>
    </row>
    <row r="641" spans="1:34">
      <c r="A641" s="196">
        <v>29641587</v>
      </c>
      <c r="C641" s="318">
        <v>45868</v>
      </c>
      <c r="D641" s="239" t="s">
        <v>3660</v>
      </c>
      <c r="E641" s="239" t="s">
        <v>3661</v>
      </c>
      <c r="F641" s="239" t="s">
        <v>3662</v>
      </c>
      <c r="G641" s="93">
        <v>90000</v>
      </c>
      <c r="I641" t="s">
        <v>909</v>
      </c>
      <c r="J641" t="s">
        <v>3663</v>
      </c>
      <c r="L641" s="205">
        <v>47.041530000000002</v>
      </c>
      <c r="M641" s="205">
        <v>-71.187505000000002</v>
      </c>
      <c r="N641" s="211">
        <v>7.27</v>
      </c>
      <c r="O641" t="s">
        <v>25</v>
      </c>
      <c r="P641" s="80" t="s">
        <v>317</v>
      </c>
      <c r="Q641" s="199">
        <v>7.27</v>
      </c>
      <c r="S641" s="94" t="s">
        <v>175</v>
      </c>
      <c r="T641" s="222">
        <v>0.5</v>
      </c>
      <c r="U641" s="222">
        <v>0.5</v>
      </c>
      <c r="V641" s="222">
        <v>0.8</v>
      </c>
      <c r="AC641" s="63">
        <v>0</v>
      </c>
      <c r="AF641" t="s">
        <v>3664</v>
      </c>
      <c r="AH641" s="49">
        <f>Table2[[#This Row],[Prix de vente ($)]]/Table2[[#This Row],[Superficie totale (ha)]]</f>
        <v>12379.642365887208</v>
      </c>
    </row>
    <row r="642" spans="1:34">
      <c r="A642" s="196" t="s">
        <v>3665</v>
      </c>
      <c r="C642" s="318">
        <v>45870</v>
      </c>
      <c r="D642" t="s">
        <v>3666</v>
      </c>
      <c r="E642" t="s">
        <v>3667</v>
      </c>
      <c r="F642" t="s">
        <v>3668</v>
      </c>
      <c r="G642" s="93">
        <v>1000000</v>
      </c>
      <c r="I642" t="s">
        <v>2157</v>
      </c>
      <c r="J642" s="328" t="s">
        <v>3669</v>
      </c>
      <c r="K642" t="s">
        <v>3670</v>
      </c>
      <c r="L642" s="205">
        <v>45.048512000000002</v>
      </c>
      <c r="M642" s="270" t="s">
        <v>3671</v>
      </c>
      <c r="N642" s="211">
        <v>33.82</v>
      </c>
      <c r="O642" t="s">
        <v>18</v>
      </c>
      <c r="P642" t="s">
        <v>206</v>
      </c>
      <c r="S642" s="94" t="s">
        <v>20</v>
      </c>
      <c r="T642" s="222">
        <v>0.7</v>
      </c>
      <c r="U642" s="222">
        <v>0.3</v>
      </c>
      <c r="V642" s="222">
        <v>0.7</v>
      </c>
      <c r="Y642" t="s">
        <v>3672</v>
      </c>
      <c r="AC642" s="63">
        <v>5.0999999999999996</v>
      </c>
      <c r="AF642" t="s">
        <v>3673</v>
      </c>
      <c r="AH642" s="49">
        <f>Table2[[#This Row],[Prix de vente ($)]]/Table2[[#This Row],[Superficie totale (ha)]]</f>
        <v>29568.302779420461</v>
      </c>
    </row>
    <row r="643" spans="1:34" ht="15.75">
      <c r="A643" s="196">
        <v>29654469</v>
      </c>
      <c r="C643" s="318">
        <v>45875</v>
      </c>
      <c r="D643" s="249" t="s">
        <v>3674</v>
      </c>
      <c r="E643" s="249" t="s">
        <v>3675</v>
      </c>
      <c r="F643" s="249" t="s">
        <v>3676</v>
      </c>
      <c r="G643" s="93">
        <v>325750</v>
      </c>
      <c r="I643" t="s">
        <v>909</v>
      </c>
      <c r="J643" t="s">
        <v>106</v>
      </c>
      <c r="L643" s="205">
        <v>46.980468000000002</v>
      </c>
      <c r="M643" s="205">
        <v>-71.360073999999997</v>
      </c>
      <c r="N643" s="211">
        <v>31.37</v>
      </c>
      <c r="O643" t="s">
        <v>25</v>
      </c>
      <c r="P643" s="80" t="s">
        <v>317</v>
      </c>
      <c r="Q643" s="199">
        <v>31.37</v>
      </c>
      <c r="S643" s="94" t="s">
        <v>62</v>
      </c>
      <c r="T643" s="222">
        <v>1</v>
      </c>
      <c r="U643" s="222">
        <v>0</v>
      </c>
      <c r="V643" s="222">
        <v>0.8</v>
      </c>
      <c r="AC643" s="63">
        <v>18.3</v>
      </c>
      <c r="AF643" t="s">
        <v>3677</v>
      </c>
      <c r="AH643" s="49">
        <f>Table2[[#This Row],[Prix de vente ($)]]/Table2[[#This Row],[Superficie totale (ha)]]</f>
        <v>10384.124960153013</v>
      </c>
    </row>
    <row r="644" spans="1:34" ht="15.75">
      <c r="A644" s="239" t="s">
        <v>3678</v>
      </c>
      <c r="C644" s="318">
        <v>45875</v>
      </c>
      <c r="D644" s="249" t="s">
        <v>3679</v>
      </c>
      <c r="E644" s="249" t="s">
        <v>3680</v>
      </c>
      <c r="F644" s="249" t="s">
        <v>3681</v>
      </c>
      <c r="G644" s="93">
        <v>350000</v>
      </c>
      <c r="I644" t="s">
        <v>1597</v>
      </c>
      <c r="J644" t="s">
        <v>3441</v>
      </c>
      <c r="K644" s="249" t="s">
        <v>3682</v>
      </c>
      <c r="L644" s="205">
        <v>45.128188999999999</v>
      </c>
      <c r="M644" s="205">
        <v>-72.343175000000002</v>
      </c>
      <c r="N644" s="211">
        <v>19.45</v>
      </c>
      <c r="O644" t="s">
        <v>25</v>
      </c>
      <c r="P644" t="s">
        <v>317</v>
      </c>
      <c r="S644" s="94" t="s">
        <v>20</v>
      </c>
      <c r="T644" s="222">
        <v>1</v>
      </c>
      <c r="U644" s="222">
        <v>0</v>
      </c>
      <c r="V644" s="222">
        <v>0.75</v>
      </c>
      <c r="AC644" s="63">
        <v>19.45</v>
      </c>
      <c r="AF644" t="s">
        <v>3683</v>
      </c>
      <c r="AH644" s="49">
        <f>Table2[[#This Row],[Prix de vente ($)]]/Table2[[#This Row],[Superficie totale (ha)]]</f>
        <v>17994.858611825195</v>
      </c>
    </row>
    <row r="645" spans="1:34">
      <c r="A645" s="196" t="s">
        <v>3684</v>
      </c>
      <c r="B645" s="318"/>
      <c r="C645" s="318">
        <v>45876</v>
      </c>
      <c r="D645" t="s">
        <v>3685</v>
      </c>
      <c r="E645" t="s">
        <v>3686</v>
      </c>
      <c r="F645" t="s">
        <v>3687</v>
      </c>
      <c r="G645" s="93">
        <v>750000</v>
      </c>
      <c r="I645" t="s">
        <v>160</v>
      </c>
      <c r="J645" t="s">
        <v>3688</v>
      </c>
      <c r="L645" s="205">
        <v>46.190086999999998</v>
      </c>
      <c r="M645" s="205">
        <v>-71.633937000000003</v>
      </c>
      <c r="N645" s="211">
        <v>13.16</v>
      </c>
      <c r="O645" s="43" t="s">
        <v>18</v>
      </c>
      <c r="P645" s="47" t="s">
        <v>19</v>
      </c>
      <c r="Q645" s="211">
        <v>13.16</v>
      </c>
      <c r="R645">
        <v>0</v>
      </c>
      <c r="S645" s="16" t="s">
        <v>20</v>
      </c>
      <c r="T645" s="222">
        <v>1</v>
      </c>
      <c r="U645" s="222">
        <v>0</v>
      </c>
      <c r="AC645" s="63">
        <v>13.16</v>
      </c>
      <c r="AF645" t="s">
        <v>3689</v>
      </c>
      <c r="AH645" s="49">
        <f>Table2[[#This Row],[Prix de vente ($)]]/Table2[[#This Row],[Superficie totale (ha)]]</f>
        <v>56990.881458966564</v>
      </c>
    </row>
    <row r="646" spans="1:34">
      <c r="A646" s="351" t="s">
        <v>3690</v>
      </c>
      <c r="C646" s="318">
        <v>45877</v>
      </c>
      <c r="D646" t="s">
        <v>3691</v>
      </c>
      <c r="E646" t="s">
        <v>3692</v>
      </c>
      <c r="F646" t="s">
        <v>3693</v>
      </c>
      <c r="G646" s="93">
        <v>225000</v>
      </c>
      <c r="I646" t="s">
        <v>3407</v>
      </c>
      <c r="J646" t="s">
        <v>3694</v>
      </c>
      <c r="K646" t="s">
        <v>3695</v>
      </c>
      <c r="L646" s="205">
        <v>46.489199999999997</v>
      </c>
      <c r="M646" s="270" t="s">
        <v>3696</v>
      </c>
      <c r="N646" s="211">
        <v>12.60699</v>
      </c>
      <c r="O646" t="s">
        <v>18</v>
      </c>
      <c r="P646" t="s">
        <v>949</v>
      </c>
      <c r="S646" s="94" t="s">
        <v>20</v>
      </c>
      <c r="T646" s="222">
        <v>0.7</v>
      </c>
      <c r="U646" s="222">
        <v>0.3</v>
      </c>
      <c r="V646" s="222">
        <v>0.75</v>
      </c>
      <c r="AC646" s="63">
        <v>7.9</v>
      </c>
      <c r="AF646" t="s">
        <v>3697</v>
      </c>
      <c r="AH646" s="49">
        <f>Table2[[#This Row],[Prix de vente ($)]]/Table2[[#This Row],[Superficie totale (ha)]]</f>
        <v>17847.241887238746</v>
      </c>
    </row>
    <row r="647" spans="1:34">
      <c r="A647" s="196" t="s">
        <v>3698</v>
      </c>
      <c r="C647" s="318">
        <v>45880</v>
      </c>
      <c r="F647" t="s">
        <v>3699</v>
      </c>
      <c r="I647" t="s">
        <v>258</v>
      </c>
      <c r="AH647" s="49"/>
    </row>
    <row r="648" spans="1:34">
      <c r="A648" s="196" t="s">
        <v>3700</v>
      </c>
      <c r="C648" s="318">
        <v>45882</v>
      </c>
      <c r="F648" t="s">
        <v>3701</v>
      </c>
      <c r="I648" t="s">
        <v>476</v>
      </c>
      <c r="AH648" s="49" t="e">
        <f>Table2[[#This Row],[Prix de vente ($)]]/Table2[[#This Row],[Superficie totale (ha)]]</f>
        <v>#DIV/0!</v>
      </c>
    </row>
    <row r="649" spans="1:34">
      <c r="A649" t="s">
        <v>3702</v>
      </c>
      <c r="C649" s="318">
        <v>45883</v>
      </c>
      <c r="D649" t="s">
        <v>244</v>
      </c>
      <c r="E649" t="s">
        <v>3703</v>
      </c>
      <c r="F649" t="s">
        <v>3704</v>
      </c>
      <c r="G649" s="93">
        <v>45000</v>
      </c>
      <c r="I649" t="s">
        <v>201</v>
      </c>
      <c r="J649" t="s">
        <v>201</v>
      </c>
      <c r="K649" t="s">
        <v>3705</v>
      </c>
      <c r="L649" s="205">
        <v>46.815275999999997</v>
      </c>
      <c r="M649" s="270" t="s">
        <v>3706</v>
      </c>
      <c r="N649" s="211">
        <v>5.19</v>
      </c>
      <c r="O649" t="s">
        <v>25</v>
      </c>
      <c r="P649" t="s">
        <v>19</v>
      </c>
      <c r="S649" s="94" t="s">
        <v>62</v>
      </c>
      <c r="T649" s="222">
        <v>1</v>
      </c>
      <c r="U649" s="222">
        <v>0</v>
      </c>
      <c r="V649" s="222">
        <v>0.85</v>
      </c>
      <c r="AC649" s="63">
        <v>5.19</v>
      </c>
      <c r="AH649" s="49">
        <f>Table2[[#This Row],[Prix de vente ($)]]/Table2[[#This Row],[Superficie totale (ha)]]</f>
        <v>8670.5202312138717</v>
      </c>
    </row>
    <row r="650" spans="1:34" ht="15.75">
      <c r="A650" s="196">
        <v>29674820</v>
      </c>
      <c r="C650" s="318">
        <v>45884</v>
      </c>
      <c r="D650" s="265" t="s">
        <v>3707</v>
      </c>
      <c r="E650" s="265" t="s">
        <v>3708</v>
      </c>
      <c r="F650" s="265" t="s">
        <v>3709</v>
      </c>
      <c r="G650" s="306">
        <v>80000</v>
      </c>
      <c r="I650" t="s">
        <v>29</v>
      </c>
      <c r="J650" t="s">
        <v>1847</v>
      </c>
      <c r="L650" s="204">
        <v>46.877547999999997</v>
      </c>
      <c r="M650" s="277" t="s">
        <v>3710</v>
      </c>
      <c r="N650" s="211">
        <v>21.36</v>
      </c>
      <c r="O650" t="s">
        <v>25</v>
      </c>
      <c r="P650" t="s">
        <v>2752</v>
      </c>
      <c r="Q650" s="211">
        <v>21.36</v>
      </c>
      <c r="S650" s="62" t="s">
        <v>33</v>
      </c>
      <c r="T650" s="219">
        <v>0.2</v>
      </c>
      <c r="U650" s="219">
        <v>0.8</v>
      </c>
      <c r="V650" s="219">
        <v>0.7</v>
      </c>
      <c r="W650" s="489"/>
      <c r="X650" s="219"/>
      <c r="AC650" s="63">
        <v>0</v>
      </c>
      <c r="AD650" s="273"/>
      <c r="AF650" t="s">
        <v>3711</v>
      </c>
      <c r="AH650" s="49">
        <f>Table2[[#This Row],[Prix de vente ($)]]/Table2[[#This Row],[Superficie totale (ha)]]</f>
        <v>3745.318352059925</v>
      </c>
    </row>
    <row r="651" spans="1:34">
      <c r="A651" s="196">
        <v>29678348</v>
      </c>
      <c r="C651" s="318">
        <v>45887</v>
      </c>
      <c r="D651" s="239" t="s">
        <v>3712</v>
      </c>
      <c r="E651" s="239" t="s">
        <v>3713</v>
      </c>
      <c r="F651" s="239" t="s">
        <v>3714</v>
      </c>
      <c r="G651" s="93">
        <v>120000</v>
      </c>
      <c r="I651" t="s">
        <v>16</v>
      </c>
      <c r="J651" t="s">
        <v>3715</v>
      </c>
      <c r="L651" s="205">
        <v>46.853254999999997</v>
      </c>
      <c r="M651" s="205">
        <v>-70.782696999999999</v>
      </c>
      <c r="N651" s="211">
        <v>5.82</v>
      </c>
      <c r="O651" t="s">
        <v>18</v>
      </c>
      <c r="P651" t="s">
        <v>206</v>
      </c>
      <c r="Q651" s="211">
        <v>5.82</v>
      </c>
      <c r="S651" s="94" t="s">
        <v>62</v>
      </c>
      <c r="T651" s="222">
        <v>1</v>
      </c>
      <c r="U651" s="222">
        <v>0</v>
      </c>
      <c r="V651" s="222">
        <v>0.75</v>
      </c>
      <c r="AC651" s="211">
        <v>5.82</v>
      </c>
      <c r="AF651" t="s">
        <v>3716</v>
      </c>
      <c r="AH651" s="49">
        <f>Table2[[#This Row],[Prix de vente ($)]]/Table2[[#This Row],[Superficie totale (ha)]]</f>
        <v>20618.556701030928</v>
      </c>
    </row>
    <row r="652" spans="1:34" ht="15.75">
      <c r="A652" s="196">
        <v>29682980</v>
      </c>
      <c r="C652" s="318">
        <v>45888</v>
      </c>
      <c r="D652" s="265" t="s">
        <v>3717</v>
      </c>
      <c r="E652" s="265" t="s">
        <v>3718</v>
      </c>
      <c r="F652" s="272" t="s">
        <v>3719</v>
      </c>
      <c r="G652" s="93">
        <v>115000</v>
      </c>
      <c r="I652" t="s">
        <v>909</v>
      </c>
      <c r="J652" t="s">
        <v>106</v>
      </c>
      <c r="L652">
        <v>46.958402</v>
      </c>
      <c r="M652" s="205">
        <v>-71.336506999999997</v>
      </c>
      <c r="N652" s="211">
        <v>9.77</v>
      </c>
      <c r="O652" t="s">
        <v>25</v>
      </c>
      <c r="P652" t="s">
        <v>19</v>
      </c>
      <c r="Q652" s="199">
        <v>9.77</v>
      </c>
      <c r="S652" s="94" t="s">
        <v>310</v>
      </c>
      <c r="T652" s="222">
        <v>0.3</v>
      </c>
      <c r="U652" s="222">
        <v>0.7</v>
      </c>
      <c r="V652" s="222">
        <v>0.5</v>
      </c>
      <c r="AC652" s="63">
        <v>0</v>
      </c>
      <c r="AF652" t="s">
        <v>3720</v>
      </c>
      <c r="AH652" s="49">
        <f>Table2[[#This Row],[Prix de vente ($)]]/Table2[[#This Row],[Superficie totale (ha)]]</f>
        <v>11770.726714431936</v>
      </c>
    </row>
    <row r="653" spans="1:34">
      <c r="A653" s="239" t="s">
        <v>3721</v>
      </c>
      <c r="C653" s="318">
        <v>45888</v>
      </c>
      <c r="D653" s="247" t="s">
        <v>3722</v>
      </c>
      <c r="E653" s="247" t="s">
        <v>3723</v>
      </c>
      <c r="F653" s="247" t="s">
        <v>3724</v>
      </c>
      <c r="G653" s="93">
        <v>370000</v>
      </c>
      <c r="I653" t="s">
        <v>1597</v>
      </c>
      <c r="J653" t="s">
        <v>3441</v>
      </c>
      <c r="L653" s="205">
        <v>45.058204000000003</v>
      </c>
      <c r="M653" s="205">
        <v>-72.380628999999999</v>
      </c>
      <c r="N653" s="211">
        <v>12.63</v>
      </c>
      <c r="O653" t="s">
        <v>25</v>
      </c>
      <c r="P653" t="s">
        <v>317</v>
      </c>
      <c r="S653" s="94" t="s">
        <v>310</v>
      </c>
      <c r="T653" s="222">
        <v>0.25</v>
      </c>
      <c r="U653" s="222">
        <v>0.75</v>
      </c>
      <c r="V653" s="222">
        <v>0.75</v>
      </c>
      <c r="AC653" s="63">
        <v>0</v>
      </c>
      <c r="AF653" t="s">
        <v>3725</v>
      </c>
      <c r="AH653" s="49">
        <f>Table2[[#This Row],[Prix de vente ($)]]/Table2[[#This Row],[Superficie totale (ha)]]</f>
        <v>29295.328582739508</v>
      </c>
    </row>
    <row r="654" spans="1:34">
      <c r="A654" s="351" t="s">
        <v>3726</v>
      </c>
      <c r="C654" s="318">
        <v>45890</v>
      </c>
      <c r="D654" t="s">
        <v>3727</v>
      </c>
      <c r="E654" t="s">
        <v>3728</v>
      </c>
      <c r="F654" t="s">
        <v>3729</v>
      </c>
      <c r="G654" s="93">
        <v>900000</v>
      </c>
      <c r="I654" t="s">
        <v>16</v>
      </c>
      <c r="J654" t="s">
        <v>17</v>
      </c>
      <c r="K654" t="s">
        <v>3730</v>
      </c>
      <c r="L654" s="205">
        <v>46.634417999999997</v>
      </c>
      <c r="M654" s="270" t="s">
        <v>3731</v>
      </c>
      <c r="N654" s="211">
        <f>30.42+32.87+26.83+30.84+30.57</f>
        <v>151.53</v>
      </c>
      <c r="O654" t="s">
        <v>18</v>
      </c>
      <c r="P654" t="s">
        <v>3732</v>
      </c>
      <c r="S654" s="94" t="s">
        <v>22</v>
      </c>
      <c r="T654" s="222">
        <v>0.5</v>
      </c>
      <c r="U654" s="222">
        <v>0.5</v>
      </c>
      <c r="V654" s="222">
        <v>0.8</v>
      </c>
      <c r="AC654" s="63">
        <f>30.1-2.6+28.7</f>
        <v>56.2</v>
      </c>
      <c r="AF654" t="s">
        <v>3733</v>
      </c>
      <c r="AH654" s="49">
        <f>Table2[[#This Row],[Prix de vente ($)]]/Table2[[#This Row],[Superficie totale (ha)]]</f>
        <v>5939.4179370421698</v>
      </c>
    </row>
    <row r="655" spans="1:34">
      <c r="A655" s="196" t="s">
        <v>3734</v>
      </c>
      <c r="C655" s="318">
        <v>45891</v>
      </c>
      <c r="F655" t="s">
        <v>3735</v>
      </c>
      <c r="I655" t="s">
        <v>476</v>
      </c>
      <c r="AH655" s="49" t="e">
        <f>Table2[[#This Row],[Prix de vente ($)]]/Table2[[#This Row],[Superficie totale (ha)]]</f>
        <v>#DIV/0!</v>
      </c>
    </row>
    <row r="656" spans="1:34">
      <c r="A656" s="196" t="s">
        <v>3736</v>
      </c>
      <c r="C656" s="318">
        <v>45894</v>
      </c>
      <c r="D656" t="s">
        <v>3737</v>
      </c>
      <c r="E656" t="s">
        <v>3738</v>
      </c>
      <c r="F656" t="s">
        <v>3739</v>
      </c>
      <c r="G656" s="93">
        <v>300000</v>
      </c>
      <c r="I656" t="s">
        <v>408</v>
      </c>
      <c r="J656" t="s">
        <v>3740</v>
      </c>
      <c r="K656" t="s">
        <v>3741</v>
      </c>
      <c r="L656" s="205">
        <v>46.167822000000001</v>
      </c>
      <c r="M656" s="270" t="s">
        <v>3742</v>
      </c>
      <c r="N656" s="211">
        <f>8.91+30.25</f>
        <v>39.159999999999997</v>
      </c>
      <c r="O656" t="s">
        <v>18</v>
      </c>
      <c r="P656" t="s">
        <v>206</v>
      </c>
      <c r="Q656" s="211">
        <f>8.91+30.25</f>
        <v>39.159999999999997</v>
      </c>
      <c r="S656" s="94" t="s">
        <v>3743</v>
      </c>
      <c r="T656" s="222">
        <v>0.95</v>
      </c>
      <c r="U656" s="222">
        <v>0.05</v>
      </c>
      <c r="V656" s="222">
        <v>0.75</v>
      </c>
      <c r="AC656" s="63">
        <f>Table2[[#This Row],[Superficie totale (ha)]]-6.5</f>
        <v>32.659999999999997</v>
      </c>
      <c r="AH656" s="49">
        <f>Table2[[#This Row],[Prix de vente ($)]]/Table2[[#This Row],[Superficie totale (ha)]]</f>
        <v>7660.8784473953019</v>
      </c>
    </row>
    <row r="657" spans="1:34">
      <c r="A657" s="196" t="s">
        <v>3744</v>
      </c>
      <c r="C657" s="318">
        <v>45898</v>
      </c>
      <c r="F657" t="s">
        <v>3745</v>
      </c>
      <c r="I657" t="s">
        <v>328</v>
      </c>
      <c r="AH657" s="49"/>
    </row>
    <row r="658" spans="1:34">
      <c r="A658" s="196" t="s">
        <v>3746</v>
      </c>
      <c r="C658" s="318">
        <v>45902</v>
      </c>
      <c r="F658" t="s">
        <v>3747</v>
      </c>
      <c r="I658" t="s">
        <v>328</v>
      </c>
      <c r="AH658" s="49"/>
    </row>
    <row r="659" spans="1:34" ht="18">
      <c r="A659" s="239" t="s">
        <v>3748</v>
      </c>
      <c r="C659" s="365">
        <v>45903</v>
      </c>
      <c r="G659" s="367">
        <v>48000</v>
      </c>
      <c r="I659" t="s">
        <v>29</v>
      </c>
      <c r="N659" s="370">
        <v>2.87</v>
      </c>
      <c r="AH659" s="49">
        <f>Table2[[#This Row],[Prix de vente ($)]]/Table2[[#This Row],[Superficie totale (ha)]]</f>
        <v>16724.738675958186</v>
      </c>
    </row>
    <row r="660" spans="1:34" ht="18">
      <c r="A660" s="196" t="s">
        <v>3749</v>
      </c>
      <c r="C660" s="318">
        <v>45905</v>
      </c>
      <c r="F660" t="s">
        <v>3750</v>
      </c>
      <c r="G660" s="93">
        <v>222801</v>
      </c>
      <c r="I660" t="s">
        <v>1352</v>
      </c>
      <c r="J660" t="s">
        <v>3751</v>
      </c>
      <c r="N660" s="211">
        <v>14.23</v>
      </c>
      <c r="O660" s="50" t="s">
        <v>25</v>
      </c>
      <c r="P660" t="s">
        <v>19</v>
      </c>
      <c r="AH660" s="49"/>
    </row>
    <row r="661" spans="1:34">
      <c r="A661" s="196" t="s">
        <v>3752</v>
      </c>
      <c r="C661" s="318">
        <v>45908</v>
      </c>
      <c r="D661" t="s">
        <v>3753</v>
      </c>
      <c r="E661" t="s">
        <v>3754</v>
      </c>
      <c r="F661" t="s">
        <v>3755</v>
      </c>
      <c r="G661" s="93">
        <v>53000</v>
      </c>
      <c r="I661" t="s">
        <v>201</v>
      </c>
      <c r="J661" t="s">
        <v>201</v>
      </c>
      <c r="K661" t="s">
        <v>3756</v>
      </c>
      <c r="L661" s="205">
        <v>46.855674</v>
      </c>
      <c r="M661" s="270" t="s">
        <v>3757</v>
      </c>
      <c r="N661" s="211">
        <v>4.53</v>
      </c>
      <c r="O661" t="s">
        <v>25</v>
      </c>
      <c r="P661" t="s">
        <v>154</v>
      </c>
      <c r="S661" s="94" t="s">
        <v>62</v>
      </c>
      <c r="T661" s="222">
        <v>0.8</v>
      </c>
      <c r="U661" s="222">
        <v>0.2</v>
      </c>
      <c r="V661" s="222">
        <v>0.75</v>
      </c>
      <c r="AC661" s="63">
        <v>4.53</v>
      </c>
      <c r="AH661" s="49">
        <f>Table2[[#This Row],[Prix de vente ($)]]/Table2[[#This Row],[Superficie totale (ha)]]</f>
        <v>11699.779249448124</v>
      </c>
    </row>
    <row r="662" spans="1:34">
      <c r="A662" s="196" t="s">
        <v>3758</v>
      </c>
      <c r="C662" s="318">
        <v>45909</v>
      </c>
      <c r="D662" t="s">
        <v>3759</v>
      </c>
      <c r="E662" t="s">
        <v>3760</v>
      </c>
      <c r="F662" t="s">
        <v>3761</v>
      </c>
      <c r="G662" s="93">
        <v>440000</v>
      </c>
      <c r="I662" t="s">
        <v>2560</v>
      </c>
      <c r="J662" t="s">
        <v>3762</v>
      </c>
      <c r="K662" t="s">
        <v>3763</v>
      </c>
      <c r="L662" s="205">
        <v>45.455658999999997</v>
      </c>
      <c r="M662" s="270" t="s">
        <v>3764</v>
      </c>
      <c r="N662" s="211">
        <f>6.62+4.11</f>
        <v>10.73</v>
      </c>
      <c r="O662" t="s">
        <v>18</v>
      </c>
      <c r="P662" t="s">
        <v>63</v>
      </c>
      <c r="Q662" s="211">
        <f>Table2[[#This Row],[Superficie totale (ha)]]</f>
        <v>10.73</v>
      </c>
      <c r="S662" s="94" t="s">
        <v>20</v>
      </c>
      <c r="T662" s="222">
        <v>1</v>
      </c>
      <c r="U662" s="222">
        <v>0</v>
      </c>
      <c r="V662" s="222">
        <v>0.6</v>
      </c>
      <c r="Y662" t="s">
        <v>3765</v>
      </c>
      <c r="AC662" s="63">
        <v>10.73</v>
      </c>
      <c r="AF662" t="s">
        <v>3766</v>
      </c>
      <c r="AH662" s="49">
        <f>Table2[[#This Row],[Prix de vente ($)]]/Table2[[#This Row],[Superficie totale (ha)]]</f>
        <v>41006.523765144455</v>
      </c>
    </row>
    <row r="663" spans="1:34" ht="18">
      <c r="A663" s="196" t="s">
        <v>3767</v>
      </c>
      <c r="C663" s="318">
        <v>45912</v>
      </c>
      <c r="D663" t="s">
        <v>3768</v>
      </c>
      <c r="E663" t="s">
        <v>3769</v>
      </c>
      <c r="F663" t="s">
        <v>3770</v>
      </c>
      <c r="G663" s="93">
        <v>60000</v>
      </c>
      <c r="I663" t="s">
        <v>75</v>
      </c>
      <c r="J663" t="s">
        <v>1972</v>
      </c>
      <c r="K663" t="s">
        <v>3771</v>
      </c>
      <c r="L663" s="205">
        <v>46.623896000000002</v>
      </c>
      <c r="M663" s="270" t="s">
        <v>3772</v>
      </c>
      <c r="N663" s="211">
        <f>8.08+4.94</f>
        <v>13.02</v>
      </c>
      <c r="O663" s="50" t="s">
        <v>18</v>
      </c>
      <c r="P663" s="424" t="s">
        <v>35</v>
      </c>
      <c r="S663" s="50" t="s">
        <v>62</v>
      </c>
      <c r="T663" s="222">
        <v>0.6</v>
      </c>
      <c r="U663" s="222">
        <v>0.4</v>
      </c>
      <c r="V663" s="222">
        <v>0.7</v>
      </c>
      <c r="AF663" t="s">
        <v>3773</v>
      </c>
      <c r="AH663" s="49">
        <f>Table2[[#This Row],[Prix de vente ($)]]/Table2[[#This Row],[Superficie totale (ha)]]</f>
        <v>4608.294930875576</v>
      </c>
    </row>
    <row r="664" spans="1:34">
      <c r="A664" s="196">
        <v>29748521</v>
      </c>
      <c r="C664" s="318">
        <v>45916</v>
      </c>
      <c r="D664" s="247" t="s">
        <v>3774</v>
      </c>
      <c r="E664" s="247" t="s">
        <v>3775</v>
      </c>
      <c r="F664" s="247" t="s">
        <v>3776</v>
      </c>
      <c r="G664" s="93">
        <v>200000</v>
      </c>
      <c r="I664" t="s">
        <v>16</v>
      </c>
      <c r="J664" t="s">
        <v>3715</v>
      </c>
      <c r="L664" s="205">
        <v>46.857674000000003</v>
      </c>
      <c r="M664" s="205">
        <v>-70.785304999999994</v>
      </c>
      <c r="N664" s="211">
        <v>7.56</v>
      </c>
      <c r="O664" t="s">
        <v>18</v>
      </c>
      <c r="P664" t="s">
        <v>206</v>
      </c>
      <c r="Q664" s="211">
        <v>7.56</v>
      </c>
      <c r="S664" s="94" t="s">
        <v>62</v>
      </c>
      <c r="T664" s="222">
        <v>0.9</v>
      </c>
      <c r="U664" s="222">
        <v>0.1</v>
      </c>
      <c r="V664" s="222">
        <v>0.85</v>
      </c>
      <c r="AC664" s="63">
        <v>3.6</v>
      </c>
      <c r="AF664" t="s">
        <v>3777</v>
      </c>
      <c r="AH664" s="49">
        <f>Table2[[#This Row],[Prix de vente ($)]]/Table2[[#This Row],[Superficie totale (ha)]]</f>
        <v>26455.026455026455</v>
      </c>
    </row>
    <row r="665" spans="1:34" ht="18">
      <c r="A665" s="239" t="s">
        <v>3778</v>
      </c>
      <c r="C665" s="365">
        <v>45916</v>
      </c>
      <c r="G665" s="368">
        <v>160000</v>
      </c>
      <c r="I665" t="s">
        <v>29</v>
      </c>
      <c r="N665" s="369">
        <v>8.92</v>
      </c>
      <c r="AH665" s="49">
        <f>Table2[[#This Row],[Prix de vente ($)]]/Table2[[#This Row],[Superficie totale (ha)]]</f>
        <v>17937.219730941702</v>
      </c>
    </row>
    <row r="666" spans="1:34">
      <c r="A666" s="239" t="s">
        <v>3779</v>
      </c>
      <c r="C666" s="365">
        <v>45917</v>
      </c>
      <c r="D666" s="239" t="s">
        <v>3780</v>
      </c>
      <c r="E666" s="239" t="s">
        <v>3781</v>
      </c>
      <c r="F666" s="239" t="s">
        <v>3782</v>
      </c>
      <c r="G666" s="93">
        <v>250000</v>
      </c>
      <c r="I666" t="s">
        <v>1597</v>
      </c>
      <c r="J666" t="s">
        <v>3783</v>
      </c>
      <c r="L666" s="205">
        <v>45.153573999999999</v>
      </c>
      <c r="M666" s="205">
        <v>-72.113738999999995</v>
      </c>
      <c r="N666" s="211">
        <v>23.7</v>
      </c>
      <c r="O666" t="s">
        <v>18</v>
      </c>
      <c r="P666" t="s">
        <v>317</v>
      </c>
      <c r="R666">
        <v>0</v>
      </c>
      <c r="S666" s="94" t="s">
        <v>20</v>
      </c>
      <c r="T666" s="222">
        <v>1</v>
      </c>
      <c r="U666" s="222">
        <v>0</v>
      </c>
      <c r="V666" s="222">
        <v>0.65</v>
      </c>
      <c r="AC666" s="63">
        <v>23.7</v>
      </c>
      <c r="AF666" s="293" t="s">
        <v>3784</v>
      </c>
      <c r="AH666" s="49">
        <f>Table2[[#This Row],[Prix de vente ($)]]/Table2[[#This Row],[Superficie totale (ha)]]</f>
        <v>10548.523206751055</v>
      </c>
    </row>
    <row r="667" spans="1:34" ht="18">
      <c r="A667" s="196" t="s">
        <v>3785</v>
      </c>
      <c r="C667" s="318">
        <v>45917</v>
      </c>
      <c r="F667" t="s">
        <v>3786</v>
      </c>
      <c r="G667" s="93">
        <v>140000</v>
      </c>
      <c r="I667" t="s">
        <v>1352</v>
      </c>
      <c r="J667" t="s">
        <v>3787</v>
      </c>
      <c r="N667" s="211">
        <v>10.52</v>
      </c>
      <c r="O667" s="50" t="s">
        <v>25</v>
      </c>
      <c r="P667" t="s">
        <v>19</v>
      </c>
      <c r="AH667" s="49"/>
    </row>
    <row r="668" spans="1:34">
      <c r="A668" s="196">
        <v>29756249</v>
      </c>
      <c r="C668" s="318">
        <v>45918</v>
      </c>
      <c r="D668" s="247" t="s">
        <v>1446</v>
      </c>
      <c r="E668" s="239" t="s">
        <v>3788</v>
      </c>
      <c r="F668" s="239" t="s">
        <v>1447</v>
      </c>
      <c r="G668" s="93">
        <v>71000</v>
      </c>
      <c r="I668" t="s">
        <v>654</v>
      </c>
      <c r="J668" t="s">
        <v>1448</v>
      </c>
      <c r="L668" s="205">
        <v>46.762197999999998</v>
      </c>
      <c r="M668" s="205">
        <v>-71.847458000000003</v>
      </c>
      <c r="N668" s="211">
        <v>5.9</v>
      </c>
      <c r="O668" s="43" t="s">
        <v>18</v>
      </c>
      <c r="P668" t="s">
        <v>3789</v>
      </c>
      <c r="Q668" s="211">
        <v>5.9</v>
      </c>
      <c r="S668" s="94" t="s">
        <v>20</v>
      </c>
      <c r="T668" s="222">
        <v>0.9</v>
      </c>
      <c r="U668" s="222">
        <v>0.1</v>
      </c>
      <c r="V668" s="222">
        <v>0.85</v>
      </c>
      <c r="AC668" s="63">
        <v>4.9000000000000004</v>
      </c>
      <c r="AF668" t="s">
        <v>3790</v>
      </c>
      <c r="AH668" s="49">
        <f>Table2[[#This Row],[Prix de vente ($)]]/Table2[[#This Row],[Superficie totale (ha)]]</f>
        <v>12033.898305084746</v>
      </c>
    </row>
    <row r="669" spans="1:34" ht="30">
      <c r="A669" s="196" t="s">
        <v>3791</v>
      </c>
      <c r="C669" s="318">
        <v>45919</v>
      </c>
      <c r="D669" t="s">
        <v>3792</v>
      </c>
      <c r="E669" t="s">
        <v>3793</v>
      </c>
      <c r="F669" s="20" t="s">
        <v>3794</v>
      </c>
      <c r="G669" s="93">
        <v>610000</v>
      </c>
      <c r="I669" t="s">
        <v>2195</v>
      </c>
      <c r="J669" t="s">
        <v>3795</v>
      </c>
      <c r="K669" t="s">
        <v>3796</v>
      </c>
      <c r="L669" s="205">
        <v>45.439377999999998</v>
      </c>
      <c r="M669" s="270" t="s">
        <v>3797</v>
      </c>
      <c r="N669" s="211" t="s">
        <v>3798</v>
      </c>
      <c r="O669" t="s">
        <v>36</v>
      </c>
      <c r="P669" t="s">
        <v>206</v>
      </c>
      <c r="Q669" s="211" t="str">
        <f>Table2[[#This Row],[Superficie totale (ha)]]</f>
        <v>67,29</v>
      </c>
      <c r="S669" s="94" t="s">
        <v>20</v>
      </c>
      <c r="T669" s="222">
        <v>0.7</v>
      </c>
      <c r="U669" s="222">
        <v>0.3</v>
      </c>
      <c r="V669" s="222">
        <v>0.85</v>
      </c>
      <c r="AC669" s="63">
        <v>18.3</v>
      </c>
      <c r="AH669" s="49">
        <f>Table2[[#This Row],[Prix de vente ($)]]/Table2[[#This Row],[Superficie totale (ha)]]</f>
        <v>9065.240005944419</v>
      </c>
    </row>
    <row r="670" spans="1:34">
      <c r="A670" s="196" t="s">
        <v>3799</v>
      </c>
      <c r="C670" s="318">
        <v>45919</v>
      </c>
      <c r="D670" t="s">
        <v>3800</v>
      </c>
      <c r="E670" t="s">
        <v>3801</v>
      </c>
      <c r="F670" t="s">
        <v>3802</v>
      </c>
      <c r="G670" s="93">
        <v>566666</v>
      </c>
      <c r="I670" t="s">
        <v>37</v>
      </c>
      <c r="J670" t="s">
        <v>2046</v>
      </c>
      <c r="K670" t="s">
        <v>3803</v>
      </c>
      <c r="L670" s="205">
        <v>45.578702999999997</v>
      </c>
      <c r="M670" s="270" t="s">
        <v>3804</v>
      </c>
      <c r="N670" s="211">
        <v>22.72</v>
      </c>
      <c r="O670" t="s">
        <v>18</v>
      </c>
      <c r="P670" t="s">
        <v>206</v>
      </c>
      <c r="Q670" s="199">
        <v>22.72</v>
      </c>
      <c r="S670" s="94" t="s">
        <v>20</v>
      </c>
      <c r="T670" s="222">
        <v>1</v>
      </c>
      <c r="U670" s="222">
        <v>0</v>
      </c>
      <c r="V670" s="222">
        <v>0.9</v>
      </c>
      <c r="Y670" t="s">
        <v>36</v>
      </c>
      <c r="AC670" s="63">
        <v>22.72</v>
      </c>
      <c r="AH670" s="49">
        <f>Table2[[#This Row],[Prix de vente ($)]]/Table2[[#This Row],[Superficie totale (ha)]]</f>
        <v>24941.285211267608</v>
      </c>
    </row>
    <row r="671" spans="1:34">
      <c r="A671" s="351" t="s">
        <v>3805</v>
      </c>
      <c r="C671" s="318">
        <v>45923</v>
      </c>
      <c r="D671" t="s">
        <v>3806</v>
      </c>
      <c r="E671" t="s">
        <v>3807</v>
      </c>
      <c r="F671" t="s">
        <v>3808</v>
      </c>
      <c r="G671" s="93">
        <v>235000</v>
      </c>
      <c r="I671" t="s">
        <v>16</v>
      </c>
      <c r="J671" t="s">
        <v>3809</v>
      </c>
      <c r="K671" t="s">
        <v>3810</v>
      </c>
      <c r="L671" s="205">
        <v>46.521714000000003</v>
      </c>
      <c r="M671" s="270" t="s">
        <v>3811</v>
      </c>
      <c r="N671" s="211">
        <v>27.08</v>
      </c>
      <c r="O671" t="s">
        <v>18</v>
      </c>
      <c r="P671" t="s">
        <v>3732</v>
      </c>
      <c r="S671" s="94" t="s">
        <v>20</v>
      </c>
      <c r="T671" s="222">
        <v>0.65</v>
      </c>
      <c r="U671" s="222">
        <v>0.35</v>
      </c>
      <c r="V671" s="222">
        <v>0.8</v>
      </c>
      <c r="AC671" s="63">
        <v>5.8</v>
      </c>
      <c r="AH671" s="49">
        <f>Table2[[#This Row],[Prix de vente ($)]]/Table2[[#This Row],[Superficie totale (ha)]]</f>
        <v>8677.9911373707546</v>
      </c>
    </row>
    <row r="672" spans="1:34">
      <c r="A672" s="196">
        <v>29768450</v>
      </c>
      <c r="C672" s="318">
        <v>45924</v>
      </c>
      <c r="D672" s="239" t="s">
        <v>3812</v>
      </c>
      <c r="E672" s="239" t="s">
        <v>3813</v>
      </c>
      <c r="F672" s="239" t="s">
        <v>3814</v>
      </c>
      <c r="G672" s="93">
        <v>60000</v>
      </c>
      <c r="I672" t="s">
        <v>909</v>
      </c>
      <c r="J672" t="s">
        <v>106</v>
      </c>
      <c r="L672" s="205">
        <v>46.978391999999999</v>
      </c>
      <c r="M672" s="205">
        <v>-71.339414000000005</v>
      </c>
      <c r="N672" s="211">
        <v>14.48</v>
      </c>
      <c r="O672" t="s">
        <v>25</v>
      </c>
      <c r="P672" s="80" t="s">
        <v>317</v>
      </c>
      <c r="Q672" s="211">
        <v>14.48</v>
      </c>
      <c r="S672" s="94" t="s">
        <v>62</v>
      </c>
      <c r="T672" s="222">
        <v>1</v>
      </c>
      <c r="U672" s="222">
        <v>0</v>
      </c>
      <c r="V672" s="222">
        <v>0.75</v>
      </c>
      <c r="AC672" s="63">
        <v>2.8</v>
      </c>
      <c r="AF672" t="s">
        <v>3815</v>
      </c>
      <c r="AH672" s="49">
        <f>Table2[[#This Row],[Prix de vente ($)]]/Table2[[#This Row],[Superficie totale (ha)]]</f>
        <v>4143.6464088397788</v>
      </c>
    </row>
    <row r="673" spans="1:35">
      <c r="A673" s="196" t="s">
        <v>3816</v>
      </c>
      <c r="C673" s="318">
        <v>45925</v>
      </c>
      <c r="D673" t="s">
        <v>3445</v>
      </c>
      <c r="E673" t="s">
        <v>3817</v>
      </c>
      <c r="F673" t="s">
        <v>3818</v>
      </c>
      <c r="G673" s="93">
        <v>680000</v>
      </c>
      <c r="I673" t="s">
        <v>3448</v>
      </c>
      <c r="J673" t="s">
        <v>3449</v>
      </c>
      <c r="K673" t="s">
        <v>3819</v>
      </c>
      <c r="L673" s="205">
        <v>45.246594000000002</v>
      </c>
      <c r="M673" s="270" t="s">
        <v>3820</v>
      </c>
      <c r="N673" s="199">
        <v>76.150000000000006</v>
      </c>
      <c r="O673" t="s">
        <v>36</v>
      </c>
      <c r="P673" t="s">
        <v>206</v>
      </c>
      <c r="Q673" s="199">
        <f>Table2[[#This Row],[Superficie totale (ha)]]-17.5</f>
        <v>58.650000000000006</v>
      </c>
      <c r="S673" s="94" t="s">
        <v>33</v>
      </c>
      <c r="T673" s="222">
        <v>0.3</v>
      </c>
      <c r="U673" s="222">
        <v>0.7</v>
      </c>
      <c r="V673" s="222">
        <v>0.7</v>
      </c>
      <c r="AC673" s="63">
        <v>1</v>
      </c>
      <c r="AF673" t="s">
        <v>3821</v>
      </c>
      <c r="AH673" s="49">
        <f>Table2[[#This Row],[Prix de vente ($)]]/Table2[[#This Row],[Superficie totale (ha)]]</f>
        <v>8929.7439264609311</v>
      </c>
    </row>
    <row r="674" spans="1:35" ht="45">
      <c r="A674" s="196" t="s">
        <v>3822</v>
      </c>
      <c r="C674" s="318">
        <v>45925</v>
      </c>
      <c r="D674" t="s">
        <v>3823</v>
      </c>
      <c r="E674" t="s">
        <v>3824</v>
      </c>
      <c r="F674" t="s">
        <v>3825</v>
      </c>
      <c r="G674" s="93">
        <v>320000</v>
      </c>
      <c r="I674" t="s">
        <v>75</v>
      </c>
      <c r="J674" t="s">
        <v>3826</v>
      </c>
      <c r="K674" t="s">
        <v>3827</v>
      </c>
      <c r="L674" s="205">
        <v>46.757621999999998</v>
      </c>
      <c r="M674" s="270" t="s">
        <v>3828</v>
      </c>
      <c r="N674" s="144" t="s">
        <v>3829</v>
      </c>
      <c r="P674" t="s">
        <v>384</v>
      </c>
      <c r="S674" s="94" t="s">
        <v>20</v>
      </c>
      <c r="T674" s="222">
        <v>0.7</v>
      </c>
      <c r="U674" s="222">
        <v>0.3</v>
      </c>
      <c r="V674" s="222">
        <v>0.75</v>
      </c>
      <c r="AC674" s="63">
        <v>29</v>
      </c>
      <c r="AF674" t="s">
        <v>3830</v>
      </c>
      <c r="AH674" s="49" t="s">
        <v>3831</v>
      </c>
    </row>
    <row r="675" spans="1:35" ht="18">
      <c r="A675" s="239" t="s">
        <v>3832</v>
      </c>
      <c r="C675" s="365">
        <v>45925</v>
      </c>
      <c r="G675" s="366">
        <v>124000</v>
      </c>
      <c r="I675" t="s">
        <v>29</v>
      </c>
      <c r="N675" s="369">
        <v>7.52</v>
      </c>
      <c r="AH675" s="49">
        <f>Table2[[#This Row],[Prix de vente ($)]]/Table2[[#This Row],[Superficie totale (ha)]]</f>
        <v>16489.361702127662</v>
      </c>
    </row>
    <row r="676" spans="1:35">
      <c r="A676" s="196" t="s">
        <v>3833</v>
      </c>
      <c r="C676" s="318">
        <v>45926</v>
      </c>
      <c r="F676" t="s">
        <v>3834</v>
      </c>
      <c r="I676" t="s">
        <v>476</v>
      </c>
      <c r="AH676" s="49" t="e">
        <f>Table2[[#This Row],[Prix de vente ($)]]/Table2[[#This Row],[Superficie totale (ha)]]</f>
        <v>#DIV/0!</v>
      </c>
    </row>
    <row r="677" spans="1:35">
      <c r="A677" s="239" t="s">
        <v>3835</v>
      </c>
      <c r="C677" s="318">
        <v>45931</v>
      </c>
      <c r="D677" s="247" t="s">
        <v>3836</v>
      </c>
      <c r="E677" s="247" t="s">
        <v>3837</v>
      </c>
      <c r="F677" s="247" t="s">
        <v>3838</v>
      </c>
      <c r="G677" s="93">
        <v>90000</v>
      </c>
      <c r="I677" t="s">
        <v>53</v>
      </c>
      <c r="J677" t="s">
        <v>54</v>
      </c>
      <c r="K677" s="247" t="s">
        <v>3839</v>
      </c>
      <c r="L677" s="205">
        <v>47.419440999999999</v>
      </c>
      <c r="M677" s="205">
        <v>-68.791421999999997</v>
      </c>
      <c r="N677" s="211">
        <v>64.099999999999994</v>
      </c>
      <c r="O677" t="s">
        <v>25</v>
      </c>
      <c r="P677" t="s">
        <v>173</v>
      </c>
      <c r="S677" s="94" t="s">
        <v>20</v>
      </c>
      <c r="T677" s="222">
        <v>0.8</v>
      </c>
      <c r="U677" s="222">
        <v>0.2</v>
      </c>
      <c r="V677" s="222">
        <v>0.8</v>
      </c>
      <c r="AC677" s="63">
        <v>20.9</v>
      </c>
      <c r="AF677" t="s">
        <v>3840</v>
      </c>
      <c r="AH677" s="49">
        <f>Table2[[#This Row],[Prix de vente ($)]]/Table2[[#This Row],[Superficie totale (ha)]]</f>
        <v>1404.05616224649</v>
      </c>
    </row>
    <row r="678" spans="1:35">
      <c r="A678" s="196">
        <v>29791580</v>
      </c>
      <c r="C678" s="318">
        <v>45932</v>
      </c>
      <c r="D678" s="247" t="s">
        <v>3841</v>
      </c>
      <c r="E678" s="247" t="s">
        <v>3842</v>
      </c>
      <c r="F678" s="247" t="s">
        <v>3843</v>
      </c>
      <c r="G678" s="93">
        <v>100000</v>
      </c>
      <c r="I678" t="s">
        <v>654</v>
      </c>
      <c r="J678" t="s">
        <v>1448</v>
      </c>
      <c r="L678">
        <v>46.740709000000003</v>
      </c>
      <c r="M678">
        <v>-71.858087999999995</v>
      </c>
      <c r="N678" s="211">
        <v>9.86</v>
      </c>
      <c r="O678" s="43" t="s">
        <v>18</v>
      </c>
      <c r="P678" t="s">
        <v>1179</v>
      </c>
      <c r="Q678" s="211">
        <v>9.86</v>
      </c>
      <c r="S678" s="94" t="s">
        <v>20</v>
      </c>
      <c r="T678" s="222">
        <v>0.8</v>
      </c>
      <c r="U678" s="222">
        <v>0.2</v>
      </c>
      <c r="V678" s="222">
        <v>0.8</v>
      </c>
      <c r="AC678" s="63">
        <v>1.6</v>
      </c>
      <c r="AF678" t="s">
        <v>3844</v>
      </c>
      <c r="AH678" s="49">
        <f>Table2[[#This Row],[Prix de vente ($)]]/Table2[[#This Row],[Superficie totale (ha)]]</f>
        <v>10141.987829614605</v>
      </c>
    </row>
    <row r="679" spans="1:35">
      <c r="A679" s="196" t="s">
        <v>3845</v>
      </c>
      <c r="C679" s="318">
        <v>45932</v>
      </c>
      <c r="D679" t="s">
        <v>3846</v>
      </c>
      <c r="E679" t="s">
        <v>3847</v>
      </c>
      <c r="F679" t="s">
        <v>3848</v>
      </c>
      <c r="G679" s="93">
        <v>450000</v>
      </c>
      <c r="I679" t="s">
        <v>75</v>
      </c>
      <c r="J679" t="s">
        <v>3849</v>
      </c>
      <c r="K679" t="s">
        <v>3850</v>
      </c>
      <c r="L679" s="205">
        <v>46.702702000000002</v>
      </c>
      <c r="M679" s="270" t="s">
        <v>3851</v>
      </c>
      <c r="N679" s="211">
        <f>21.41+62.25</f>
        <v>83.66</v>
      </c>
      <c r="P679" t="s">
        <v>154</v>
      </c>
      <c r="S679" s="94" t="s">
        <v>20</v>
      </c>
      <c r="T679" s="222">
        <v>0.6</v>
      </c>
      <c r="U679" s="222">
        <v>0.4</v>
      </c>
      <c r="V679" s="222">
        <v>0.75</v>
      </c>
      <c r="Y679" t="s">
        <v>3852</v>
      </c>
      <c r="AC679" s="63">
        <v>25.6</v>
      </c>
      <c r="AE679" s="63" t="s">
        <v>3853</v>
      </c>
      <c r="AF679" t="s">
        <v>3854</v>
      </c>
      <c r="AH679" s="49">
        <f>Table2[[#This Row],[Prix de vente ($)]]/Table2[[#This Row],[Superficie totale (ha)]]</f>
        <v>5378.914654554148</v>
      </c>
    </row>
    <row r="680" spans="1:35">
      <c r="A680" s="351">
        <v>29798149</v>
      </c>
      <c r="B680" s="66"/>
      <c r="C680" s="362">
        <v>45936</v>
      </c>
      <c r="D680" s="66" t="s">
        <v>3855</v>
      </c>
      <c r="E680" s="66" t="s">
        <v>3856</v>
      </c>
      <c r="F680" s="66" t="s">
        <v>3857</v>
      </c>
      <c r="G680" s="353">
        <v>650000</v>
      </c>
      <c r="H680" s="66"/>
      <c r="I680" s="66" t="s">
        <v>74</v>
      </c>
      <c r="J680" s="66" t="s">
        <v>3858</v>
      </c>
      <c r="K680" s="66" t="s">
        <v>3859</v>
      </c>
      <c r="L680" s="207">
        <v>46.024909000000001</v>
      </c>
      <c r="M680" s="203" t="s">
        <v>3860</v>
      </c>
      <c r="N680" s="210">
        <v>68.739999999999995</v>
      </c>
      <c r="O680" s="66" t="s">
        <v>18</v>
      </c>
      <c r="P680" s="66" t="s">
        <v>19</v>
      </c>
      <c r="Q680" s="212">
        <v>68.739999999999995</v>
      </c>
      <c r="R680" s="66">
        <v>0</v>
      </c>
      <c r="S680" s="98" t="s">
        <v>20</v>
      </c>
      <c r="T680" s="221">
        <v>0.7</v>
      </c>
      <c r="U680" s="221">
        <v>0.3</v>
      </c>
      <c r="V680" s="221">
        <v>0.65</v>
      </c>
      <c r="W680" s="493"/>
      <c r="X680" s="221"/>
      <c r="Y680" s="66"/>
      <c r="Z680" s="123"/>
      <c r="AB680" s="66"/>
      <c r="AC680" s="466">
        <v>16</v>
      </c>
      <c r="AD680" s="354"/>
      <c r="AE680" s="123"/>
      <c r="AF680" s="66" t="s">
        <v>41</v>
      </c>
      <c r="AG680" s="66"/>
      <c r="AH680" s="74">
        <f>Table2[[#This Row],[Prix de vente ($)]]/Table2[[#This Row],[Superficie totale (ha)]]</f>
        <v>9455.9208612161783</v>
      </c>
      <c r="AI680" s="66"/>
    </row>
    <row r="681" spans="1:35">
      <c r="A681" s="196" t="s">
        <v>3861</v>
      </c>
      <c r="C681" s="318">
        <v>45937</v>
      </c>
      <c r="D681" t="s">
        <v>3862</v>
      </c>
      <c r="E681" t="s">
        <v>3863</v>
      </c>
      <c r="F681" t="s">
        <v>3864</v>
      </c>
      <c r="G681" s="93">
        <v>70000</v>
      </c>
      <c r="I681" t="s">
        <v>75</v>
      </c>
      <c r="J681" t="s">
        <v>1972</v>
      </c>
      <c r="K681" t="s">
        <v>3865</v>
      </c>
      <c r="L681" s="205">
        <v>46.639696000000001</v>
      </c>
      <c r="M681" s="270" t="s">
        <v>3866</v>
      </c>
      <c r="N681" s="211">
        <v>4.66</v>
      </c>
      <c r="P681" t="s">
        <v>206</v>
      </c>
      <c r="S681" s="94" t="s">
        <v>22</v>
      </c>
      <c r="T681" s="222">
        <v>0.5</v>
      </c>
      <c r="U681" s="222">
        <v>0.5</v>
      </c>
      <c r="V681" s="222">
        <v>0.9</v>
      </c>
      <c r="AC681" s="63">
        <v>1.1000000000000001</v>
      </c>
      <c r="AF681" t="s">
        <v>3867</v>
      </c>
      <c r="AH681" s="49">
        <f>Table2[[#This Row],[Prix de vente ($)]]/Table2[[#This Row],[Superficie totale (ha)]]</f>
        <v>15021.459227467811</v>
      </c>
    </row>
    <row r="682" spans="1:35">
      <c r="A682" t="s">
        <v>3868</v>
      </c>
      <c r="C682" s="318">
        <v>45939</v>
      </c>
      <c r="D682" t="s">
        <v>3869</v>
      </c>
      <c r="E682" t="s">
        <v>3870</v>
      </c>
      <c r="F682" t="s">
        <v>3871</v>
      </c>
      <c r="G682" s="93">
        <v>152000</v>
      </c>
      <c r="I682" t="s">
        <v>909</v>
      </c>
      <c r="J682" t="s">
        <v>910</v>
      </c>
      <c r="K682" t="s">
        <v>3872</v>
      </c>
      <c r="L682" s="205">
        <v>46.858125000000001</v>
      </c>
      <c r="M682" s="270" t="s">
        <v>3873</v>
      </c>
      <c r="N682" s="211">
        <v>10.24</v>
      </c>
      <c r="O682" t="s">
        <v>18</v>
      </c>
      <c r="P682" t="s">
        <v>384</v>
      </c>
      <c r="Q682" s="211">
        <f>Table2[[#This Row],[Superficie totale (ha)]]</f>
        <v>10.24</v>
      </c>
      <c r="S682" s="94" t="s">
        <v>62</v>
      </c>
      <c r="T682" s="222">
        <v>0.8</v>
      </c>
      <c r="U682" s="222">
        <v>0.2</v>
      </c>
      <c r="V682" s="222">
        <v>0.75</v>
      </c>
      <c r="AC682" s="63">
        <v>7.3</v>
      </c>
      <c r="AH682" s="49">
        <f>Table2[[#This Row],[Prix de vente ($)]]/Table2[[#This Row],[Superficie totale (ha)]]</f>
        <v>14843.75</v>
      </c>
    </row>
    <row r="683" spans="1:35" ht="18">
      <c r="A683" s="239" t="s">
        <v>3874</v>
      </c>
      <c r="C683" s="365">
        <v>45945</v>
      </c>
      <c r="G683" s="366">
        <v>60000</v>
      </c>
      <c r="I683" t="s">
        <v>29</v>
      </c>
      <c r="N683" s="369">
        <v>2.31</v>
      </c>
      <c r="AH683" s="49">
        <f>Table2[[#This Row],[Prix de vente ($)]]/Table2[[#This Row],[Superficie totale (ha)]]</f>
        <v>25974.025974025972</v>
      </c>
    </row>
    <row r="684" spans="1:35" ht="18">
      <c r="A684" s="196" t="s">
        <v>3875</v>
      </c>
      <c r="C684" s="318">
        <v>45945</v>
      </c>
      <c r="F684" t="s">
        <v>3876</v>
      </c>
      <c r="G684" s="93">
        <v>286226</v>
      </c>
      <c r="I684" t="s">
        <v>1352</v>
      </c>
      <c r="J684" t="s">
        <v>3751</v>
      </c>
      <c r="N684" s="211">
        <v>8.86</v>
      </c>
      <c r="O684" s="50" t="s">
        <v>18</v>
      </c>
      <c r="P684" s="424" t="s">
        <v>1179</v>
      </c>
      <c r="AH684" s="49"/>
    </row>
    <row r="685" spans="1:35" ht="18">
      <c r="A685" s="239" t="s">
        <v>3877</v>
      </c>
      <c r="C685" s="365">
        <v>45950</v>
      </c>
      <c r="G685" s="366">
        <v>48500</v>
      </c>
      <c r="I685" t="s">
        <v>29</v>
      </c>
      <c r="N685" s="369">
        <v>6.7</v>
      </c>
      <c r="AH685" s="49">
        <f>Table2[[#This Row],[Prix de vente ($)]]/Table2[[#This Row],[Superficie totale (ha)]]</f>
        <v>7238.8059701492539</v>
      </c>
    </row>
    <row r="686" spans="1:35">
      <c r="A686" s="351" t="s">
        <v>3878</v>
      </c>
      <c r="C686" s="318">
        <v>45951</v>
      </c>
      <c r="D686" t="s">
        <v>3879</v>
      </c>
      <c r="E686" t="s">
        <v>3880</v>
      </c>
      <c r="F686" t="s">
        <v>3881</v>
      </c>
      <c r="G686" s="93">
        <v>249000</v>
      </c>
      <c r="I686" t="s">
        <v>16</v>
      </c>
      <c r="J686" t="s">
        <v>1996</v>
      </c>
      <c r="K686" t="s">
        <v>1996</v>
      </c>
      <c r="L686" s="205">
        <v>46.719931000000003</v>
      </c>
      <c r="M686" s="270" t="s">
        <v>3882</v>
      </c>
      <c r="N686" s="211">
        <v>21.35</v>
      </c>
      <c r="O686" t="s">
        <v>18</v>
      </c>
      <c r="P686" t="s">
        <v>206</v>
      </c>
      <c r="S686" s="94" t="s">
        <v>20</v>
      </c>
      <c r="T686" s="222">
        <v>0.75</v>
      </c>
      <c r="U686" s="222">
        <v>0.25</v>
      </c>
      <c r="V686" s="222">
        <v>0.7</v>
      </c>
      <c r="AC686" s="63">
        <v>10.1</v>
      </c>
      <c r="AF686" t="s">
        <v>3883</v>
      </c>
      <c r="AH686" s="49">
        <f>Table2[[#This Row],[Prix de vente ($)]]/Table2[[#This Row],[Superficie totale (ha)]]</f>
        <v>11662.763466042154</v>
      </c>
    </row>
    <row r="687" spans="1:35">
      <c r="A687" s="196" t="s">
        <v>3884</v>
      </c>
      <c r="C687" s="318">
        <v>45952</v>
      </c>
      <c r="F687" t="s">
        <v>3885</v>
      </c>
      <c r="I687" t="s">
        <v>476</v>
      </c>
      <c r="AH687" s="49" t="e">
        <f>Table2[[#This Row],[Prix de vente ($)]]/Table2[[#This Row],[Superficie totale (ha)]]</f>
        <v>#DIV/0!</v>
      </c>
    </row>
    <row r="688" spans="1:35">
      <c r="A688" s="196" t="s">
        <v>3886</v>
      </c>
      <c r="C688" s="317">
        <v>45952</v>
      </c>
      <c r="D688" t="s">
        <v>3887</v>
      </c>
      <c r="E688" t="s">
        <v>3888</v>
      </c>
      <c r="F688" t="s">
        <v>3889</v>
      </c>
      <c r="G688" s="94">
        <v>145000</v>
      </c>
      <c r="H688" s="94"/>
      <c r="I688" t="s">
        <v>1295</v>
      </c>
      <c r="J688" t="s">
        <v>3890</v>
      </c>
      <c r="K688" t="s">
        <v>3891</v>
      </c>
      <c r="L688" s="205">
        <v>48.948841999999999</v>
      </c>
      <c r="M688" s="245" t="s">
        <v>3892</v>
      </c>
      <c r="N688" s="96">
        <f>27.8+21.39</f>
        <v>49.19</v>
      </c>
      <c r="Q688">
        <f>Table2[[#This Row],[Superficie totale (ha)]]</f>
        <v>49.19</v>
      </c>
      <c r="S688" t="s">
        <v>33</v>
      </c>
      <c r="T688">
        <v>30</v>
      </c>
      <c r="U688">
        <v>70</v>
      </c>
      <c r="V688" s="94">
        <v>70</v>
      </c>
      <c r="W688" s="96"/>
      <c r="X688" s="94"/>
      <c r="Y688" s="63"/>
      <c r="AA688" s="63"/>
      <c r="AB688" s="97"/>
      <c r="AC688"/>
      <c r="AD688" s="65"/>
      <c r="AE688" s="94"/>
      <c r="AF688" s="94"/>
      <c r="AG688" s="63"/>
      <c r="AH688" s="49">
        <f>Table2[[#This Row],[Prix de vente ($)]]/Table2[[#This Row],[Superficie totale (ha)]]</f>
        <v>2947.7536084570038</v>
      </c>
    </row>
    <row r="689" spans="1:35">
      <c r="A689" s="351" t="s">
        <v>3893</v>
      </c>
      <c r="C689" s="318">
        <v>45953</v>
      </c>
      <c r="D689" t="s">
        <v>3894</v>
      </c>
      <c r="E689" t="s">
        <v>3895</v>
      </c>
      <c r="F689" t="s">
        <v>3896</v>
      </c>
      <c r="G689" s="93">
        <v>185000</v>
      </c>
      <c r="I689" t="s">
        <v>16</v>
      </c>
      <c r="J689" t="s">
        <v>3897</v>
      </c>
      <c r="K689" t="s">
        <v>3898</v>
      </c>
      <c r="L689" s="205">
        <v>46.647562000000001</v>
      </c>
      <c r="M689" s="270" t="s">
        <v>3899</v>
      </c>
      <c r="N689" s="211">
        <v>20.25</v>
      </c>
      <c r="O689" t="s">
        <v>18</v>
      </c>
      <c r="P689" t="s">
        <v>949</v>
      </c>
      <c r="S689" s="94" t="s">
        <v>20</v>
      </c>
      <c r="T689" s="222">
        <v>0.6</v>
      </c>
      <c r="U689" s="222">
        <v>0.4</v>
      </c>
      <c r="V689" s="222">
        <v>0.75</v>
      </c>
      <c r="AC689" s="63">
        <v>12</v>
      </c>
      <c r="AF689" t="s">
        <v>3900</v>
      </c>
      <c r="AH689" s="49">
        <f>Table2[[#This Row],[Prix de vente ($)]]/Table2[[#This Row],[Superficie totale (ha)]]</f>
        <v>9135.8024691358023</v>
      </c>
    </row>
    <row r="690" spans="1:35">
      <c r="A690" s="196" t="s">
        <v>3901</v>
      </c>
      <c r="C690" s="318">
        <v>45954</v>
      </c>
      <c r="D690" t="s">
        <v>3902</v>
      </c>
      <c r="E690" t="s">
        <v>3903</v>
      </c>
      <c r="F690" t="s">
        <v>3904</v>
      </c>
      <c r="G690" s="93">
        <v>195000</v>
      </c>
      <c r="I690" t="s">
        <v>2157</v>
      </c>
      <c r="J690" t="s">
        <v>2158</v>
      </c>
      <c r="K690" t="s">
        <v>3043</v>
      </c>
      <c r="L690" s="205">
        <v>45.090989</v>
      </c>
      <c r="M690" s="270" t="s">
        <v>3905</v>
      </c>
      <c r="N690" s="211">
        <v>15.2</v>
      </c>
      <c r="O690" t="s">
        <v>18</v>
      </c>
      <c r="P690" t="s">
        <v>206</v>
      </c>
      <c r="Q690" s="199">
        <v>15.2</v>
      </c>
      <c r="S690" s="94" t="s">
        <v>20</v>
      </c>
      <c r="T690" s="222">
        <v>0.9</v>
      </c>
      <c r="U690" s="222">
        <v>0.1</v>
      </c>
      <c r="V690" s="222">
        <v>0.9</v>
      </c>
      <c r="AC690" s="63">
        <v>1.2</v>
      </c>
      <c r="AH690" s="49">
        <f>Table2[[#This Row],[Prix de vente ($)]]/Table2[[#This Row],[Superficie totale (ha)]]</f>
        <v>12828.947368421053</v>
      </c>
    </row>
    <row r="691" spans="1:35">
      <c r="A691" s="196" t="s">
        <v>3906</v>
      </c>
      <c r="C691" s="318">
        <v>45958</v>
      </c>
      <c r="F691" t="s">
        <v>3907</v>
      </c>
      <c r="I691" t="s">
        <v>476</v>
      </c>
      <c r="AH691" s="49" t="e">
        <f>Table2[[#This Row],[Prix de vente ($)]]/Table2[[#This Row],[Superficie totale (ha)]]</f>
        <v>#DIV/0!</v>
      </c>
    </row>
    <row r="692" spans="1:35">
      <c r="A692" s="196">
        <v>29856906</v>
      </c>
      <c r="C692" s="318">
        <v>45960</v>
      </c>
      <c r="D692" t="s">
        <v>3908</v>
      </c>
      <c r="E692" t="s">
        <v>3909</v>
      </c>
      <c r="F692">
        <v>6691501</v>
      </c>
      <c r="G692" s="93">
        <v>350000</v>
      </c>
      <c r="I692" t="s">
        <v>1597</v>
      </c>
      <c r="J692" t="s">
        <v>3441</v>
      </c>
      <c r="L692">
        <v>45.020541000000001</v>
      </c>
      <c r="M692" s="205">
        <v>-72.430870999999996</v>
      </c>
      <c r="N692" s="211">
        <v>20.49</v>
      </c>
      <c r="O692" t="s">
        <v>25</v>
      </c>
      <c r="P692" t="s">
        <v>63</v>
      </c>
      <c r="S692" s="94" t="s">
        <v>20</v>
      </c>
      <c r="T692" s="222">
        <v>0.7</v>
      </c>
      <c r="U692" s="222">
        <v>0.3</v>
      </c>
      <c r="V692" s="222">
        <v>0.6</v>
      </c>
      <c r="AC692" s="63">
        <v>6.5</v>
      </c>
      <c r="AF692" t="s">
        <v>3910</v>
      </c>
      <c r="AH692" s="49">
        <f>Table2[[#This Row],[Prix de vente ($)]]/Table2[[#This Row],[Superficie totale (ha)]]</f>
        <v>17081.503172279161</v>
      </c>
    </row>
    <row r="693" spans="1:35">
      <c r="A693" s="196" t="s">
        <v>3911</v>
      </c>
      <c r="C693" s="318">
        <v>45961</v>
      </c>
      <c r="D693" t="s">
        <v>3912</v>
      </c>
      <c r="E693" t="s">
        <v>3913</v>
      </c>
      <c r="F693" t="s">
        <v>3914</v>
      </c>
      <c r="G693" s="93">
        <v>120000</v>
      </c>
      <c r="I693" t="s">
        <v>16</v>
      </c>
      <c r="J693" t="s">
        <v>2206</v>
      </c>
      <c r="L693" s="205">
        <v>46.789430000000003</v>
      </c>
      <c r="M693" s="205">
        <v>-70.743842000000001</v>
      </c>
      <c r="N693" s="211">
        <v>27.4</v>
      </c>
      <c r="O693" t="s">
        <v>18</v>
      </c>
      <c r="P693" t="s">
        <v>19</v>
      </c>
      <c r="Q693" s="211">
        <v>27.4</v>
      </c>
      <c r="S693" s="94" t="s">
        <v>62</v>
      </c>
      <c r="T693" s="222">
        <v>0.7</v>
      </c>
      <c r="U693" s="222">
        <v>0.3</v>
      </c>
      <c r="V693" s="222">
        <v>0.65</v>
      </c>
      <c r="AC693" s="63">
        <v>2.8</v>
      </c>
      <c r="AF693" t="s">
        <v>3915</v>
      </c>
      <c r="AH693" s="49">
        <f>Table2[[#This Row],[Prix de vente ($)]]/Table2[[#This Row],[Superficie totale (ha)]]</f>
        <v>4379.5620437956204</v>
      </c>
    </row>
    <row r="694" spans="1:35">
      <c r="A694" s="351">
        <v>29894728</v>
      </c>
      <c r="B694" s="66"/>
      <c r="C694" s="362">
        <v>45973</v>
      </c>
      <c r="D694" s="66" t="s">
        <v>3916</v>
      </c>
      <c r="E694" s="66" t="s">
        <v>3917</v>
      </c>
      <c r="F694" s="66" t="s">
        <v>3918</v>
      </c>
      <c r="G694" s="353">
        <v>370000</v>
      </c>
      <c r="H694" s="66"/>
      <c r="I694" s="66" t="s">
        <v>74</v>
      </c>
      <c r="J694" s="66" t="s">
        <v>3287</v>
      </c>
      <c r="K694" s="66" t="s">
        <v>3919</v>
      </c>
      <c r="L694" s="207">
        <v>46.168928000000001</v>
      </c>
      <c r="M694" s="203" t="s">
        <v>3920</v>
      </c>
      <c r="N694" s="210">
        <v>70.73</v>
      </c>
      <c r="O694" s="66" t="s">
        <v>18</v>
      </c>
      <c r="P694" s="66" t="s">
        <v>19</v>
      </c>
      <c r="Q694" s="212">
        <v>70.73</v>
      </c>
      <c r="R694" s="66">
        <v>0</v>
      </c>
      <c r="S694" t="s">
        <v>33</v>
      </c>
      <c r="T694" s="221">
        <v>0.8</v>
      </c>
      <c r="U694" s="221">
        <v>0.2</v>
      </c>
      <c r="V694" s="221">
        <v>0.8</v>
      </c>
      <c r="W694" s="493"/>
      <c r="X694" s="221"/>
      <c r="Y694" s="66"/>
      <c r="Z694" s="123"/>
      <c r="AB694" s="66"/>
      <c r="AC694" s="466">
        <v>7.4</v>
      </c>
      <c r="AD694" s="354"/>
      <c r="AE694" s="123"/>
      <c r="AF694" s="66" t="s">
        <v>3921</v>
      </c>
      <c r="AG694" s="66"/>
      <c r="AH694" s="74">
        <f>Table2[[#This Row],[Prix de vente ($)]]/Table2[[#This Row],[Superficie totale (ha)]]</f>
        <v>5231.1607521560863</v>
      </c>
      <c r="AI694" s="66"/>
    </row>
    <row r="695" spans="1:35">
      <c r="A695" s="196">
        <v>29893977</v>
      </c>
      <c r="C695" s="318">
        <v>45974</v>
      </c>
      <c r="D695" t="s">
        <v>3922</v>
      </c>
      <c r="E695" t="s">
        <v>3923</v>
      </c>
      <c r="F695">
        <v>5691936</v>
      </c>
      <c r="G695" s="93">
        <v>551000</v>
      </c>
      <c r="I695" t="s">
        <v>74</v>
      </c>
      <c r="J695" t="s">
        <v>3924</v>
      </c>
      <c r="K695" t="s">
        <v>3925</v>
      </c>
      <c r="AH695" s="74" t="e">
        <f>Table2[[#This Row],[Prix de vente ($)]]/Table2[[#This Row],[Superficie totale (ha)]]</f>
        <v>#DIV/0!</v>
      </c>
    </row>
    <row r="696" spans="1:35">
      <c r="A696" s="196" t="s">
        <v>3926</v>
      </c>
      <c r="C696" s="318">
        <v>45989</v>
      </c>
      <c r="F696" t="s">
        <v>3927</v>
      </c>
      <c r="I696" t="s">
        <v>476</v>
      </c>
      <c r="AH696" s="49" t="e">
        <f>Table2[[#This Row],[Prix de vente ($)]]/Table2[[#This Row],[Superficie totale (ha)]]</f>
        <v>#DIV/0!</v>
      </c>
    </row>
    <row r="697" spans="1:35">
      <c r="A697" s="196" t="s">
        <v>3928</v>
      </c>
      <c r="C697" s="318">
        <v>45989</v>
      </c>
      <c r="F697" t="s">
        <v>3929</v>
      </c>
      <c r="I697" t="s">
        <v>328</v>
      </c>
      <c r="AH697" s="49"/>
    </row>
    <row r="698" spans="1:35">
      <c r="A698" s="196" t="s">
        <v>3930</v>
      </c>
      <c r="C698" s="318">
        <v>45992</v>
      </c>
      <c r="F698" t="s">
        <v>3931</v>
      </c>
      <c r="I698" t="s">
        <v>476</v>
      </c>
      <c r="AH698" s="49" t="e">
        <f>Table2[[#This Row],[Prix de vente ($)]]/Table2[[#This Row],[Superficie totale (ha)]]</f>
        <v>#DIV/0!</v>
      </c>
    </row>
    <row r="699" spans="1:35" ht="15.75">
      <c r="A699" s="239" t="s">
        <v>3932</v>
      </c>
      <c r="C699" s="318">
        <v>45993</v>
      </c>
      <c r="D699" s="249" t="s">
        <v>3933</v>
      </c>
      <c r="E699" s="249" t="s">
        <v>3934</v>
      </c>
      <c r="F699" s="249" t="s">
        <v>3935</v>
      </c>
      <c r="G699" s="93">
        <v>175000</v>
      </c>
      <c r="I699" t="s">
        <v>53</v>
      </c>
      <c r="J699" t="s">
        <v>3936</v>
      </c>
      <c r="L699" s="205">
        <v>47.633969</v>
      </c>
      <c r="M699" s="205">
        <v>-69.030358000000007</v>
      </c>
      <c r="N699" s="211">
        <v>18.559999999999999</v>
      </c>
      <c r="O699" t="s">
        <v>18</v>
      </c>
      <c r="P699" t="s">
        <v>173</v>
      </c>
      <c r="S699" s="94" t="s">
        <v>20</v>
      </c>
      <c r="T699" s="222">
        <v>0.8</v>
      </c>
      <c r="U699" s="222">
        <v>0.2</v>
      </c>
      <c r="V699" s="222">
        <v>0.8</v>
      </c>
      <c r="AC699" s="63">
        <v>8.4</v>
      </c>
      <c r="AF699" t="s">
        <v>3937</v>
      </c>
      <c r="AH699" s="49">
        <f>Table2[[#This Row],[Prix de vente ($)]]/Table2[[#This Row],[Superficie totale (ha)]]</f>
        <v>9428.8793103448279</v>
      </c>
    </row>
    <row r="700" spans="1:35">
      <c r="A700" s="351">
        <v>29939217</v>
      </c>
      <c r="B700" s="66"/>
      <c r="C700" s="362">
        <v>45993</v>
      </c>
      <c r="D700" s="66" t="s">
        <v>3938</v>
      </c>
      <c r="E700" s="66" t="s">
        <v>3939</v>
      </c>
      <c r="F700" s="130" t="s">
        <v>3940</v>
      </c>
      <c r="G700" s="353">
        <v>270700</v>
      </c>
      <c r="H700" s="66"/>
      <c r="I700" s="66" t="s">
        <v>74</v>
      </c>
      <c r="J700" s="66" t="s">
        <v>3941</v>
      </c>
      <c r="K700" s="66" t="s">
        <v>3942</v>
      </c>
      <c r="L700" s="207">
        <v>46.297778000000001</v>
      </c>
      <c r="M700" s="203" t="s">
        <v>3943</v>
      </c>
      <c r="N700" s="210">
        <v>50.18</v>
      </c>
      <c r="O700" s="66" t="s">
        <v>18</v>
      </c>
      <c r="P700" s="66" t="s">
        <v>19</v>
      </c>
      <c r="Q700" s="212">
        <v>50.18</v>
      </c>
      <c r="R700" s="66">
        <v>0</v>
      </c>
      <c r="S700" s="98" t="s">
        <v>20</v>
      </c>
      <c r="T700" s="221">
        <v>0.7</v>
      </c>
      <c r="U700" s="221">
        <v>0.3</v>
      </c>
      <c r="V700" s="221">
        <v>0.6</v>
      </c>
      <c r="W700" s="493"/>
      <c r="X700" s="221"/>
      <c r="Y700" s="66"/>
      <c r="Z700" s="123"/>
      <c r="AB700" s="66"/>
      <c r="AC700" s="466">
        <v>16.100000000000001</v>
      </c>
      <c r="AD700" s="354"/>
      <c r="AE700" s="123"/>
      <c r="AF700" s="66" t="s">
        <v>188</v>
      </c>
      <c r="AG700" s="66"/>
      <c r="AH700" s="74">
        <f>Table2[[#This Row],[Prix de vente ($)]]/Table2[[#This Row],[Superficie totale (ha)]]</f>
        <v>5394.5795137504983</v>
      </c>
      <c r="AI700" s="66"/>
    </row>
    <row r="701" spans="1:35">
      <c r="A701" s="196" t="s">
        <v>3944</v>
      </c>
      <c r="C701" s="318">
        <v>45994</v>
      </c>
      <c r="F701" t="s">
        <v>3945</v>
      </c>
      <c r="I701" t="s">
        <v>201</v>
      </c>
      <c r="J701" t="s">
        <v>3946</v>
      </c>
      <c r="AH701" s="49" t="e">
        <f>Table2[[#This Row],[Prix de vente ($)]]/Table2[[#This Row],[Superficie totale (ha)]]</f>
        <v>#DIV/0!</v>
      </c>
    </row>
    <row r="702" spans="1:35">
      <c r="A702" s="196" t="s">
        <v>3947</v>
      </c>
      <c r="C702" s="318">
        <v>45994</v>
      </c>
      <c r="D702" t="s">
        <v>3948</v>
      </c>
      <c r="E702" t="s">
        <v>3949</v>
      </c>
      <c r="F702" t="s">
        <v>3950</v>
      </c>
      <c r="G702" s="93">
        <v>388000</v>
      </c>
      <c r="I702" t="s">
        <v>3951</v>
      </c>
      <c r="J702" t="s">
        <v>3952</v>
      </c>
      <c r="K702" t="s">
        <v>3953</v>
      </c>
      <c r="L702" s="205">
        <v>48.255034999999999</v>
      </c>
      <c r="M702" s="270" t="s">
        <v>3954</v>
      </c>
      <c r="N702" s="211">
        <f>83.38+80.35+95.58+77.26+57.84</f>
        <v>394.40999999999997</v>
      </c>
      <c r="O702" t="s">
        <v>25</v>
      </c>
      <c r="P702" t="s">
        <v>317</v>
      </c>
      <c r="S702" s="94" t="s">
        <v>33</v>
      </c>
      <c r="T702" s="222">
        <v>0.4</v>
      </c>
      <c r="U702" s="222">
        <v>0.6</v>
      </c>
      <c r="V702" s="222">
        <v>0.65</v>
      </c>
      <c r="AF702" t="s">
        <v>3955</v>
      </c>
      <c r="AH702" s="49"/>
    </row>
    <row r="703" spans="1:35" s="293" customFormat="1" ht="36">
      <c r="A703" s="196" t="s">
        <v>3956</v>
      </c>
      <c r="B703"/>
      <c r="C703" s="318">
        <v>45995</v>
      </c>
      <c r="D703"/>
      <c r="E703"/>
      <c r="F703" t="s">
        <v>3957</v>
      </c>
      <c r="G703" s="367">
        <v>35000</v>
      </c>
      <c r="H703"/>
      <c r="I703" t="s">
        <v>2445</v>
      </c>
      <c r="J703" t="s">
        <v>2446</v>
      </c>
      <c r="K703"/>
      <c r="L703" s="205"/>
      <c r="M703" s="205"/>
      <c r="N703" s="223">
        <v>2.6</v>
      </c>
      <c r="O703" s="50" t="s">
        <v>18</v>
      </c>
      <c r="P703" s="424" t="s">
        <v>35</v>
      </c>
      <c r="Q703" s="223">
        <v>2.6</v>
      </c>
      <c r="R703"/>
      <c r="S703" s="50" t="s">
        <v>62</v>
      </c>
      <c r="T703" s="425">
        <v>1</v>
      </c>
      <c r="U703" s="425">
        <v>0</v>
      </c>
      <c r="V703" s="425">
        <v>0.7</v>
      </c>
      <c r="W703" s="494"/>
      <c r="X703" s="425"/>
      <c r="Y703"/>
      <c r="Z703" s="63"/>
      <c r="AA703"/>
      <c r="AB703"/>
      <c r="AC703" s="50">
        <v>0</v>
      </c>
      <c r="AD703" s="95"/>
      <c r="AE703" s="63"/>
      <c r="AF703" s="426" t="s">
        <v>3958</v>
      </c>
      <c r="AG703"/>
      <c r="AH703" s="49">
        <f>Table2[[#This Row],[Prix de vente ($)]]/Table2[[#This Row],[Superficie totale (ha)]]</f>
        <v>13461.538461538461</v>
      </c>
      <c r="AI703"/>
    </row>
    <row r="704" spans="1:35" s="293" customFormat="1">
      <c r="A704" s="196" t="s">
        <v>3959</v>
      </c>
      <c r="B704"/>
      <c r="C704" s="318">
        <v>46006</v>
      </c>
      <c r="D704" t="s">
        <v>3960</v>
      </c>
      <c r="E704" t="s">
        <v>3961</v>
      </c>
      <c r="F704" t="s">
        <v>3962</v>
      </c>
      <c r="G704" s="93">
        <v>95000</v>
      </c>
      <c r="H704"/>
      <c r="I704" t="s">
        <v>201</v>
      </c>
      <c r="J704" t="s">
        <v>3946</v>
      </c>
      <c r="K704"/>
      <c r="L704" s="205">
        <v>46.782988000000003</v>
      </c>
      <c r="M704" s="205">
        <v>-71.520432</v>
      </c>
      <c r="N704" s="211">
        <v>8.51</v>
      </c>
      <c r="O704" t="s">
        <v>18</v>
      </c>
      <c r="P704" t="s">
        <v>154</v>
      </c>
      <c r="Q704" s="211">
        <v>8.51</v>
      </c>
      <c r="R704"/>
      <c r="S704" s="94" t="s">
        <v>62</v>
      </c>
      <c r="T704" s="222">
        <v>0.65</v>
      </c>
      <c r="U704" s="222">
        <v>0.35</v>
      </c>
      <c r="V704" s="222">
        <v>0.8</v>
      </c>
      <c r="W704" s="486"/>
      <c r="X704" s="222"/>
      <c r="Y704"/>
      <c r="Z704" s="63"/>
      <c r="AA704"/>
      <c r="AB704"/>
      <c r="AC704" s="63">
        <v>4.0999999999999996</v>
      </c>
      <c r="AD704" s="95"/>
      <c r="AE704" s="63"/>
      <c r="AF704" t="s">
        <v>3963</v>
      </c>
      <c r="AG704"/>
      <c r="AH704" s="49">
        <f>Table2[[#This Row],[Prix de vente ($)]]/Table2[[#This Row],[Superficie totale (ha)]]</f>
        <v>11163.337250293773</v>
      </c>
      <c r="AI704"/>
    </row>
    <row r="705" spans="1:35">
      <c r="A705" s="196" t="s">
        <v>3964</v>
      </c>
      <c r="C705" s="318">
        <v>46006</v>
      </c>
      <c r="D705" t="s">
        <v>3965</v>
      </c>
      <c r="E705" t="s">
        <v>3966</v>
      </c>
      <c r="F705" t="s">
        <v>3967</v>
      </c>
      <c r="G705" s="93">
        <v>25000</v>
      </c>
      <c r="I705" t="s">
        <v>2264</v>
      </c>
      <c r="J705" t="s">
        <v>171</v>
      </c>
      <c r="K705" t="s">
        <v>3968</v>
      </c>
      <c r="L705" s="205">
        <v>49.104892999999997</v>
      </c>
      <c r="M705" s="270" t="s">
        <v>3969</v>
      </c>
      <c r="N705" s="211">
        <v>41.62</v>
      </c>
      <c r="O705" t="s">
        <v>18</v>
      </c>
      <c r="P705" t="s">
        <v>3970</v>
      </c>
      <c r="Q705" s="211">
        <f>Table2[[#This Row],[Superficie totale (ha)]]-3</f>
        <v>38.619999999999997</v>
      </c>
      <c r="S705" s="94" t="s">
        <v>33</v>
      </c>
      <c r="T705" s="222">
        <v>0.4</v>
      </c>
      <c r="U705" s="222">
        <v>0.6</v>
      </c>
      <c r="V705" s="222">
        <v>0.5</v>
      </c>
      <c r="AF705" t="s">
        <v>3971</v>
      </c>
      <c r="AH705" s="49"/>
    </row>
    <row r="706" spans="1:35">
      <c r="A706" s="351">
        <v>29987031</v>
      </c>
      <c r="B706" s="66"/>
      <c r="C706" s="362">
        <v>46008</v>
      </c>
      <c r="D706" s="66" t="s">
        <v>3972</v>
      </c>
      <c r="E706" s="66" t="s">
        <v>3973</v>
      </c>
      <c r="F706" s="66" t="s">
        <v>3974</v>
      </c>
      <c r="G706" s="353">
        <v>200000</v>
      </c>
      <c r="H706" s="66"/>
      <c r="I706" s="66" t="s">
        <v>74</v>
      </c>
      <c r="J706" s="66" t="s">
        <v>3858</v>
      </c>
      <c r="K706" s="66" t="s">
        <v>3859</v>
      </c>
      <c r="L706" s="207">
        <v>45.985813999999998</v>
      </c>
      <c r="M706" s="203" t="s">
        <v>3975</v>
      </c>
      <c r="N706" s="210">
        <v>32.159999999999997</v>
      </c>
      <c r="O706" s="66" t="s">
        <v>18</v>
      </c>
      <c r="P706" s="66" t="s">
        <v>19</v>
      </c>
      <c r="Q706" s="212">
        <v>31</v>
      </c>
      <c r="R706" s="66">
        <v>1.1000000000000001</v>
      </c>
      <c r="S706" s="98" t="s">
        <v>20</v>
      </c>
      <c r="T706" s="221">
        <v>0.9</v>
      </c>
      <c r="U706" s="221">
        <v>0.1</v>
      </c>
      <c r="V706" s="221">
        <v>0.75</v>
      </c>
      <c r="W706" s="493"/>
      <c r="X706" s="221"/>
      <c r="Y706" s="66"/>
      <c r="Z706" s="123"/>
      <c r="AB706" s="66"/>
      <c r="AC706" s="466">
        <v>22.7</v>
      </c>
      <c r="AD706" s="354"/>
      <c r="AE706" s="123"/>
      <c r="AF706" s="66"/>
      <c r="AG706" s="66"/>
      <c r="AH706" s="74">
        <f>Table2[[#This Row],[Prix de vente ($)]]/Table2[[#This Row],[Superficie totale (ha)]]</f>
        <v>6218.9054726368167</v>
      </c>
      <c r="AI706" s="66"/>
    </row>
    <row r="707" spans="1:35" ht="18">
      <c r="A707" s="196" t="s">
        <v>3976</v>
      </c>
      <c r="C707" s="318">
        <v>46010</v>
      </c>
      <c r="D707" t="s">
        <v>3977</v>
      </c>
      <c r="E707" t="s">
        <v>3978</v>
      </c>
      <c r="F707" t="s">
        <v>3979</v>
      </c>
      <c r="G707" s="93">
        <v>90000</v>
      </c>
      <c r="I707" t="s">
        <v>654</v>
      </c>
      <c r="J707" t="s">
        <v>3980</v>
      </c>
      <c r="K707" t="s">
        <v>3981</v>
      </c>
      <c r="L707" s="205">
        <v>46.666125999999998</v>
      </c>
      <c r="M707" s="270" t="s">
        <v>3982</v>
      </c>
      <c r="N707" s="211">
        <v>12.75</v>
      </c>
      <c r="O707" s="50" t="s">
        <v>18</v>
      </c>
      <c r="P707" s="424" t="s">
        <v>35</v>
      </c>
      <c r="S707" s="50" t="s">
        <v>310</v>
      </c>
      <c r="T707" s="222">
        <v>0.35</v>
      </c>
      <c r="U707" s="222">
        <v>0.65</v>
      </c>
      <c r="V707" s="222">
        <v>0.8</v>
      </c>
      <c r="AC707" s="63">
        <v>3.6</v>
      </c>
      <c r="AF707" t="s">
        <v>3983</v>
      </c>
      <c r="AH707" s="49">
        <f>Table2[[#This Row],[Prix de vente ($)]]/Table2[[#This Row],[Superficie totale (ha)]]</f>
        <v>7058.8235294117649</v>
      </c>
    </row>
    <row r="708" spans="1:35" ht="36">
      <c r="A708" s="196" t="s">
        <v>3984</v>
      </c>
      <c r="C708" s="318">
        <v>46027</v>
      </c>
      <c r="F708" t="s">
        <v>3985</v>
      </c>
      <c r="G708" s="367">
        <v>120000</v>
      </c>
      <c r="I708" t="s">
        <v>2445</v>
      </c>
      <c r="J708" t="s">
        <v>3986</v>
      </c>
      <c r="N708" s="223">
        <v>11.42</v>
      </c>
      <c r="O708" s="50" t="s">
        <v>18</v>
      </c>
      <c r="P708" s="424" t="s">
        <v>35</v>
      </c>
      <c r="Q708" s="223">
        <v>11.42</v>
      </c>
      <c r="S708" s="50" t="s">
        <v>310</v>
      </c>
      <c r="T708" s="425">
        <v>0.2</v>
      </c>
      <c r="U708" s="425">
        <v>0.8</v>
      </c>
      <c r="V708" s="425">
        <v>0.85</v>
      </c>
      <c r="W708" s="494"/>
      <c r="X708" s="425"/>
      <c r="AC708" s="50">
        <v>2.2999999999999998</v>
      </c>
      <c r="AF708" s="428" t="s">
        <v>3987</v>
      </c>
      <c r="AH708" s="49">
        <f>Table2[[#This Row],[Prix de vente ($)]]/Table2[[#This Row],[Superficie totale (ha)]]</f>
        <v>10507.880910683012</v>
      </c>
    </row>
    <row r="709" spans="1:35" ht="18">
      <c r="A709" s="196" t="s">
        <v>3988</v>
      </c>
      <c r="C709" s="318">
        <v>46036</v>
      </c>
      <c r="F709" t="s">
        <v>3989</v>
      </c>
      <c r="G709" s="93">
        <v>120000</v>
      </c>
      <c r="I709" t="s">
        <v>1352</v>
      </c>
      <c r="J709" t="s">
        <v>3787</v>
      </c>
      <c r="N709" s="211">
        <v>9.24</v>
      </c>
      <c r="O709" s="50" t="s">
        <v>18</v>
      </c>
      <c r="P709" s="424" t="s">
        <v>154</v>
      </c>
      <c r="AH709" s="49"/>
    </row>
    <row r="710" spans="1:35">
      <c r="A710" s="196" t="s">
        <v>3990</v>
      </c>
      <c r="C710" s="318">
        <v>46038</v>
      </c>
      <c r="F710" t="s">
        <v>3991</v>
      </c>
      <c r="I710" t="s">
        <v>328</v>
      </c>
      <c r="AH710" s="49"/>
    </row>
    <row r="711" spans="1:35">
      <c r="A711" s="196" t="s">
        <v>3992</v>
      </c>
      <c r="C711" s="318">
        <v>46048</v>
      </c>
      <c r="F711" t="s">
        <v>3993</v>
      </c>
      <c r="I711" t="s">
        <v>258</v>
      </c>
      <c r="AH711" s="49"/>
    </row>
    <row r="712" spans="1:35" ht="18">
      <c r="A712" s="196" t="s">
        <v>3994</v>
      </c>
      <c r="C712" s="318">
        <v>46065</v>
      </c>
      <c r="D712" t="s">
        <v>3995</v>
      </c>
      <c r="E712" t="s">
        <v>3996</v>
      </c>
      <c r="F712" t="s">
        <v>3997</v>
      </c>
      <c r="G712" s="93">
        <v>150000</v>
      </c>
      <c r="I712" t="s">
        <v>75</v>
      </c>
      <c r="J712" t="s">
        <v>1972</v>
      </c>
      <c r="L712" s="205">
        <v>46.666552000000003</v>
      </c>
      <c r="M712" s="270" t="s">
        <v>3998</v>
      </c>
      <c r="N712" s="211">
        <v>15.62</v>
      </c>
      <c r="O712" s="50" t="s">
        <v>18</v>
      </c>
      <c r="P712" t="s">
        <v>26</v>
      </c>
      <c r="S712" s="50" t="s">
        <v>62</v>
      </c>
      <c r="T712" s="222">
        <v>0.7</v>
      </c>
      <c r="U712" s="222">
        <v>0.3</v>
      </c>
      <c r="V712" s="222">
        <v>0.8</v>
      </c>
      <c r="AC712" s="63">
        <v>5</v>
      </c>
      <c r="AF712" t="s">
        <v>3999</v>
      </c>
      <c r="AH712" s="49">
        <f>Table2[[#This Row],[Prix de vente ($)]]/Table2[[#This Row],[Superficie totale (ha)]]</f>
        <v>9603.0729833546739</v>
      </c>
    </row>
    <row r="713" spans="1:35">
      <c r="A713" s="196" t="s">
        <v>4000</v>
      </c>
      <c r="C713" s="318">
        <v>46065</v>
      </c>
      <c r="F713" t="s">
        <v>4001</v>
      </c>
      <c r="I713" t="s">
        <v>74</v>
      </c>
      <c r="AH713" s="49" t="e">
        <f>Table2[[#This Row],[Prix de vente ($)]]/Table2[[#This Row],[Superficie totale (ha)]]</f>
        <v>#DIV/0!</v>
      </c>
    </row>
    <row r="714" spans="1:35">
      <c r="A714" s="196" t="s">
        <v>4002</v>
      </c>
      <c r="C714" s="318">
        <v>46071</v>
      </c>
      <c r="F714" t="s">
        <v>4003</v>
      </c>
      <c r="G714" s="93">
        <v>400000</v>
      </c>
      <c r="I714" t="s">
        <v>1352</v>
      </c>
      <c r="J714" t="s">
        <v>4004</v>
      </c>
      <c r="AH714" s="49" t="e">
        <f>Table2[[#This Row],[Prix de vente ($)]]/Table2[[#This Row],[Superficie totale (ha)]]</f>
        <v>#DIV/0!</v>
      </c>
    </row>
    <row r="715" spans="1:35">
      <c r="A715" s="196" t="s">
        <v>4005</v>
      </c>
      <c r="C715" s="318">
        <v>46073</v>
      </c>
      <c r="F715" t="s">
        <v>4006</v>
      </c>
      <c r="G715" s="93">
        <v>271957</v>
      </c>
      <c r="I715" t="s">
        <v>1352</v>
      </c>
      <c r="J715" t="s">
        <v>3133</v>
      </c>
      <c r="AH715" s="49"/>
    </row>
    <row r="716" spans="1:35">
      <c r="A716" s="196" t="s">
        <v>4007</v>
      </c>
      <c r="C716" s="318">
        <v>46073</v>
      </c>
      <c r="F716" t="s">
        <v>4008</v>
      </c>
      <c r="G716" s="93">
        <v>750000</v>
      </c>
      <c r="I716" t="s">
        <v>1352</v>
      </c>
      <c r="J716" t="s">
        <v>1353</v>
      </c>
      <c r="AH716" s="49"/>
    </row>
    <row r="717" spans="1:35">
      <c r="A717" s="196" t="s">
        <v>4009</v>
      </c>
      <c r="C717" s="318">
        <v>46100</v>
      </c>
      <c r="F717" t="s">
        <v>4010</v>
      </c>
      <c r="G717" s="93">
        <v>3000</v>
      </c>
      <c r="I717" t="s">
        <v>1352</v>
      </c>
      <c r="J717" t="s">
        <v>3787</v>
      </c>
      <c r="AH717" s="49"/>
    </row>
    <row r="718" spans="1:35">
      <c r="A718" s="196" t="s">
        <v>4011</v>
      </c>
      <c r="C718" s="318">
        <v>46112</v>
      </c>
      <c r="D718" t="s">
        <v>4012</v>
      </c>
      <c r="E718" t="s">
        <v>4013</v>
      </c>
      <c r="F718" t="s">
        <v>4014</v>
      </c>
      <c r="G718" s="93">
        <v>220000</v>
      </c>
      <c r="I718" t="s">
        <v>74</v>
      </c>
      <c r="J718" t="s">
        <v>3287</v>
      </c>
      <c r="K718" t="s">
        <v>4015</v>
      </c>
      <c r="L718" s="205">
        <v>46.041027</v>
      </c>
      <c r="M718" s="270" t="s">
        <v>4016</v>
      </c>
      <c r="N718" s="211">
        <f>23.49+22.36</f>
        <v>45.849999999999994</v>
      </c>
      <c r="O718" t="s">
        <v>25</v>
      </c>
      <c r="P718" t="s">
        <v>26</v>
      </c>
      <c r="Q718" s="211">
        <f>Table2[[#This Row],[Superficie totale (ha)]]</f>
        <v>45.849999999999994</v>
      </c>
      <c r="S718" s="94" t="s">
        <v>33</v>
      </c>
      <c r="T718" s="222">
        <v>0.2</v>
      </c>
      <c r="U718" s="222">
        <v>0.8</v>
      </c>
      <c r="V718" s="222">
        <v>0.55000000000000004</v>
      </c>
      <c r="AA718" s="66"/>
      <c r="AH718" s="49">
        <f>Table2[[#This Row],[Prix de vente ($)]]/Table2[[#This Row],[Superficie totale (ha)]]</f>
        <v>4798.2551799345702</v>
      </c>
    </row>
    <row r="719" spans="1:35" ht="18">
      <c r="A719" s="265" t="s">
        <v>4017</v>
      </c>
      <c r="C719" s="265" t="s">
        <v>4018</v>
      </c>
      <c r="G719" s="366">
        <v>30000</v>
      </c>
      <c r="I719" t="s">
        <v>29</v>
      </c>
      <c r="N719" s="369">
        <v>3.54</v>
      </c>
      <c r="AH719" s="49">
        <f>Table2[[#This Row],[Prix de vente ($)]]/Table2[[#This Row],[Superficie totale (ha)]]</f>
        <v>8474.5762711864409</v>
      </c>
    </row>
    <row r="720" spans="1:35" ht="18">
      <c r="A720" s="265" t="s">
        <v>4019</v>
      </c>
      <c r="C720" s="265" t="s">
        <v>4020</v>
      </c>
      <c r="G720" s="366">
        <v>15000</v>
      </c>
      <c r="I720" t="s">
        <v>29</v>
      </c>
      <c r="N720" s="369">
        <v>3.83</v>
      </c>
      <c r="AH720" s="49">
        <f>Table2[[#This Row],[Prix de vente ($)]]/Table2[[#This Row],[Superficie totale (ha)]]</f>
        <v>3916.4490861618797</v>
      </c>
    </row>
    <row r="721" spans="1:35" ht="18">
      <c r="A721" s="265" t="s">
        <v>4021</v>
      </c>
      <c r="C721" s="265" t="s">
        <v>4022</v>
      </c>
      <c r="G721" s="367">
        <v>30000</v>
      </c>
      <c r="I721" t="s">
        <v>29</v>
      </c>
      <c r="N721" s="370">
        <v>6.73</v>
      </c>
      <c r="AH721" s="49">
        <f>Table2[[#This Row],[Prix de vente ($)]]/Table2[[#This Row],[Superficie totale (ha)]]</f>
        <v>4457.652303120356</v>
      </c>
    </row>
    <row r="722" spans="1:35" ht="18">
      <c r="A722" s="265" t="s">
        <v>4023</v>
      </c>
      <c r="C722" s="265" t="s">
        <v>4024</v>
      </c>
      <c r="G722" s="367">
        <v>15000</v>
      </c>
      <c r="I722" t="s">
        <v>29</v>
      </c>
      <c r="N722" s="370">
        <v>5.25</v>
      </c>
      <c r="AH722" s="49">
        <f>Table2[[#This Row],[Prix de vente ($)]]/Table2[[#This Row],[Superficie totale (ha)]]</f>
        <v>2857.1428571428573</v>
      </c>
    </row>
    <row r="723" spans="1:35" ht="18">
      <c r="A723" s="265" t="s">
        <v>4025</v>
      </c>
      <c r="C723" s="265" t="s">
        <v>4026</v>
      </c>
      <c r="G723" s="366">
        <v>50000</v>
      </c>
      <c r="I723" t="s">
        <v>29</v>
      </c>
      <c r="N723" s="369">
        <v>8</v>
      </c>
      <c r="AH723" s="49">
        <f>Table2[[#This Row],[Prix de vente ($)]]/Table2[[#This Row],[Superficie totale (ha)]]</f>
        <v>6250</v>
      </c>
    </row>
    <row r="724" spans="1:35">
      <c r="A724" s="196">
        <v>29057826</v>
      </c>
      <c r="D724" s="247" t="s">
        <v>4027</v>
      </c>
      <c r="E724" s="247" t="s">
        <v>4028</v>
      </c>
      <c r="F724" s="247" t="s">
        <v>4029</v>
      </c>
      <c r="G724" s="93">
        <v>16666</v>
      </c>
      <c r="I724" t="s">
        <v>408</v>
      </c>
      <c r="J724" t="s">
        <v>1466</v>
      </c>
      <c r="L724" s="205">
        <v>45.97833</v>
      </c>
      <c r="M724" s="205">
        <v>-71.917750999999996</v>
      </c>
      <c r="N724" s="211">
        <v>9.09</v>
      </c>
      <c r="O724" t="s">
        <v>18</v>
      </c>
      <c r="P724" t="s">
        <v>361</v>
      </c>
      <c r="Q724" s="211">
        <v>9.09</v>
      </c>
      <c r="S724" s="94" t="s">
        <v>62</v>
      </c>
      <c r="T724" s="222">
        <v>0.7</v>
      </c>
      <c r="U724" s="222">
        <v>0.3</v>
      </c>
      <c r="V724" s="222">
        <v>0.8</v>
      </c>
      <c r="AC724" s="63">
        <v>0</v>
      </c>
      <c r="AF724" t="s">
        <v>4030</v>
      </c>
      <c r="AH724" s="49">
        <f>Table2[[#This Row],[Prix de vente ($)]]/Table2[[#This Row],[Superficie totale (ha)]]</f>
        <v>1833.4433443344335</v>
      </c>
    </row>
    <row r="725" spans="1:35">
      <c r="A725" s="196">
        <v>29329362</v>
      </c>
      <c r="D725" t="s">
        <v>4031</v>
      </c>
      <c r="E725" t="s">
        <v>4032</v>
      </c>
      <c r="F725" t="s">
        <v>4033</v>
      </c>
      <c r="G725" s="93">
        <v>101000</v>
      </c>
      <c r="I725" t="s">
        <v>2980</v>
      </c>
      <c r="J725" t="s">
        <v>3348</v>
      </c>
      <c r="K725" t="s">
        <v>4034</v>
      </c>
      <c r="L725" s="205" t="s">
        <v>4035</v>
      </c>
      <c r="M725" s="270" t="s">
        <v>4036</v>
      </c>
      <c r="N725" s="211">
        <f>14.39+17.22</f>
        <v>31.61</v>
      </c>
      <c r="O725" t="s">
        <v>25</v>
      </c>
      <c r="P725" t="s">
        <v>63</v>
      </c>
      <c r="S725" s="94" t="s">
        <v>20</v>
      </c>
      <c r="T725" s="222">
        <v>0.7</v>
      </c>
      <c r="U725" s="222">
        <v>0.3</v>
      </c>
      <c r="V725" s="222">
        <v>0.75</v>
      </c>
      <c r="AF725" t="s">
        <v>4037</v>
      </c>
      <c r="AH725" s="49">
        <f>Table2[[#This Row],[Prix de vente ($)]]/Table2[[#This Row],[Superficie totale (ha)]]</f>
        <v>3195.191395128124</v>
      </c>
    </row>
    <row r="726" spans="1:35">
      <c r="A726" s="196">
        <v>27019609</v>
      </c>
      <c r="B726" s="66"/>
      <c r="C726" s="362"/>
      <c r="D726" s="66"/>
      <c r="E726" s="66"/>
      <c r="F726" s="66" t="s">
        <v>4038</v>
      </c>
      <c r="G726" s="353"/>
      <c r="H726" s="66"/>
      <c r="I726" s="66" t="s">
        <v>69</v>
      </c>
      <c r="J726" s="66"/>
      <c r="K726" s="66"/>
      <c r="L726" s="207"/>
      <c r="M726" s="207"/>
      <c r="N726" s="210"/>
      <c r="O726" s="66"/>
      <c r="P726" s="66"/>
      <c r="Q726" s="212"/>
      <c r="R726" s="66"/>
      <c r="S726" s="98"/>
      <c r="T726" s="221"/>
      <c r="U726" s="221"/>
      <c r="V726" s="221"/>
      <c r="W726" s="493"/>
      <c r="X726" s="221"/>
      <c r="Y726" s="66"/>
      <c r="Z726" s="123"/>
      <c r="AA726" s="66"/>
      <c r="AB726" s="66"/>
      <c r="AC726" s="123"/>
      <c r="AD726" s="354"/>
      <c r="AE726" s="123"/>
      <c r="AF726" s="66"/>
      <c r="AG726" s="66"/>
      <c r="AH726" s="74" t="e">
        <f>Table2[[#This Row],[Prix de vente ($)]]/Table2[[#This Row],[Superficie totale (ha)]]</f>
        <v>#DIV/0!</v>
      </c>
      <c r="AI726" s="66"/>
    </row>
    <row r="727" spans="1:35">
      <c r="A727" s="196">
        <v>27051263</v>
      </c>
      <c r="F727" s="269">
        <v>6484010</v>
      </c>
      <c r="I727" t="s">
        <v>69</v>
      </c>
      <c r="AH727" s="49" t="e">
        <f>Table2[[#This Row],[Prix de vente ($)]]/Table2[[#This Row],[Superficie totale (ha)]]</f>
        <v>#DIV/0!</v>
      </c>
    </row>
    <row r="728" spans="1:35">
      <c r="A728" s="196">
        <v>27081218</v>
      </c>
      <c r="F728" t="s">
        <v>4039</v>
      </c>
      <c r="I728" t="s">
        <v>69</v>
      </c>
      <c r="AH728" s="49" t="e">
        <f>Table2[[#This Row],[Prix de vente ($)]]/Table2[[#This Row],[Superficie totale (ha)]]</f>
        <v>#DIV/0!</v>
      </c>
    </row>
    <row r="729" spans="1:35">
      <c r="A729" s="196">
        <v>27093303</v>
      </c>
      <c r="F729" s="269">
        <v>5005785</v>
      </c>
      <c r="I729" t="s">
        <v>69</v>
      </c>
      <c r="AH729" s="49" t="e">
        <f>Table2[[#This Row],[Prix de vente ($)]]/Table2[[#This Row],[Superficie totale (ha)]]</f>
        <v>#DIV/0!</v>
      </c>
    </row>
    <row r="730" spans="1:35">
      <c r="A730" s="196">
        <v>27376782</v>
      </c>
      <c r="F730" t="s">
        <v>4040</v>
      </c>
      <c r="I730" t="s">
        <v>53</v>
      </c>
      <c r="J730" t="s">
        <v>577</v>
      </c>
      <c r="AH730" s="49" t="e">
        <f>Table2[[#This Row],[Prix de vente ($)]]/Table2[[#This Row],[Superficie totale (ha)]]</f>
        <v>#DIV/0!</v>
      </c>
    </row>
    <row r="731" spans="1:35">
      <c r="A731" s="196">
        <v>27432539</v>
      </c>
      <c r="F731" t="s">
        <v>4041</v>
      </c>
      <c r="I731" t="s">
        <v>69</v>
      </c>
      <c r="AH731" s="49" t="e">
        <f>Table2[[#This Row],[Prix de vente ($)]]/Table2[[#This Row],[Superficie totale (ha)]]</f>
        <v>#DIV/0!</v>
      </c>
    </row>
    <row r="732" spans="1:35">
      <c r="A732" s="196">
        <v>27600856</v>
      </c>
      <c r="F732" s="269">
        <v>6528651</v>
      </c>
      <c r="I732" t="s">
        <v>69</v>
      </c>
      <c r="AH732" s="49" t="e">
        <f>Table2[[#This Row],[Prix de vente ($)]]/Table2[[#This Row],[Superficie totale (ha)]]</f>
        <v>#DIV/0!</v>
      </c>
    </row>
    <row r="733" spans="1:35">
      <c r="A733" s="196">
        <v>27671828</v>
      </c>
      <c r="F733" s="269">
        <v>5406036</v>
      </c>
      <c r="I733" t="s">
        <v>53</v>
      </c>
      <c r="J733" t="s">
        <v>4042</v>
      </c>
      <c r="AH733" s="49" t="e">
        <f>Table2[[#This Row],[Prix de vente ($)]]/Table2[[#This Row],[Superficie totale (ha)]]</f>
        <v>#DIV/0!</v>
      </c>
    </row>
    <row r="734" spans="1:35">
      <c r="A734" s="196">
        <v>27913915</v>
      </c>
      <c r="F734" s="269">
        <v>3629970</v>
      </c>
      <c r="I734" t="s">
        <v>53</v>
      </c>
      <c r="J734" t="s">
        <v>4043</v>
      </c>
      <c r="AH734" s="49" t="e">
        <f>Table2[[#This Row],[Prix de vente ($)]]/Table2[[#This Row],[Superficie totale (ha)]]</f>
        <v>#DIV/0!</v>
      </c>
    </row>
    <row r="735" spans="1:35">
      <c r="A735" s="196">
        <v>28157948</v>
      </c>
      <c r="F735" s="269">
        <v>5005720</v>
      </c>
      <c r="I735" t="s">
        <v>69</v>
      </c>
      <c r="AH735" s="49" t="e">
        <f>Table2[[#This Row],[Prix de vente ($)]]/Table2[[#This Row],[Superficie totale (ha)]]</f>
        <v>#DIV/0!</v>
      </c>
    </row>
    <row r="736" spans="1:35">
      <c r="A736" s="196">
        <v>28552042</v>
      </c>
      <c r="F736" t="s">
        <v>4044</v>
      </c>
      <c r="AH736" s="49" t="e">
        <f>Table2[[#This Row],[Prix de vente ($)]]/Table2[[#This Row],[Superficie totale (ha)]]</f>
        <v>#DIV/0!</v>
      </c>
    </row>
    <row r="737" spans="1:34">
      <c r="A737" s="196">
        <v>28554026</v>
      </c>
      <c r="F737" t="s">
        <v>4045</v>
      </c>
      <c r="AH737" s="49" t="e">
        <f>Table2[[#This Row],[Prix de vente ($)]]/Table2[[#This Row],[Superficie totale (ha)]]</f>
        <v>#DIV/0!</v>
      </c>
    </row>
    <row r="738" spans="1:34">
      <c r="A738" s="196">
        <v>28622672</v>
      </c>
      <c r="F738" s="269">
        <v>5303779</v>
      </c>
      <c r="AH738" s="49" t="e">
        <f>Table2[[#This Row],[Prix de vente ($)]]/Table2[[#This Row],[Superficie totale (ha)]]</f>
        <v>#DIV/0!</v>
      </c>
    </row>
    <row r="739" spans="1:34">
      <c r="A739" s="196">
        <v>28694182</v>
      </c>
      <c r="F739" s="269">
        <v>6622659</v>
      </c>
      <c r="AH739" s="49" t="e">
        <f>Table2[[#This Row],[Prix de vente ($)]]/Table2[[#This Row],[Superficie totale (ha)]]</f>
        <v>#DIV/0!</v>
      </c>
    </row>
    <row r="740" spans="1:34">
      <c r="A740" s="196">
        <v>28739866</v>
      </c>
      <c r="F740" s="269">
        <v>5005773</v>
      </c>
      <c r="I740" t="s">
        <v>69</v>
      </c>
      <c r="AH740" s="49" t="e">
        <f>Table2[[#This Row],[Prix de vente ($)]]/Table2[[#This Row],[Superficie totale (ha)]]</f>
        <v>#DIV/0!</v>
      </c>
    </row>
    <row r="741" spans="1:34">
      <c r="A741" s="196">
        <v>28780582</v>
      </c>
      <c r="F741" t="s">
        <v>4046</v>
      </c>
      <c r="AH741" s="49" t="e">
        <f>Table2[[#This Row],[Prix de vente ($)]]/Table2[[#This Row],[Superficie totale (ha)]]</f>
        <v>#DIV/0!</v>
      </c>
    </row>
    <row r="742" spans="1:34">
      <c r="A742" s="196">
        <v>28804913</v>
      </c>
      <c r="F742" s="269">
        <v>5005785</v>
      </c>
      <c r="I742" t="s">
        <v>69</v>
      </c>
      <c r="AH742" s="49" t="e">
        <f>Table2[[#This Row],[Prix de vente ($)]]/Table2[[#This Row],[Superficie totale (ha)]]</f>
        <v>#DIV/0!</v>
      </c>
    </row>
    <row r="743" spans="1:34">
      <c r="A743" s="196">
        <v>28856695</v>
      </c>
      <c r="F743" s="269">
        <v>6616763</v>
      </c>
      <c r="AH743" s="49" t="e">
        <f>Table2[[#This Row],[Prix de vente ($)]]/Table2[[#This Row],[Superficie totale (ha)]]</f>
        <v>#DIV/0!</v>
      </c>
    </row>
    <row r="744" spans="1:34">
      <c r="A744" s="196">
        <v>28960604</v>
      </c>
      <c r="F744" s="269">
        <v>6552710</v>
      </c>
      <c r="AH744" s="49" t="e">
        <f>Table2[[#This Row],[Prix de vente ($)]]/Table2[[#This Row],[Superficie totale (ha)]]</f>
        <v>#DIV/0!</v>
      </c>
    </row>
    <row r="745" spans="1:34">
      <c r="A745" s="196">
        <v>29017547</v>
      </c>
      <c r="F745" s="269">
        <v>5098728</v>
      </c>
      <c r="I745" s="139"/>
      <c r="AH745" s="49" t="e">
        <f>Table2[[#This Row],[Prix de vente ($)]]/Table2[[#This Row],[Superficie totale (ha)]]</f>
        <v>#DIV/0!</v>
      </c>
    </row>
    <row r="746" spans="1:34">
      <c r="A746" s="196">
        <v>29059790</v>
      </c>
      <c r="F746" s="269">
        <v>6627394</v>
      </c>
      <c r="AH746" s="49" t="e">
        <f>Table2[[#This Row],[Prix de vente ($)]]/Table2[[#This Row],[Superficie totale (ha)]]</f>
        <v>#DIV/0!</v>
      </c>
    </row>
    <row r="747" spans="1:34">
      <c r="A747" s="196">
        <v>29136521</v>
      </c>
      <c r="F747" t="s">
        <v>4047</v>
      </c>
      <c r="AH747" s="49" t="e">
        <f>Table2[[#This Row],[Prix de vente ($)]]/Table2[[#This Row],[Superficie totale (ha)]]</f>
        <v>#DIV/0!</v>
      </c>
    </row>
    <row r="748" spans="1:34">
      <c r="A748" s="196">
        <v>28352588</v>
      </c>
      <c r="F748" s="247" t="s">
        <v>4048</v>
      </c>
      <c r="G748" s="93">
        <v>85000</v>
      </c>
      <c r="I748" t="s">
        <v>408</v>
      </c>
      <c r="J748" t="s">
        <v>1345</v>
      </c>
      <c r="AH748" s="49" t="e">
        <f>Table2[[#This Row],[Prix de vente ($)]]/Table2[[#This Row],[Superficie totale (ha)]]</f>
        <v>#DIV/0!</v>
      </c>
    </row>
    <row r="749" spans="1:34">
      <c r="A749" s="196" t="s">
        <v>4049</v>
      </c>
      <c r="F749" t="s">
        <v>4050</v>
      </c>
      <c r="AH749" s="49" t="e">
        <f>Table2[[#This Row],[Prix de vente ($)]]/Table2[[#This Row],[Superficie totale (ha)]]</f>
        <v>#DIV/0!</v>
      </c>
    </row>
    <row r="750" spans="1:34">
      <c r="A750" s="196" t="s">
        <v>4051</v>
      </c>
      <c r="AH750" s="49" t="e">
        <f>Table2[[#This Row],[Prix de vente ($)]]/Table2[[#This Row],[Superficie totale (ha)]]</f>
        <v>#DIV/0!</v>
      </c>
    </row>
    <row r="751" spans="1:34">
      <c r="A751" s="196" t="s">
        <v>4052</v>
      </c>
      <c r="F751" t="s">
        <v>4053</v>
      </c>
      <c r="AH751" s="49" t="e">
        <f>Table2[[#This Row],[Prix de vente ($)]]/Table2[[#This Row],[Superficie totale (ha)]]</f>
        <v>#DIV/0!</v>
      </c>
    </row>
    <row r="752" spans="1:34">
      <c r="A752" s="196">
        <v>27834597</v>
      </c>
      <c r="F752" s="352" t="s">
        <v>4054</v>
      </c>
      <c r="AH752" s="49" t="e">
        <f>Table2[[#This Row],[Prix de vente ($)]]/Table2[[#This Row],[Superficie totale (ha)]]</f>
        <v>#DIV/0!</v>
      </c>
    </row>
    <row r="753" spans="1:34">
      <c r="A753" s="196" t="s">
        <v>4055</v>
      </c>
      <c r="F753" s="352" t="s">
        <v>4056</v>
      </c>
      <c r="AH753" s="49" t="e">
        <f>Table2[[#This Row],[Prix de vente ($)]]/Table2[[#This Row],[Superficie totale (ha)]]</f>
        <v>#DIV/0!</v>
      </c>
    </row>
    <row r="754" spans="1:34">
      <c r="A754" s="196">
        <v>28088121</v>
      </c>
      <c r="F754" s="352" t="s">
        <v>4057</v>
      </c>
      <c r="AH754" s="49" t="e">
        <f>Table2[[#This Row],[Prix de vente ($)]]/Table2[[#This Row],[Superficie totale (ha)]]</f>
        <v>#DIV/0!</v>
      </c>
    </row>
    <row r="755" spans="1:34">
      <c r="A755" s="196">
        <v>28388614</v>
      </c>
      <c r="F755" s="352">
        <v>5802277</v>
      </c>
      <c r="AH755" s="49" t="e">
        <f>Table2[[#This Row],[Prix de vente ($)]]/Table2[[#This Row],[Superficie totale (ha)]]</f>
        <v>#DIV/0!</v>
      </c>
    </row>
    <row r="756" spans="1:34">
      <c r="A756" s="196" t="s">
        <v>4058</v>
      </c>
      <c r="F756" t="s">
        <v>4059</v>
      </c>
      <c r="AH756" s="49" t="e">
        <f>Table2[[#This Row],[Prix de vente ($)]]/Table2[[#This Row],[Superficie totale (ha)]]</f>
        <v>#DIV/0!</v>
      </c>
    </row>
    <row r="757" spans="1:34">
      <c r="A757" s="196" t="s">
        <v>4060</v>
      </c>
      <c r="F757" t="s">
        <v>4061</v>
      </c>
      <c r="AH757" s="49" t="e">
        <f>Table2[[#This Row],[Prix de vente ($)]]/Table2[[#This Row],[Superficie totale (ha)]]</f>
        <v>#DIV/0!</v>
      </c>
    </row>
    <row r="758" spans="1:34">
      <c r="A758" s="196" t="s">
        <v>4062</v>
      </c>
      <c r="F758" t="s">
        <v>3864</v>
      </c>
      <c r="AH758" s="49" t="e">
        <f>Table2[[#This Row],[Prix de vente ($)]]/Table2[[#This Row],[Superficie totale (ha)]]</f>
        <v>#DIV/0!</v>
      </c>
    </row>
    <row r="759" spans="1:34">
      <c r="A759" s="196" t="s">
        <v>4063</v>
      </c>
      <c r="F759" t="s">
        <v>4064</v>
      </c>
      <c r="AH759" s="49" t="e">
        <f>Table2[[#This Row],[Prix de vente ($)]]/Table2[[#This Row],[Superficie totale (ha)]]</f>
        <v>#DIV/0!</v>
      </c>
    </row>
    <row r="760" spans="1:34">
      <c r="A760" s="196" t="s">
        <v>4065</v>
      </c>
      <c r="F760" t="s">
        <v>4066</v>
      </c>
      <c r="AH760" s="49" t="e">
        <f>Table2[[#This Row],[Prix de vente ($)]]/Table2[[#This Row],[Superficie totale (ha)]]</f>
        <v>#DIV/0!</v>
      </c>
    </row>
    <row r="761" spans="1:34">
      <c r="A761" s="196" t="s">
        <v>4067</v>
      </c>
      <c r="F761" t="s">
        <v>4068</v>
      </c>
      <c r="AH761" s="49" t="e">
        <f>Table2[[#This Row],[Prix de vente ($)]]/Table2[[#This Row],[Superficie totale (ha)]]</f>
        <v>#DIV/0!</v>
      </c>
    </row>
    <row r="762" spans="1:34">
      <c r="A762" s="196" t="s">
        <v>4069</v>
      </c>
      <c r="F762" t="s">
        <v>4070</v>
      </c>
      <c r="AH762" s="49" t="e">
        <f>Table2[[#This Row],[Prix de vente ($)]]/Table2[[#This Row],[Superficie totale (ha)]]</f>
        <v>#DIV/0!</v>
      </c>
    </row>
    <row r="763" spans="1:34">
      <c r="A763" s="196" t="s">
        <v>4071</v>
      </c>
      <c r="F763" t="s">
        <v>4072</v>
      </c>
      <c r="I763" t="s">
        <v>49</v>
      </c>
      <c r="AH763" s="49" t="e">
        <f>Table2[[#This Row],[Prix de vente ($)]]/Table2[[#This Row],[Superficie totale (ha)]]</f>
        <v>#DIV/0!</v>
      </c>
    </row>
    <row r="764" spans="1:34">
      <c r="A764" s="196" t="s">
        <v>4073</v>
      </c>
      <c r="F764" t="s">
        <v>4074</v>
      </c>
      <c r="I764" t="s">
        <v>49</v>
      </c>
      <c r="AH764" s="49" t="e">
        <f>Table2[[#This Row],[Prix de vente ($)]]/Table2[[#This Row],[Superficie totale (ha)]]</f>
        <v>#DIV/0!</v>
      </c>
    </row>
    <row r="765" spans="1:34">
      <c r="A765" s="196" t="s">
        <v>4075</v>
      </c>
      <c r="F765" t="s">
        <v>4076</v>
      </c>
      <c r="I765" t="s">
        <v>49</v>
      </c>
      <c r="AH765" s="49" t="e">
        <f>Table2[[#This Row],[Prix de vente ($)]]/Table2[[#This Row],[Superficie totale (ha)]]</f>
        <v>#DIV/0!</v>
      </c>
    </row>
    <row r="766" spans="1:34">
      <c r="A766" s="196" t="s">
        <v>4077</v>
      </c>
      <c r="F766" t="s">
        <v>4078</v>
      </c>
      <c r="I766" t="s">
        <v>49</v>
      </c>
      <c r="AH766" s="49" t="e">
        <f>Table2[[#This Row],[Prix de vente ($)]]/Table2[[#This Row],[Superficie totale (ha)]]</f>
        <v>#DIV/0!</v>
      </c>
    </row>
    <row r="767" spans="1:34">
      <c r="A767" s="351" t="s">
        <v>4079</v>
      </c>
      <c r="F767" t="s">
        <v>4080</v>
      </c>
      <c r="I767" t="s">
        <v>16</v>
      </c>
      <c r="AH767" s="49" t="e">
        <f>Table2[[#This Row],[Prix de vente ($)]]/Table2[[#This Row],[Superficie totale (ha)]]</f>
        <v>#DIV/0!</v>
      </c>
    </row>
    <row r="768" spans="1:34">
      <c r="A768" s="196" t="s">
        <v>4081</v>
      </c>
      <c r="F768" t="s">
        <v>4082</v>
      </c>
      <c r="I768" t="s">
        <v>49</v>
      </c>
      <c r="AH768" s="49" t="e">
        <f>Table2[[#This Row],[Prix de vente ($)]]/Table2[[#This Row],[Superficie totale (ha)]]</f>
        <v>#DIV/0!</v>
      </c>
    </row>
    <row r="769" spans="1:34">
      <c r="A769" s="196" t="s">
        <v>4083</v>
      </c>
      <c r="F769" t="s">
        <v>4084</v>
      </c>
      <c r="I769" t="s">
        <v>16</v>
      </c>
      <c r="AH769" s="49" t="e">
        <f>Table2[[#This Row],[Prix de vente ($)]]/Table2[[#This Row],[Superficie totale (ha)]]</f>
        <v>#DIV/0!</v>
      </c>
    </row>
    <row r="770" spans="1:34">
      <c r="A770" s="351" t="s">
        <v>4085</v>
      </c>
      <c r="F770" t="s">
        <v>4086</v>
      </c>
      <c r="I770" t="s">
        <v>3407</v>
      </c>
      <c r="AH770" s="49" t="e">
        <f>Table2[[#This Row],[Prix de vente ($)]]/Table2[[#This Row],[Superficie totale (ha)]]</f>
        <v>#DIV/0!</v>
      </c>
    </row>
    <row r="771" spans="1:34">
      <c r="A771" s="196" t="s">
        <v>4087</v>
      </c>
      <c r="F771">
        <v>4219978</v>
      </c>
      <c r="I771" t="s">
        <v>49</v>
      </c>
      <c r="AH771" s="49" t="e">
        <f>Table2[[#This Row],[Prix de vente ($)]]/Table2[[#This Row],[Superficie totale (ha)]]</f>
        <v>#DIV/0!</v>
      </c>
    </row>
    <row r="772" spans="1:34">
      <c r="A772" s="196" t="s">
        <v>4088</v>
      </c>
      <c r="F772" t="s">
        <v>4089</v>
      </c>
      <c r="I772" t="s">
        <v>49</v>
      </c>
      <c r="AH772" s="49" t="e">
        <f>Table2[[#This Row],[Prix de vente ($)]]/Table2[[#This Row],[Superficie totale (ha)]]</f>
        <v>#DIV/0!</v>
      </c>
    </row>
    <row r="773" spans="1:34">
      <c r="A773" s="351" t="s">
        <v>4090</v>
      </c>
      <c r="F773" t="s">
        <v>4091</v>
      </c>
      <c r="I773" t="s">
        <v>3407</v>
      </c>
      <c r="AH773" s="49" t="e">
        <f>Table2[[#This Row],[Prix de vente ($)]]/Table2[[#This Row],[Superficie totale (ha)]]</f>
        <v>#DIV/0!</v>
      </c>
    </row>
    <row r="774" spans="1:34">
      <c r="A774" s="196" t="s">
        <v>4092</v>
      </c>
      <c r="F774" t="s">
        <v>4093</v>
      </c>
      <c r="I774" t="s">
        <v>3407</v>
      </c>
      <c r="AH774" s="49" t="e">
        <f>Table2[[#This Row],[Prix de vente ($)]]/Table2[[#This Row],[Superficie totale (ha)]]</f>
        <v>#DIV/0!</v>
      </c>
    </row>
    <row r="775" spans="1:34">
      <c r="A775" s="351" t="s">
        <v>4094</v>
      </c>
      <c r="F775" t="s">
        <v>4095</v>
      </c>
      <c r="I775" t="s">
        <v>49</v>
      </c>
      <c r="AH775" s="49" t="e">
        <f>Table2[[#This Row],[Prix de vente ($)]]/Table2[[#This Row],[Superficie totale (ha)]]</f>
        <v>#DIV/0!</v>
      </c>
    </row>
    <row r="776" spans="1:34">
      <c r="A776" s="351" t="s">
        <v>4096</v>
      </c>
      <c r="F776" t="s">
        <v>4097</v>
      </c>
      <c r="I776" t="s">
        <v>16</v>
      </c>
      <c r="AH776" s="49" t="e">
        <f>Table2[[#This Row],[Prix de vente ($)]]/Table2[[#This Row],[Superficie totale (ha)]]</f>
        <v>#DIV/0!</v>
      </c>
    </row>
    <row r="777" spans="1:34">
      <c r="A777" s="196">
        <v>29733834</v>
      </c>
      <c r="F777" t="s">
        <v>4098</v>
      </c>
      <c r="I777" t="s">
        <v>3407</v>
      </c>
      <c r="AH777" s="49" t="e">
        <f>Table2[[#This Row],[Prix de vente ($)]]/Table2[[#This Row],[Superficie totale (ha)]]</f>
        <v>#DIV/0!</v>
      </c>
    </row>
    <row r="778" spans="1:34">
      <c r="A778" s="196" t="s">
        <v>4099</v>
      </c>
      <c r="F778" t="s">
        <v>4100</v>
      </c>
      <c r="I778" t="s">
        <v>49</v>
      </c>
      <c r="AH778" s="49" t="e">
        <f>Table2[[#This Row],[Prix de vente ($)]]/Table2[[#This Row],[Superficie totale (ha)]]</f>
        <v>#DIV/0!</v>
      </c>
    </row>
    <row r="779" spans="1:34">
      <c r="A779" s="196" t="s">
        <v>4101</v>
      </c>
      <c r="F779" t="s">
        <v>4102</v>
      </c>
      <c r="I779" t="s">
        <v>16</v>
      </c>
      <c r="AH779" s="49" t="e">
        <f>Table2[[#This Row],[Prix de vente ($)]]/Table2[[#This Row],[Superficie totale (ha)]]</f>
        <v>#DIV/0!</v>
      </c>
    </row>
    <row r="780" spans="1:34">
      <c r="A780" s="351" t="s">
        <v>4103</v>
      </c>
      <c r="F780" t="s">
        <v>4104</v>
      </c>
      <c r="I780" t="s">
        <v>3407</v>
      </c>
      <c r="AH780" s="49" t="e">
        <f>Table2[[#This Row],[Prix de vente ($)]]/Table2[[#This Row],[Superficie totale (ha)]]</f>
        <v>#DIV/0!</v>
      </c>
    </row>
    <row r="781" spans="1:34">
      <c r="A781" s="196" t="s">
        <v>4105</v>
      </c>
      <c r="F781" t="s">
        <v>4106</v>
      </c>
      <c r="I781" t="s">
        <v>16</v>
      </c>
      <c r="AH781" s="49" t="e">
        <f>Table2[[#This Row],[Prix de vente ($)]]/Table2[[#This Row],[Superficie totale (ha)]]</f>
        <v>#DIV/0!</v>
      </c>
    </row>
    <row r="782" spans="1:34">
      <c r="A782" s="196" t="s">
        <v>4107</v>
      </c>
      <c r="F782" t="s">
        <v>4108</v>
      </c>
      <c r="I782" t="s">
        <v>3407</v>
      </c>
      <c r="AH782" s="49" t="e">
        <f>Table2[[#This Row],[Prix de vente ($)]]/Table2[[#This Row],[Superficie totale (ha)]]</f>
        <v>#DIV/0!</v>
      </c>
    </row>
    <row r="783" spans="1:34">
      <c r="A783" s="196" t="s">
        <v>4109</v>
      </c>
      <c r="F783" t="s">
        <v>4110</v>
      </c>
      <c r="I783" t="s">
        <v>16</v>
      </c>
      <c r="AH783" s="49" t="e">
        <f>Table2[[#This Row],[Prix de vente ($)]]/Table2[[#This Row],[Superficie totale (ha)]]</f>
        <v>#DIV/0!</v>
      </c>
    </row>
    <row r="784" spans="1:34">
      <c r="A784" s="196" t="s">
        <v>4111</v>
      </c>
      <c r="F784" t="s">
        <v>4112</v>
      </c>
      <c r="I784" t="s">
        <v>160</v>
      </c>
      <c r="AH784" s="49" t="e">
        <f>Table2[[#This Row],[Prix de vente ($)]]/Table2[[#This Row],[Superficie totale (ha)]]</f>
        <v>#DIV/0!</v>
      </c>
    </row>
    <row r="785" spans="1:34">
      <c r="A785" s="196" t="s">
        <v>4113</v>
      </c>
      <c r="F785" t="s">
        <v>4114</v>
      </c>
      <c r="I785" t="s">
        <v>408</v>
      </c>
      <c r="AH785" s="49" t="e">
        <f>Table2[[#This Row],[Prix de vente ($)]]/Table2[[#This Row],[Superficie totale (ha)]]</f>
        <v>#DIV/0!</v>
      </c>
    </row>
    <row r="786" spans="1:34">
      <c r="A786" s="196" t="s">
        <v>4115</v>
      </c>
      <c r="I786" t="s">
        <v>408</v>
      </c>
      <c r="AH786" s="49" t="e">
        <f>Table2[[#This Row],[Prix de vente ($)]]/Table2[[#This Row],[Superficie totale (ha)]]</f>
        <v>#DIV/0!</v>
      </c>
    </row>
    <row r="787" spans="1:34">
      <c r="A787" s="196" t="s">
        <v>4116</v>
      </c>
      <c r="F787" t="s">
        <v>4117</v>
      </c>
      <c r="I787" t="s">
        <v>408</v>
      </c>
      <c r="AH787" s="49" t="e">
        <f>Table2[[#This Row],[Prix de vente ($)]]/Table2[[#This Row],[Superficie totale (ha)]]</f>
        <v>#DIV/0!</v>
      </c>
    </row>
    <row r="788" spans="1:34">
      <c r="A788" s="196" t="s">
        <v>4118</v>
      </c>
      <c r="F788" t="s">
        <v>4119</v>
      </c>
      <c r="I788" t="s">
        <v>408</v>
      </c>
      <c r="AH788" s="49" t="e">
        <f>Table2[[#This Row],[Prix de vente ($)]]/Table2[[#This Row],[Superficie totale (ha)]]</f>
        <v>#DIV/0!</v>
      </c>
    </row>
    <row r="789" spans="1:34">
      <c r="A789" s="196" t="s">
        <v>67</v>
      </c>
      <c r="B789">
        <v>26874738</v>
      </c>
      <c r="D789" t="s">
        <v>4120</v>
      </c>
      <c r="E789" t="s">
        <v>68</v>
      </c>
      <c r="F789" t="s">
        <v>4121</v>
      </c>
      <c r="G789" s="93">
        <f>459000+91000</f>
        <v>550000</v>
      </c>
      <c r="I789" t="s">
        <v>69</v>
      </c>
      <c r="J789" t="s">
        <v>70</v>
      </c>
      <c r="K789" t="s">
        <v>4122</v>
      </c>
      <c r="L789" s="205">
        <v>48.387619999999998</v>
      </c>
      <c r="M789" s="270" t="s">
        <v>4123</v>
      </c>
      <c r="N789" s="211">
        <f>22.63+2.79</f>
        <v>25.419999999999998</v>
      </c>
      <c r="O789" t="s">
        <v>71</v>
      </c>
      <c r="P789" t="s">
        <v>384</v>
      </c>
      <c r="S789" s="94" t="s">
        <v>20</v>
      </c>
      <c r="T789" s="222">
        <v>0.85</v>
      </c>
      <c r="U789" s="222">
        <v>0.15</v>
      </c>
      <c r="V789" s="222">
        <v>0.9</v>
      </c>
      <c r="Y789" t="s">
        <v>4124</v>
      </c>
      <c r="AC789" s="63">
        <v>18.399999999999999</v>
      </c>
      <c r="AD789" s="95">
        <v>4000</v>
      </c>
      <c r="AE789" s="63">
        <v>12040</v>
      </c>
      <c r="AF789" t="s">
        <v>4125</v>
      </c>
      <c r="AH789" s="49">
        <f>Table2[[#This Row],[Prix de vente ($)]]/Table2[[#This Row],[Superficie totale (ha)]]</f>
        <v>21636.506687647525</v>
      </c>
    </row>
    <row r="790" spans="1:34" ht="18">
      <c r="A790" s="196" t="s">
        <v>4126</v>
      </c>
      <c r="F790" t="s">
        <v>4127</v>
      </c>
      <c r="I790" t="s">
        <v>75</v>
      </c>
      <c r="N790" s="223"/>
      <c r="O790" s="50"/>
      <c r="P790" s="424"/>
      <c r="Q790" s="223"/>
      <c r="S790" s="50"/>
      <c r="T790" s="425"/>
      <c r="U790" s="425"/>
      <c r="V790" s="425"/>
      <c r="W790" s="494"/>
      <c r="X790" s="425"/>
      <c r="AC790" s="50"/>
      <c r="AF790" s="428"/>
      <c r="AH790" s="49" t="e">
        <f>Table2[[#This Row],[Prix de vente ($)]]/Table2[[#This Row],[Superficie totale (ha)]]</f>
        <v>#DIV/0!</v>
      </c>
    </row>
    <row r="791" spans="1:34">
      <c r="A791" s="196" t="s">
        <v>4128</v>
      </c>
      <c r="F791" t="s">
        <v>4129</v>
      </c>
      <c r="I791" t="s">
        <v>75</v>
      </c>
      <c r="AH791" s="49" t="e">
        <f>Table2[[#This Row],[Prix de vente ($)]]/Table2[[#This Row],[Superficie totale (ha)]]</f>
        <v>#DIV/0!</v>
      </c>
    </row>
    <row r="792" spans="1:34">
      <c r="A792" s="196" t="s">
        <v>4130</v>
      </c>
      <c r="F792" t="s">
        <v>4131</v>
      </c>
      <c r="I792" t="s">
        <v>75</v>
      </c>
      <c r="AH792" s="49" t="e">
        <f>Table2[[#This Row],[Prix de vente ($)]]/Table2[[#This Row],[Superficie totale (ha)]]</f>
        <v>#DIV/0!</v>
      </c>
    </row>
    <row r="793" spans="1:34">
      <c r="A793" s="196" t="s">
        <v>4132</v>
      </c>
      <c r="F793" t="s">
        <v>4133</v>
      </c>
      <c r="I793" t="s">
        <v>75</v>
      </c>
      <c r="AH793" s="49" t="e">
        <f>Table2[[#This Row],[Prix de vente ($)]]/Table2[[#This Row],[Superficie totale (ha)]]</f>
        <v>#DIV/0!</v>
      </c>
    </row>
    <row r="794" spans="1:34">
      <c r="A794" s="196" t="s">
        <v>4134</v>
      </c>
      <c r="F794" t="s">
        <v>4135</v>
      </c>
      <c r="I794" t="s">
        <v>75</v>
      </c>
      <c r="AH794" s="49" t="e">
        <f>Table2[[#This Row],[Prix de vente ($)]]/Table2[[#This Row],[Superficie totale (ha)]]</f>
        <v>#DIV/0!</v>
      </c>
    </row>
    <row r="795" spans="1:34">
      <c r="A795" s="196" t="s">
        <v>4136</v>
      </c>
      <c r="F795" t="s">
        <v>4137</v>
      </c>
      <c r="I795" t="s">
        <v>75</v>
      </c>
      <c r="AH795" s="49" t="e">
        <f>Table2[[#This Row],[Prix de vente ($)]]/Table2[[#This Row],[Superficie totale (ha)]]</f>
        <v>#DIV/0!</v>
      </c>
    </row>
    <row r="796" spans="1:34">
      <c r="A796" s="196" t="s">
        <v>4138</v>
      </c>
      <c r="F796" t="s">
        <v>4139</v>
      </c>
      <c r="I796" t="s">
        <v>328</v>
      </c>
      <c r="AH796" s="49"/>
    </row>
    <row r="797" spans="1:34">
      <c r="A797" s="196">
        <v>29865529</v>
      </c>
      <c r="C797" s="318">
        <v>45964</v>
      </c>
      <c r="D797" t="s">
        <v>4140</v>
      </c>
      <c r="E797" t="s">
        <v>4141</v>
      </c>
      <c r="F797">
        <v>4009379</v>
      </c>
      <c r="G797" s="93" t="s">
        <v>4142</v>
      </c>
      <c r="I797" t="s">
        <v>654</v>
      </c>
      <c r="J797" t="s">
        <v>4143</v>
      </c>
      <c r="K797" t="s">
        <v>4144</v>
      </c>
      <c r="AH797" s="49"/>
    </row>
    <row r="798" spans="1:34" ht="15.75">
      <c r="A798" s="196">
        <v>29974039</v>
      </c>
      <c r="C798" s="508">
        <v>46003</v>
      </c>
      <c r="D798" t="s">
        <v>4145</v>
      </c>
      <c r="E798" t="s">
        <v>4146</v>
      </c>
      <c r="F798">
        <v>4623149</v>
      </c>
      <c r="G798" s="93" t="s">
        <v>4147</v>
      </c>
      <c r="I798" t="s">
        <v>654</v>
      </c>
      <c r="J798" t="s">
        <v>4148</v>
      </c>
      <c r="K798" t="s">
        <v>4149</v>
      </c>
      <c r="AH798" s="49"/>
    </row>
    <row r="799" spans="1:34" ht="15.75">
      <c r="A799" s="196">
        <v>29906986</v>
      </c>
      <c r="C799" s="508">
        <v>45980</v>
      </c>
      <c r="D799" t="s">
        <v>4150</v>
      </c>
      <c r="E799" t="s">
        <v>4151</v>
      </c>
      <c r="F799">
        <v>4908730</v>
      </c>
      <c r="G799" s="93" t="s">
        <v>4152</v>
      </c>
      <c r="I799" t="s">
        <v>654</v>
      </c>
      <c r="J799" t="s">
        <v>4153</v>
      </c>
      <c r="K799" t="s">
        <v>4154</v>
      </c>
      <c r="AH799" s="49"/>
    </row>
    <row r="800" spans="1:34">
      <c r="A800" s="196">
        <v>29949048</v>
      </c>
      <c r="C800" s="318">
        <v>45996</v>
      </c>
      <c r="D800" t="s">
        <v>4155</v>
      </c>
      <c r="E800" t="s">
        <v>4156</v>
      </c>
      <c r="F800">
        <v>4009292</v>
      </c>
      <c r="G800" s="93" t="s">
        <v>4157</v>
      </c>
      <c r="I800" t="s">
        <v>654</v>
      </c>
      <c r="J800" t="s">
        <v>4143</v>
      </c>
      <c r="K800" t="s">
        <v>4158</v>
      </c>
      <c r="AH800" s="49"/>
    </row>
    <row r="801" spans="1:34">
      <c r="A801" s="196">
        <v>29924878</v>
      </c>
      <c r="C801" s="318">
        <v>45987</v>
      </c>
      <c r="D801" t="s">
        <v>4159</v>
      </c>
      <c r="E801" t="s">
        <v>4160</v>
      </c>
      <c r="F801">
        <v>2980309</v>
      </c>
      <c r="G801" s="93" t="s">
        <v>4161</v>
      </c>
      <c r="I801" t="s">
        <v>654</v>
      </c>
      <c r="J801" t="s">
        <v>654</v>
      </c>
      <c r="K801" t="s">
        <v>4162</v>
      </c>
      <c r="AH801" s="49"/>
    </row>
    <row r="802" spans="1:34">
      <c r="A802" s="196">
        <v>29911338</v>
      </c>
      <c r="C802" s="318">
        <v>45982</v>
      </c>
      <c r="D802" t="s">
        <v>4163</v>
      </c>
      <c r="E802" t="s">
        <v>4164</v>
      </c>
      <c r="F802" t="s">
        <v>4165</v>
      </c>
      <c r="G802" s="93" t="s">
        <v>4166</v>
      </c>
      <c r="I802" t="s">
        <v>654</v>
      </c>
      <c r="J802" t="s">
        <v>654</v>
      </c>
      <c r="K802" t="s">
        <v>4167</v>
      </c>
      <c r="AH802" s="49"/>
    </row>
    <row r="803" spans="1:34">
      <c r="A803" s="196">
        <v>29958458</v>
      </c>
      <c r="C803" s="318">
        <v>46000</v>
      </c>
      <c r="D803" t="s">
        <v>4168</v>
      </c>
      <c r="E803" t="s">
        <v>4169</v>
      </c>
      <c r="F803" t="s">
        <v>4170</v>
      </c>
      <c r="G803" s="93" t="s">
        <v>4171</v>
      </c>
      <c r="I803" t="s">
        <v>654</v>
      </c>
      <c r="J803" t="s">
        <v>4148</v>
      </c>
      <c r="K803">
        <v>0</v>
      </c>
      <c r="AH803" s="49"/>
    </row>
    <row r="804" spans="1:34">
      <c r="A804" s="196">
        <v>29993834</v>
      </c>
      <c r="C804" s="318">
        <v>46010</v>
      </c>
      <c r="D804" t="s">
        <v>4172</v>
      </c>
      <c r="E804" t="s">
        <v>4173</v>
      </c>
      <c r="F804">
        <v>3927223</v>
      </c>
      <c r="G804" s="93" t="s">
        <v>4174</v>
      </c>
      <c r="I804" t="s">
        <v>654</v>
      </c>
      <c r="J804" t="s">
        <v>4175</v>
      </c>
      <c r="K804" t="s">
        <v>4176</v>
      </c>
      <c r="AH804" s="49"/>
    </row>
    <row r="805" spans="1:34">
      <c r="A805" s="196">
        <v>29995448</v>
      </c>
      <c r="C805" s="318">
        <v>46013</v>
      </c>
      <c r="D805" t="s">
        <v>4177</v>
      </c>
      <c r="E805" t="s">
        <v>4178</v>
      </c>
      <c r="F805" t="s">
        <v>4179</v>
      </c>
      <c r="G805" s="93" t="s">
        <v>4180</v>
      </c>
      <c r="I805" t="s">
        <v>654</v>
      </c>
      <c r="J805" t="s">
        <v>510</v>
      </c>
      <c r="K805" t="s">
        <v>4181</v>
      </c>
      <c r="AH805" s="49"/>
    </row>
    <row r="806" spans="1:34">
      <c r="A806" s="196">
        <v>30036506</v>
      </c>
      <c r="C806" s="318">
        <v>46042</v>
      </c>
      <c r="D806" t="s">
        <v>4182</v>
      </c>
      <c r="E806" t="s">
        <v>4183</v>
      </c>
      <c r="F806">
        <v>4009333</v>
      </c>
      <c r="G806" s="93" t="s">
        <v>4184</v>
      </c>
      <c r="I806" t="s">
        <v>654</v>
      </c>
      <c r="J806" t="s">
        <v>4143</v>
      </c>
      <c r="K806" t="s">
        <v>4185</v>
      </c>
      <c r="AH806" s="49"/>
    </row>
    <row r="807" spans="1:34">
      <c r="A807" s="196">
        <v>29980692</v>
      </c>
      <c r="C807" s="318">
        <v>46007</v>
      </c>
      <c r="D807" t="s">
        <v>4186</v>
      </c>
      <c r="E807" t="s">
        <v>4187</v>
      </c>
      <c r="F807">
        <v>3927010</v>
      </c>
      <c r="G807" s="93" t="s">
        <v>4188</v>
      </c>
      <c r="I807" t="s">
        <v>654</v>
      </c>
      <c r="J807" t="s">
        <v>510</v>
      </c>
      <c r="K807" t="s">
        <v>4189</v>
      </c>
      <c r="AH807" s="49"/>
    </row>
    <row r="808" spans="1:34">
      <c r="A808" s="196">
        <v>30091862</v>
      </c>
      <c r="C808" s="318">
        <v>46065</v>
      </c>
      <c r="D808" t="s">
        <v>4190</v>
      </c>
      <c r="E808" t="s">
        <v>4191</v>
      </c>
      <c r="F808" t="s">
        <v>4192</v>
      </c>
      <c r="G808" s="93" t="s">
        <v>4193</v>
      </c>
      <c r="I808" t="s">
        <v>654</v>
      </c>
      <c r="J808" t="s">
        <v>883</v>
      </c>
      <c r="K808" t="s">
        <v>4194</v>
      </c>
      <c r="AH808" s="49"/>
    </row>
    <row r="809" spans="1:34">
      <c r="A809" s="196">
        <v>30064637</v>
      </c>
      <c r="D809" t="s">
        <v>4195</v>
      </c>
      <c r="E809" t="s">
        <v>4196</v>
      </c>
      <c r="F809">
        <v>1025245</v>
      </c>
      <c r="G809" s="93" t="s">
        <v>4197</v>
      </c>
      <c r="I809" t="s">
        <v>201</v>
      </c>
      <c r="J809" t="s">
        <v>4198</v>
      </c>
      <c r="K809" t="s">
        <v>4199</v>
      </c>
      <c r="AH809" s="49"/>
    </row>
    <row r="810" spans="1:34">
      <c r="A810" s="196">
        <v>30108532</v>
      </c>
      <c r="D810" t="s">
        <v>4200</v>
      </c>
      <c r="E810" t="s">
        <v>4201</v>
      </c>
      <c r="F810">
        <v>6407145</v>
      </c>
      <c r="G810" s="93" t="s">
        <v>4202</v>
      </c>
      <c r="I810" t="s">
        <v>201</v>
      </c>
      <c r="J810" t="s">
        <v>4203</v>
      </c>
      <c r="K810" t="s">
        <v>4204</v>
      </c>
      <c r="AH810" s="49"/>
    </row>
    <row r="811" spans="1:34">
      <c r="A811" s="196">
        <v>30123554</v>
      </c>
      <c r="D811" t="s">
        <v>4205</v>
      </c>
      <c r="E811" t="s">
        <v>4206</v>
      </c>
      <c r="F811">
        <v>6646649</v>
      </c>
      <c r="G811" s="93" t="s">
        <v>4207</v>
      </c>
      <c r="I811" t="s">
        <v>201</v>
      </c>
      <c r="J811" t="s">
        <v>4198</v>
      </c>
      <c r="K811" t="s">
        <v>4208</v>
      </c>
      <c r="AH811" s="49"/>
    </row>
    <row r="812" spans="1:34">
      <c r="A812" s="196">
        <v>30053696</v>
      </c>
      <c r="D812" t="s">
        <v>4209</v>
      </c>
      <c r="E812" t="s">
        <v>4210</v>
      </c>
      <c r="F812">
        <v>3055938</v>
      </c>
      <c r="G812" s="93" t="s">
        <v>4211</v>
      </c>
      <c r="I812" t="s">
        <v>201</v>
      </c>
      <c r="J812" t="s">
        <v>4212</v>
      </c>
      <c r="K812" t="s">
        <v>4213</v>
      </c>
      <c r="AH812" s="49"/>
    </row>
    <row r="813" spans="1:34">
      <c r="A813" s="196">
        <v>30208433</v>
      </c>
      <c r="D813" t="s">
        <v>4214</v>
      </c>
      <c r="E813" t="s">
        <v>4215</v>
      </c>
      <c r="F813">
        <v>6694889</v>
      </c>
      <c r="G813" s="93" t="s">
        <v>4216</v>
      </c>
      <c r="I813" t="s">
        <v>201</v>
      </c>
      <c r="J813" t="s">
        <v>4217</v>
      </c>
      <c r="K813">
        <v>0</v>
      </c>
      <c r="AH813" s="49"/>
    </row>
    <row r="814" spans="1:34">
      <c r="A814" s="196">
        <v>29972456</v>
      </c>
      <c r="D814" t="s">
        <v>4218</v>
      </c>
      <c r="E814" t="s">
        <v>4219</v>
      </c>
      <c r="F814">
        <v>4303577</v>
      </c>
      <c r="G814" s="93" t="s">
        <v>4220</v>
      </c>
      <c r="I814" t="s">
        <v>201</v>
      </c>
      <c r="J814" t="s">
        <v>4212</v>
      </c>
      <c r="K814">
        <v>0</v>
      </c>
      <c r="AH814" s="49"/>
    </row>
    <row r="815" spans="1:34">
      <c r="A815" s="196">
        <v>30019951</v>
      </c>
      <c r="D815" t="s">
        <v>4221</v>
      </c>
      <c r="E815" t="s">
        <v>4222</v>
      </c>
      <c r="F815">
        <v>1041050</v>
      </c>
      <c r="G815" s="93" t="s">
        <v>4223</v>
      </c>
      <c r="I815" t="s">
        <v>201</v>
      </c>
      <c r="J815" t="s">
        <v>4224</v>
      </c>
      <c r="K815" t="s">
        <v>4225</v>
      </c>
      <c r="AH815" s="49"/>
    </row>
    <row r="816" spans="1:34">
      <c r="A816" s="196">
        <v>30102319</v>
      </c>
      <c r="C816" s="318">
        <v>46070</v>
      </c>
      <c r="D816" t="s">
        <v>4226</v>
      </c>
      <c r="E816" t="s">
        <v>4227</v>
      </c>
      <c r="F816">
        <v>6707672</v>
      </c>
      <c r="G816" s="93" t="s">
        <v>4166</v>
      </c>
      <c r="I816" t="s">
        <v>654</v>
      </c>
      <c r="J816" t="s">
        <v>4228</v>
      </c>
      <c r="K816">
        <v>0</v>
      </c>
      <c r="AH816" s="49"/>
    </row>
    <row r="817" spans="1:34">
      <c r="A817" s="196">
        <v>30103917</v>
      </c>
      <c r="C817" s="318">
        <v>46071</v>
      </c>
      <c r="D817" t="s">
        <v>4229</v>
      </c>
      <c r="E817" t="s">
        <v>4230</v>
      </c>
      <c r="F817">
        <v>5021041</v>
      </c>
      <c r="G817" s="93" t="s">
        <v>4231</v>
      </c>
      <c r="I817" t="s">
        <v>654</v>
      </c>
      <c r="J817" t="s">
        <v>4232</v>
      </c>
      <c r="K817" t="s">
        <v>4233</v>
      </c>
      <c r="AH817" s="49"/>
    </row>
    <row r="818" spans="1:34">
      <c r="A818" s="196">
        <v>30061265</v>
      </c>
      <c r="C818" s="318">
        <v>46051</v>
      </c>
      <c r="D818" t="s">
        <v>4234</v>
      </c>
      <c r="E818" t="s">
        <v>4235</v>
      </c>
      <c r="F818" t="s">
        <v>4236</v>
      </c>
      <c r="G818" s="93" t="s">
        <v>4237</v>
      </c>
      <c r="I818" t="s">
        <v>654</v>
      </c>
      <c r="J818" t="s">
        <v>510</v>
      </c>
      <c r="K818">
        <v>0</v>
      </c>
      <c r="AH818" s="49"/>
    </row>
    <row r="819" spans="1:34">
      <c r="A819" s="196">
        <v>30109345</v>
      </c>
      <c r="C819" s="318">
        <v>46073</v>
      </c>
      <c r="D819" t="s">
        <v>4238</v>
      </c>
      <c r="E819" t="s">
        <v>4239</v>
      </c>
      <c r="F819" t="s">
        <v>4240</v>
      </c>
      <c r="G819" s="93" t="s">
        <v>4241</v>
      </c>
      <c r="I819" t="s">
        <v>654</v>
      </c>
      <c r="J819" t="s">
        <v>510</v>
      </c>
      <c r="K819" t="s">
        <v>4213</v>
      </c>
      <c r="AH819" s="49"/>
    </row>
    <row r="820" spans="1:34">
      <c r="A820" s="196">
        <v>30087611</v>
      </c>
      <c r="C820" s="318">
        <v>46064</v>
      </c>
      <c r="D820" t="s">
        <v>4242</v>
      </c>
      <c r="E820" t="s">
        <v>4243</v>
      </c>
      <c r="F820" t="s">
        <v>4244</v>
      </c>
      <c r="G820" s="93" t="s">
        <v>4245</v>
      </c>
      <c r="I820" t="s">
        <v>654</v>
      </c>
      <c r="J820" t="s">
        <v>4228</v>
      </c>
      <c r="K820" t="s">
        <v>4246</v>
      </c>
      <c r="AH820" s="49"/>
    </row>
    <row r="821" spans="1:34">
      <c r="A821" s="196" t="s">
        <v>4247</v>
      </c>
      <c r="F821" t="s">
        <v>4248</v>
      </c>
      <c r="G821" s="306">
        <v>9000</v>
      </c>
      <c r="I821" t="s">
        <v>2264</v>
      </c>
      <c r="J821" t="s">
        <v>171</v>
      </c>
      <c r="AH821" s="49"/>
    </row>
    <row r="822" spans="1:34">
      <c r="A822" s="196" t="s">
        <v>4249</v>
      </c>
      <c r="F822" t="s">
        <v>4250</v>
      </c>
      <c r="G822" s="93">
        <v>5000</v>
      </c>
      <c r="I822" t="s">
        <v>2264</v>
      </c>
      <c r="J822" t="s">
        <v>4251</v>
      </c>
      <c r="AH822" s="49"/>
    </row>
    <row r="823" spans="1:34">
      <c r="A823" s="196" t="s">
        <v>4252</v>
      </c>
      <c r="F823" t="s">
        <v>4253</v>
      </c>
      <c r="G823" s="93">
        <v>22500</v>
      </c>
      <c r="I823" t="s">
        <v>2264</v>
      </c>
      <c r="J823" t="s">
        <v>171</v>
      </c>
      <c r="AH823" s="49"/>
    </row>
    <row r="824" spans="1:34">
      <c r="A824" t="s">
        <v>4254</v>
      </c>
      <c r="F824" t="s">
        <v>4255</v>
      </c>
      <c r="G824" s="93">
        <v>60000</v>
      </c>
      <c r="I824" t="s">
        <v>556</v>
      </c>
      <c r="J824" t="s">
        <v>3328</v>
      </c>
      <c r="AH824" s="49"/>
    </row>
    <row r="825" spans="1:34">
      <c r="A825" s="196" t="s">
        <v>4256</v>
      </c>
      <c r="F825" t="s">
        <v>4257</v>
      </c>
      <c r="G825" s="93">
        <v>25000</v>
      </c>
      <c r="I825" t="s">
        <v>556</v>
      </c>
      <c r="J825" t="s">
        <v>3328</v>
      </c>
      <c r="AH825" s="49"/>
    </row>
    <row r="826" spans="1:34">
      <c r="A826" s="196" t="s">
        <v>4258</v>
      </c>
      <c r="F826" t="s">
        <v>4259</v>
      </c>
      <c r="G826" s="93">
        <v>39000</v>
      </c>
      <c r="I826" t="s">
        <v>556</v>
      </c>
      <c r="J826" t="s">
        <v>4260</v>
      </c>
      <c r="AH826" s="49"/>
    </row>
    <row r="827" spans="1:34">
      <c r="A827" s="196" t="s">
        <v>4261</v>
      </c>
      <c r="F827" t="s">
        <v>4262</v>
      </c>
      <c r="G827" s="93">
        <v>20000</v>
      </c>
      <c r="I827" t="s">
        <v>556</v>
      </c>
      <c r="J827" t="s">
        <v>4263</v>
      </c>
      <c r="AH827" s="49"/>
    </row>
    <row r="828" spans="1:34">
      <c r="A828" s="196" t="s">
        <v>4264</v>
      </c>
      <c r="F828" t="s">
        <v>4265</v>
      </c>
      <c r="G828" s="93">
        <v>20000</v>
      </c>
      <c r="I828" t="s">
        <v>556</v>
      </c>
      <c r="J828" t="s">
        <v>4263</v>
      </c>
      <c r="AH828" s="49"/>
    </row>
    <row r="829" spans="1:34">
      <c r="A829" s="196" t="s">
        <v>4266</v>
      </c>
      <c r="F829" t="s">
        <v>4267</v>
      </c>
      <c r="G829" s="93">
        <v>1100000</v>
      </c>
      <c r="I829" t="s">
        <v>556</v>
      </c>
      <c r="J829" t="s">
        <v>3952</v>
      </c>
      <c r="AH829" s="49"/>
    </row>
    <row r="830" spans="1:34">
      <c r="A830" s="196" t="s">
        <v>4268</v>
      </c>
      <c r="F830" t="s">
        <v>4269</v>
      </c>
      <c r="G830" s="93">
        <v>60000</v>
      </c>
      <c r="I830" t="s">
        <v>4270</v>
      </c>
      <c r="J830" t="s">
        <v>4271</v>
      </c>
      <c r="AH830" s="49"/>
    </row>
    <row r="831" spans="1:34">
      <c r="A831" s="196" t="s">
        <v>4272</v>
      </c>
      <c r="F831" t="s">
        <v>4273</v>
      </c>
      <c r="G831" s="93">
        <v>138000</v>
      </c>
      <c r="I831" t="s">
        <v>4270</v>
      </c>
      <c r="J831" t="s">
        <v>4271</v>
      </c>
      <c r="AH831" s="49"/>
    </row>
    <row r="832" spans="1:34">
      <c r="A832" s="196" t="s">
        <v>4274</v>
      </c>
      <c r="F832" t="s">
        <v>4275</v>
      </c>
      <c r="G832" s="93">
        <v>120000</v>
      </c>
      <c r="I832" t="s">
        <v>2264</v>
      </c>
      <c r="J832" t="s">
        <v>4251</v>
      </c>
      <c r="AH832" s="49"/>
    </row>
    <row r="833" spans="1:34">
      <c r="A833" s="196" t="s">
        <v>4276</v>
      </c>
      <c r="F833" t="s">
        <v>4277</v>
      </c>
      <c r="G833" s="93">
        <v>100000</v>
      </c>
      <c r="I833" t="s">
        <v>1295</v>
      </c>
      <c r="J833" t="s">
        <v>3890</v>
      </c>
      <c r="AH833" s="49"/>
    </row>
    <row r="834" spans="1:34">
      <c r="A834" s="196" t="s">
        <v>4278</v>
      </c>
      <c r="F834" t="s">
        <v>4279</v>
      </c>
      <c r="G834" s="93">
        <v>110000</v>
      </c>
      <c r="I834" t="s">
        <v>1295</v>
      </c>
      <c r="J834" t="s">
        <v>3890</v>
      </c>
      <c r="AH834" s="49"/>
    </row>
    <row r="835" spans="1:34">
      <c r="A835" s="196" t="s">
        <v>4280</v>
      </c>
      <c r="F835" t="s">
        <v>4281</v>
      </c>
      <c r="G835" s="93">
        <v>265000</v>
      </c>
      <c r="I835" t="s">
        <v>1295</v>
      </c>
      <c r="J835" t="s">
        <v>4282</v>
      </c>
      <c r="AH835" s="49"/>
    </row>
    <row r="836" spans="1:34">
      <c r="A836" s="196" t="s">
        <v>4283</v>
      </c>
      <c r="F836" t="s">
        <v>4284</v>
      </c>
      <c r="G836" s="93">
        <v>12000</v>
      </c>
      <c r="I836" t="s">
        <v>1295</v>
      </c>
      <c r="J836" t="s">
        <v>4285</v>
      </c>
      <c r="AH836" s="49"/>
    </row>
    <row r="837" spans="1:34">
      <c r="A837" s="196" t="s">
        <v>4286</v>
      </c>
      <c r="F837" t="s">
        <v>4287</v>
      </c>
      <c r="G837" s="93">
        <v>70000</v>
      </c>
      <c r="I837" t="s">
        <v>1295</v>
      </c>
      <c r="J837" t="s">
        <v>4288</v>
      </c>
      <c r="AH837" s="49"/>
    </row>
    <row r="838" spans="1:34">
      <c r="A838" s="196" t="s">
        <v>4289</v>
      </c>
      <c r="F838" t="s">
        <v>4290</v>
      </c>
      <c r="G838" s="93">
        <v>80000</v>
      </c>
      <c r="I838" t="s">
        <v>1295</v>
      </c>
      <c r="J838" t="s">
        <v>3890</v>
      </c>
      <c r="AH838" s="49"/>
    </row>
    <row r="839" spans="1:34">
      <c r="A839" s="196" t="s">
        <v>4291</v>
      </c>
      <c r="F839" t="s">
        <v>4292</v>
      </c>
      <c r="G839" s="93">
        <v>100000</v>
      </c>
      <c r="I839" t="s">
        <v>1295</v>
      </c>
      <c r="J839" t="s">
        <v>4293</v>
      </c>
      <c r="AH839" s="49"/>
    </row>
    <row r="840" spans="1:34">
      <c r="A840" s="196" t="s">
        <v>4294</v>
      </c>
      <c r="F840" t="s">
        <v>4295</v>
      </c>
      <c r="G840" s="93">
        <v>170000</v>
      </c>
      <c r="I840" t="s">
        <v>1295</v>
      </c>
      <c r="J840" t="s">
        <v>4285</v>
      </c>
      <c r="AH840" s="49" t="e">
        <f>Table2[[#This Row],[Prix de vente ($)]]/Table2[[#This Row],[Superficie totale (ha)]]</f>
        <v>#DIV/0!</v>
      </c>
    </row>
    <row r="841" spans="1:34">
      <c r="A841" s="196" t="s">
        <v>4296</v>
      </c>
      <c r="F841" t="s">
        <v>4297</v>
      </c>
      <c r="G841" s="93">
        <v>125000</v>
      </c>
      <c r="I841" t="s">
        <v>1295</v>
      </c>
      <c r="J841" t="s">
        <v>2173</v>
      </c>
      <c r="AH841" s="49" t="e">
        <f>Table2[[#This Row],[Prix de vente ($)]]/Table2[[#This Row],[Superficie totale (ha)]]</f>
        <v>#DIV/0!</v>
      </c>
    </row>
    <row r="842" spans="1:34">
      <c r="A842" s="196" t="s">
        <v>4298</v>
      </c>
      <c r="F842" t="s">
        <v>4299</v>
      </c>
      <c r="G842" s="93">
        <v>449000</v>
      </c>
      <c r="I842" t="s">
        <v>1295</v>
      </c>
      <c r="J842" t="s">
        <v>4300</v>
      </c>
      <c r="AH842" s="49"/>
    </row>
    <row r="843" spans="1:34">
      <c r="A843" s="196" t="s">
        <v>4301</v>
      </c>
      <c r="F843" t="s">
        <v>4302</v>
      </c>
      <c r="G843" s="93">
        <v>30000</v>
      </c>
      <c r="I843" t="s">
        <v>1295</v>
      </c>
      <c r="J843" t="s">
        <v>4300</v>
      </c>
      <c r="AH843" s="49"/>
    </row>
    <row r="844" spans="1:34">
      <c r="A844" s="196" t="s">
        <v>4303</v>
      </c>
      <c r="F844" t="s">
        <v>4304</v>
      </c>
      <c r="G844" s="93">
        <v>20000</v>
      </c>
      <c r="I844" t="s">
        <v>1295</v>
      </c>
      <c r="J844" t="s">
        <v>3591</v>
      </c>
      <c r="AH844" s="49"/>
    </row>
    <row r="845" spans="1:34">
      <c r="A845" s="196" t="s">
        <v>4305</v>
      </c>
      <c r="F845" t="s">
        <v>4306</v>
      </c>
      <c r="G845" s="93">
        <v>30000</v>
      </c>
      <c r="I845" t="s">
        <v>1295</v>
      </c>
      <c r="J845" t="s">
        <v>4307</v>
      </c>
      <c r="AH845" s="49"/>
    </row>
    <row r="846" spans="1:34">
      <c r="A846" s="196" t="s">
        <v>4308</v>
      </c>
      <c r="F846" t="s">
        <v>4309</v>
      </c>
      <c r="G846" s="93">
        <v>160000</v>
      </c>
      <c r="I846" t="s">
        <v>1295</v>
      </c>
      <c r="J846" t="s">
        <v>3591</v>
      </c>
      <c r="AH846" s="49"/>
    </row>
    <row r="847" spans="1:34">
      <c r="A847" s="196" t="s">
        <v>4310</v>
      </c>
      <c r="F847" t="s">
        <v>4311</v>
      </c>
      <c r="G847" s="93">
        <v>35500</v>
      </c>
      <c r="I847" t="s">
        <v>4312</v>
      </c>
      <c r="J847" t="s">
        <v>4313</v>
      </c>
      <c r="AH847" s="49"/>
    </row>
    <row r="848" spans="1:34">
      <c r="A848" s="196" t="s">
        <v>4314</v>
      </c>
      <c r="F848" s="457" t="s">
        <v>4315</v>
      </c>
      <c r="G848" s="93">
        <v>37500</v>
      </c>
      <c r="I848" t="s">
        <v>4312</v>
      </c>
      <c r="J848" t="s">
        <v>4316</v>
      </c>
      <c r="AH848" s="49"/>
    </row>
    <row r="849" spans="1:41">
      <c r="A849" s="196" t="s">
        <v>4317</v>
      </c>
      <c r="F849" t="s">
        <v>4318</v>
      </c>
      <c r="G849" s="93">
        <v>11500</v>
      </c>
      <c r="I849" t="s">
        <v>4312</v>
      </c>
      <c r="J849" t="s">
        <v>4319</v>
      </c>
      <c r="AH849" s="49"/>
    </row>
    <row r="850" spans="1:41">
      <c r="A850" s="196" t="s">
        <v>4320</v>
      </c>
      <c r="F850" t="s">
        <v>4321</v>
      </c>
      <c r="G850" s="93">
        <v>8500</v>
      </c>
      <c r="I850" t="s">
        <v>4312</v>
      </c>
      <c r="J850" t="s">
        <v>4313</v>
      </c>
      <c r="AH850" s="49"/>
    </row>
    <row r="851" spans="1:41">
      <c r="A851" s="196" t="s">
        <v>4322</v>
      </c>
      <c r="F851" t="s">
        <v>4323</v>
      </c>
      <c r="G851" s="93">
        <v>25000</v>
      </c>
      <c r="I851" t="s">
        <v>4312</v>
      </c>
      <c r="J851" t="s">
        <v>4324</v>
      </c>
      <c r="AH851" s="49"/>
    </row>
    <row r="852" spans="1:41">
      <c r="A852" s="196" t="s">
        <v>4325</v>
      </c>
      <c r="F852" t="s">
        <v>4326</v>
      </c>
      <c r="G852" s="93">
        <v>10000</v>
      </c>
      <c r="I852" t="s">
        <v>4312</v>
      </c>
      <c r="J852" t="s">
        <v>4319</v>
      </c>
      <c r="AH852" s="49"/>
    </row>
    <row r="853" spans="1:41">
      <c r="A853" s="196" t="s">
        <v>4327</v>
      </c>
      <c r="F853" t="s">
        <v>4328</v>
      </c>
      <c r="G853" s="93">
        <v>35000</v>
      </c>
      <c r="I853" t="s">
        <v>4312</v>
      </c>
      <c r="J853" t="s">
        <v>4319</v>
      </c>
      <c r="AH853" s="49"/>
    </row>
    <row r="854" spans="1:41">
      <c r="A854" s="196" t="s">
        <v>4329</v>
      </c>
      <c r="F854" t="s">
        <v>4330</v>
      </c>
      <c r="G854" s="93">
        <v>80000</v>
      </c>
      <c r="I854" t="s">
        <v>4312</v>
      </c>
      <c r="J854" t="s">
        <v>4324</v>
      </c>
      <c r="AH854" s="49"/>
      <c r="AO854" s="1" t="e">
        <f>G854/#REF!</f>
        <v>#REF!</v>
      </c>
    </row>
    <row r="855" spans="1:41">
      <c r="A855" s="196" t="s">
        <v>4331</v>
      </c>
      <c r="F855" t="s">
        <v>4332</v>
      </c>
      <c r="G855" s="93">
        <v>58500</v>
      </c>
      <c r="I855" t="s">
        <v>4312</v>
      </c>
      <c r="J855" t="s">
        <v>4313</v>
      </c>
      <c r="AH855" s="49"/>
    </row>
    <row r="856" spans="1:41">
      <c r="A856" s="196" t="s">
        <v>4333</v>
      </c>
      <c r="F856" t="s">
        <v>4334</v>
      </c>
      <c r="G856" s="93">
        <v>75000</v>
      </c>
      <c r="I856" t="s">
        <v>4312</v>
      </c>
      <c r="J856" t="s">
        <v>4313</v>
      </c>
      <c r="AH856" s="49"/>
    </row>
    <row r="857" spans="1:41" s="66" customFormat="1">
      <c r="A857" s="196" t="s">
        <v>4335</v>
      </c>
      <c r="B857"/>
      <c r="C857" s="318"/>
      <c r="D857"/>
      <c r="E857"/>
      <c r="F857" t="s">
        <v>4336</v>
      </c>
      <c r="G857" s="93">
        <v>35000</v>
      </c>
      <c r="H857"/>
      <c r="I857" t="s">
        <v>4312</v>
      </c>
      <c r="J857" t="s">
        <v>4337</v>
      </c>
      <c r="K857"/>
      <c r="L857" s="205"/>
      <c r="M857" s="205"/>
      <c r="N857" s="211"/>
      <c r="O857"/>
      <c r="P857"/>
      <c r="Q857" s="199"/>
      <c r="R857"/>
      <c r="S857" s="94"/>
      <c r="T857" s="222"/>
      <c r="U857" s="222"/>
      <c r="V857" s="222"/>
      <c r="W857" s="486"/>
      <c r="X857" s="222"/>
      <c r="Y857"/>
      <c r="Z857" s="63"/>
      <c r="AA857"/>
      <c r="AB857"/>
      <c r="AC857" s="63"/>
      <c r="AD857" s="95"/>
      <c r="AE857" s="63"/>
      <c r="AF857"/>
      <c r="AG857"/>
      <c r="AH857" s="49"/>
      <c r="AI857"/>
    </row>
    <row r="858" spans="1:41" s="66" customFormat="1">
      <c r="A858" s="196" t="s">
        <v>4338</v>
      </c>
      <c r="B858"/>
      <c r="C858" s="318"/>
      <c r="D858"/>
      <c r="E858"/>
      <c r="F858" t="s">
        <v>4339</v>
      </c>
      <c r="G858" s="93">
        <v>28000</v>
      </c>
      <c r="H858"/>
      <c r="I858" t="s">
        <v>4312</v>
      </c>
      <c r="J858" t="s">
        <v>4313</v>
      </c>
      <c r="K858"/>
      <c r="L858" s="205"/>
      <c r="M858" s="205"/>
      <c r="N858" s="211"/>
      <c r="O858"/>
      <c r="P858"/>
      <c r="Q858" s="199"/>
      <c r="R858"/>
      <c r="S858" s="94"/>
      <c r="T858" s="222"/>
      <c r="U858" s="222"/>
      <c r="V858" s="222"/>
      <c r="W858" s="486"/>
      <c r="X858" s="222"/>
      <c r="Y858"/>
      <c r="Z858" s="63"/>
      <c r="AA858"/>
      <c r="AB858"/>
      <c r="AC858" s="63"/>
      <c r="AD858" s="95"/>
      <c r="AE858" s="63"/>
      <c r="AF858"/>
      <c r="AG858"/>
      <c r="AH858" s="49"/>
      <c r="AI858"/>
    </row>
    <row r="859" spans="1:41" s="66" customFormat="1">
      <c r="A859" s="196" t="s">
        <v>4340</v>
      </c>
      <c r="B859"/>
      <c r="C859" s="318"/>
      <c r="D859"/>
      <c r="E859"/>
      <c r="F859" t="s">
        <v>4341</v>
      </c>
      <c r="G859" s="93">
        <v>255000</v>
      </c>
      <c r="H859"/>
      <c r="I859" t="s">
        <v>4312</v>
      </c>
      <c r="J859" t="s">
        <v>4319</v>
      </c>
      <c r="K859"/>
      <c r="L859" s="205"/>
      <c r="M859" s="205"/>
      <c r="N859" s="211"/>
      <c r="O859"/>
      <c r="P859"/>
      <c r="Q859" s="199"/>
      <c r="R859"/>
      <c r="S859" s="94"/>
      <c r="T859" s="222"/>
      <c r="U859" s="222"/>
      <c r="V859" s="222"/>
      <c r="W859" s="486"/>
      <c r="X859" s="222"/>
      <c r="Y859"/>
      <c r="Z859" s="63"/>
      <c r="AA859"/>
      <c r="AB859"/>
      <c r="AC859" s="63"/>
      <c r="AD859" s="95"/>
      <c r="AE859" s="63"/>
      <c r="AF859"/>
      <c r="AG859"/>
      <c r="AH859" s="49"/>
      <c r="AI859"/>
    </row>
    <row r="860" spans="1:41" s="66" customFormat="1">
      <c r="A860" s="196" t="s">
        <v>4342</v>
      </c>
      <c r="B860"/>
      <c r="C860" s="318"/>
      <c r="D860"/>
      <c r="E860"/>
      <c r="F860" t="s">
        <v>4343</v>
      </c>
      <c r="G860" s="93">
        <v>8000</v>
      </c>
      <c r="H860"/>
      <c r="I860" t="s">
        <v>4312</v>
      </c>
      <c r="J860" t="s">
        <v>4313</v>
      </c>
      <c r="K860"/>
      <c r="L860" s="205"/>
      <c r="M860" s="205"/>
      <c r="N860" s="211"/>
      <c r="O860"/>
      <c r="P860"/>
      <c r="Q860" s="199"/>
      <c r="R860"/>
      <c r="S860" s="94"/>
      <c r="T860" s="222"/>
      <c r="U860" s="222"/>
      <c r="V860" s="222"/>
      <c r="W860" s="486"/>
      <c r="X860" s="222"/>
      <c r="Y860"/>
      <c r="Z860" s="63"/>
      <c r="AA860"/>
      <c r="AB860"/>
      <c r="AC860" s="63"/>
      <c r="AD860" s="95"/>
      <c r="AE860" s="63"/>
      <c r="AF860"/>
      <c r="AG860"/>
      <c r="AH860" s="49"/>
      <c r="AI860"/>
    </row>
    <row r="861" spans="1:41">
      <c r="A861" s="196" t="s">
        <v>4344</v>
      </c>
      <c r="F861" t="s">
        <v>4345</v>
      </c>
      <c r="G861" s="93">
        <v>365000</v>
      </c>
      <c r="I861" t="s">
        <v>3161</v>
      </c>
      <c r="J861" t="s">
        <v>4346</v>
      </c>
      <c r="AH861" s="49"/>
    </row>
    <row r="862" spans="1:41">
      <c r="A862" s="196" t="s">
        <v>4347</v>
      </c>
      <c r="F862" t="s">
        <v>4348</v>
      </c>
      <c r="G862" s="93">
        <v>600000</v>
      </c>
      <c r="I862" t="s">
        <v>3161</v>
      </c>
      <c r="J862" t="s">
        <v>4349</v>
      </c>
      <c r="AH862" s="49" t="e">
        <f>Table2[[#This Row],[Prix de vente ($)]]/Table2[[#This Row],[Superficie totale (ha)]]</f>
        <v>#DIV/0!</v>
      </c>
    </row>
    <row r="863" spans="1:41" s="66" customFormat="1">
      <c r="A863" s="196" t="s">
        <v>4350</v>
      </c>
      <c r="B863"/>
      <c r="C863" s="318"/>
      <c r="D863"/>
      <c r="E863"/>
      <c r="F863" t="s">
        <v>4351</v>
      </c>
      <c r="G863" s="93">
        <v>175000</v>
      </c>
      <c r="H863"/>
      <c r="I863" t="s">
        <v>3161</v>
      </c>
      <c r="J863" t="s">
        <v>282</v>
      </c>
      <c r="K863"/>
      <c r="L863" s="205"/>
      <c r="M863" s="205"/>
      <c r="N863" s="211"/>
      <c r="O863"/>
      <c r="P863"/>
      <c r="Q863" s="199"/>
      <c r="R863"/>
      <c r="S863" s="94"/>
      <c r="T863" s="222"/>
      <c r="U863" s="222"/>
      <c r="V863" s="222"/>
      <c r="W863" s="486"/>
      <c r="X863" s="222"/>
      <c r="Y863"/>
      <c r="Z863" s="63"/>
      <c r="AA863"/>
      <c r="AB863"/>
      <c r="AC863" s="63"/>
      <c r="AD863" s="95"/>
      <c r="AE863" s="63"/>
      <c r="AF863"/>
      <c r="AG863"/>
      <c r="AH863" s="49"/>
      <c r="AI863"/>
    </row>
    <row r="864" spans="1:41" s="66" customFormat="1">
      <c r="A864" s="196" t="s">
        <v>4352</v>
      </c>
      <c r="B864"/>
      <c r="C864" s="318"/>
      <c r="D864"/>
      <c r="E864"/>
      <c r="F864" t="s">
        <v>4353</v>
      </c>
      <c r="G864" s="93">
        <v>250000</v>
      </c>
      <c r="H864"/>
      <c r="I864" t="s">
        <v>3161</v>
      </c>
      <c r="J864" t="s">
        <v>4346</v>
      </c>
      <c r="K864"/>
      <c r="L864" s="205"/>
      <c r="M864" s="205"/>
      <c r="N864" s="211"/>
      <c r="O864"/>
      <c r="P864"/>
      <c r="Q864" s="199"/>
      <c r="R864"/>
      <c r="S864" s="94"/>
      <c r="T864" s="222"/>
      <c r="U864" s="222"/>
      <c r="V864" s="222"/>
      <c r="W864" s="486"/>
      <c r="X864" s="222"/>
      <c r="Y864"/>
      <c r="Z864" s="63"/>
      <c r="AA864"/>
      <c r="AB864"/>
      <c r="AC864" s="63"/>
      <c r="AD864" s="95"/>
      <c r="AE864" s="63"/>
      <c r="AF864"/>
      <c r="AG864"/>
      <c r="AH864" s="49"/>
      <c r="AI864"/>
    </row>
    <row r="865" spans="1:35" s="66" customFormat="1">
      <c r="A865" s="471" t="s">
        <v>4354</v>
      </c>
      <c r="B865"/>
      <c r="C865" s="318"/>
      <c r="D865"/>
      <c r="E865"/>
      <c r="F865" t="s">
        <v>4355</v>
      </c>
      <c r="G865" s="93">
        <v>225000</v>
      </c>
      <c r="H865"/>
      <c r="I865" t="s">
        <v>3161</v>
      </c>
      <c r="J865" t="s">
        <v>4346</v>
      </c>
      <c r="K865"/>
      <c r="L865" s="205"/>
      <c r="M865" s="205"/>
      <c r="N865" s="211"/>
      <c r="O865"/>
      <c r="P865"/>
      <c r="Q865" s="199"/>
      <c r="R865"/>
      <c r="S865" s="94"/>
      <c r="T865" s="222"/>
      <c r="U865" s="222"/>
      <c r="V865" s="222"/>
      <c r="W865" s="486"/>
      <c r="X865" s="222"/>
      <c r="Y865"/>
      <c r="Z865" s="63"/>
      <c r="AA865"/>
      <c r="AB865"/>
      <c r="AC865" s="63"/>
      <c r="AD865" s="95"/>
      <c r="AE865" s="63"/>
      <c r="AF865"/>
      <c r="AG865"/>
      <c r="AH865" s="49"/>
      <c r="AI865"/>
    </row>
    <row r="866" spans="1:35">
      <c r="A866" s="196" t="s">
        <v>4356</v>
      </c>
      <c r="F866" t="s">
        <v>4357</v>
      </c>
      <c r="G866" s="93">
        <v>113000</v>
      </c>
      <c r="I866" t="s">
        <v>3161</v>
      </c>
      <c r="J866" t="s">
        <v>4346</v>
      </c>
      <c r="AH866" s="49"/>
    </row>
    <row r="867" spans="1:35">
      <c r="A867" s="196" t="s">
        <v>4358</v>
      </c>
      <c r="F867" t="s">
        <v>4359</v>
      </c>
      <c r="G867" s="93">
        <v>1500000</v>
      </c>
      <c r="I867" t="s">
        <v>3161</v>
      </c>
      <c r="J867" t="s">
        <v>4349</v>
      </c>
      <c r="AH867" s="49"/>
    </row>
    <row r="868" spans="1:35">
      <c r="A868" s="196" t="s">
        <v>4360</v>
      </c>
      <c r="F868" t="s">
        <v>4361</v>
      </c>
      <c r="G868" s="93">
        <v>217000</v>
      </c>
      <c r="I868" t="s">
        <v>3161</v>
      </c>
      <c r="J868" t="s">
        <v>4346</v>
      </c>
      <c r="AH868" s="49" t="e">
        <f>Table2[[#This Row],[Prix de vente ($)]]/Table2[[#This Row],[Superficie totale (ha)]]</f>
        <v>#DIV/0!</v>
      </c>
    </row>
    <row r="869" spans="1:35">
      <c r="A869" s="196" t="s">
        <v>4362</v>
      </c>
      <c r="F869" t="s">
        <v>4363</v>
      </c>
      <c r="G869" s="463">
        <v>115000</v>
      </c>
      <c r="I869" t="s">
        <v>3161</v>
      </c>
      <c r="J869" t="s">
        <v>4364</v>
      </c>
      <c r="AH869" s="49" t="e">
        <f>Table2[[#This Row],[Prix de vente ($)]]/Table2[[#This Row],[Superficie totale (ha)]]</f>
        <v>#DIV/0!</v>
      </c>
    </row>
    <row r="870" spans="1:35">
      <c r="A870" s="496">
        <v>29472281</v>
      </c>
      <c r="D870" s="497" t="s">
        <v>4365</v>
      </c>
      <c r="E870" s="498" t="s">
        <v>4366</v>
      </c>
      <c r="F870" s="497">
        <v>6648809</v>
      </c>
      <c r="G870" s="499">
        <v>133000</v>
      </c>
      <c r="AH870" s="49"/>
    </row>
    <row r="871" spans="1:35">
      <c r="A871" s="196">
        <v>29601711</v>
      </c>
      <c r="D871" t="s">
        <v>4367</v>
      </c>
      <c r="E871" t="s">
        <v>4368</v>
      </c>
      <c r="F871">
        <v>4449265</v>
      </c>
      <c r="G871" s="93">
        <v>250000</v>
      </c>
      <c r="J871" t="s">
        <v>4369</v>
      </c>
      <c r="K871" t="s">
        <v>4370</v>
      </c>
      <c r="AH871" s="49"/>
    </row>
    <row r="872" spans="1:35">
      <c r="A872" s="196">
        <v>29598035</v>
      </c>
      <c r="D872" t="s">
        <v>4371</v>
      </c>
      <c r="E872" s="318" t="s">
        <v>4365</v>
      </c>
      <c r="F872" t="s">
        <v>4372</v>
      </c>
      <c r="G872" s="482">
        <v>480000</v>
      </c>
      <c r="J872" t="s">
        <v>3287</v>
      </c>
      <c r="K872" s="93" t="s">
        <v>4373</v>
      </c>
      <c r="AH872" s="49"/>
    </row>
    <row r="873" spans="1:35">
      <c r="A873" s="196">
        <v>29312635</v>
      </c>
      <c r="D873" t="s">
        <v>4374</v>
      </c>
      <c r="E873" s="318" t="s">
        <v>4375</v>
      </c>
      <c r="F873" t="s">
        <v>4376</v>
      </c>
      <c r="G873" s="482">
        <v>220000</v>
      </c>
      <c r="J873" t="s">
        <v>4377</v>
      </c>
      <c r="K873" s="93" t="s">
        <v>4378</v>
      </c>
      <c r="AH873" s="49"/>
    </row>
    <row r="874" spans="1:35">
      <c r="A874" s="196">
        <v>29598607</v>
      </c>
      <c r="D874" t="s">
        <v>4379</v>
      </c>
      <c r="E874" s="318" t="s">
        <v>4380</v>
      </c>
      <c r="F874">
        <v>5690348</v>
      </c>
      <c r="G874" s="482">
        <v>450000</v>
      </c>
      <c r="J874" t="s">
        <v>4377</v>
      </c>
      <c r="K874" s="93" t="s">
        <v>4381</v>
      </c>
      <c r="AH874" s="49"/>
    </row>
    <row r="875" spans="1:35">
      <c r="A875" s="196">
        <v>29240870</v>
      </c>
      <c r="C875" s="318">
        <v>45698</v>
      </c>
      <c r="D875" t="s">
        <v>4382</v>
      </c>
      <c r="E875" s="318" t="s">
        <v>4383</v>
      </c>
      <c r="F875">
        <v>5448858</v>
      </c>
      <c r="G875" s="93">
        <v>135000</v>
      </c>
      <c r="J875" t="s">
        <v>184</v>
      </c>
      <c r="K875" s="482" t="s">
        <v>4384</v>
      </c>
      <c r="L875" s="205">
        <v>45.977584999999998</v>
      </c>
      <c r="M875" s="270" t="s">
        <v>4385</v>
      </c>
      <c r="N875" s="211">
        <v>21.43</v>
      </c>
      <c r="O875" t="s">
        <v>18</v>
      </c>
      <c r="P875" t="s">
        <v>206</v>
      </c>
      <c r="Q875" s="211">
        <f>Table2[[#This Row],[Superficie totale (ha)]]</f>
        <v>21.43</v>
      </c>
      <c r="S875" s="94" t="s">
        <v>33</v>
      </c>
      <c r="T875" s="222">
        <v>0.1</v>
      </c>
      <c r="U875" s="222">
        <v>0.9</v>
      </c>
      <c r="V875" s="222">
        <v>0.55000000000000004</v>
      </c>
      <c r="W875" s="486">
        <v>15</v>
      </c>
      <c r="X875" s="222" t="s">
        <v>4386</v>
      </c>
      <c r="AH875" s="49"/>
    </row>
    <row r="876" spans="1:35">
      <c r="A876" s="196">
        <v>29265147</v>
      </c>
      <c r="C876" s="318">
        <v>45709</v>
      </c>
      <c r="D876" t="s">
        <v>4387</v>
      </c>
      <c r="E876" s="318" t="s">
        <v>4388</v>
      </c>
      <c r="F876">
        <v>6613774</v>
      </c>
      <c r="G876" s="482">
        <v>62500</v>
      </c>
      <c r="J876" t="s">
        <v>184</v>
      </c>
      <c r="K876" s="93" t="s">
        <v>4389</v>
      </c>
      <c r="L876" s="205">
        <v>45.951777999999997</v>
      </c>
      <c r="M876" s="270" t="s">
        <v>4390</v>
      </c>
      <c r="N876" s="211">
        <v>5.3</v>
      </c>
      <c r="O876" t="s">
        <v>25</v>
      </c>
      <c r="P876" t="s">
        <v>35</v>
      </c>
      <c r="Q876" s="199">
        <v>5.3</v>
      </c>
      <c r="S876" s="94" t="s">
        <v>33</v>
      </c>
      <c r="T876" s="222">
        <v>0</v>
      </c>
      <c r="U876" s="222">
        <v>1</v>
      </c>
      <c r="V876" s="222">
        <v>0.35</v>
      </c>
      <c r="W876" s="486">
        <v>3.5</v>
      </c>
      <c r="X876" s="222" t="s">
        <v>4386</v>
      </c>
      <c r="AH876" s="49"/>
    </row>
    <row r="877" spans="1:35">
      <c r="A877" s="196">
        <v>29360450</v>
      </c>
      <c r="C877" s="318">
        <v>45756</v>
      </c>
      <c r="D877" t="s">
        <v>4391</v>
      </c>
      <c r="E877" s="318" t="s">
        <v>4392</v>
      </c>
      <c r="F877">
        <v>6540726</v>
      </c>
      <c r="G877" s="482">
        <v>225000</v>
      </c>
      <c r="J877" t="s">
        <v>184</v>
      </c>
      <c r="K877" s="93" t="s">
        <v>4393</v>
      </c>
      <c r="L877" s="205">
        <v>46.058002000000002</v>
      </c>
      <c r="M877" s="270" t="s">
        <v>4394</v>
      </c>
      <c r="N877" s="211">
        <v>22.77</v>
      </c>
      <c r="O877" t="s">
        <v>18</v>
      </c>
      <c r="P877" t="s">
        <v>63</v>
      </c>
      <c r="Q877" s="211">
        <v>22.77</v>
      </c>
      <c r="S877" s="94" t="s">
        <v>33</v>
      </c>
      <c r="T877" s="222">
        <v>0.4</v>
      </c>
      <c r="U877" s="222">
        <v>0.6</v>
      </c>
      <c r="V877" s="222">
        <v>0.7</v>
      </c>
      <c r="AH877" s="49"/>
    </row>
    <row r="878" spans="1:35">
      <c r="A878" s="196">
        <v>29341626</v>
      </c>
      <c r="C878" s="318">
        <v>45748</v>
      </c>
      <c r="D878" t="s">
        <v>4395</v>
      </c>
      <c r="E878" s="318" t="s">
        <v>4396</v>
      </c>
      <c r="F878">
        <v>5135343</v>
      </c>
      <c r="G878" s="482">
        <v>160000</v>
      </c>
      <c r="J878" t="s">
        <v>184</v>
      </c>
      <c r="K878" s="93" t="s">
        <v>4397</v>
      </c>
      <c r="L878" s="205">
        <v>46.102159999999998</v>
      </c>
      <c r="M878" s="270" t="s">
        <v>4398</v>
      </c>
      <c r="N878" s="211">
        <v>21.95</v>
      </c>
      <c r="O878" t="s">
        <v>18</v>
      </c>
      <c r="P878" t="s">
        <v>63</v>
      </c>
      <c r="Q878" s="211">
        <v>21.95</v>
      </c>
      <c r="S878" s="94" t="s">
        <v>20</v>
      </c>
      <c r="T878" s="222">
        <v>0.85</v>
      </c>
      <c r="U878" s="222">
        <v>0.15</v>
      </c>
      <c r="V878" s="222">
        <v>0.75</v>
      </c>
      <c r="AC878" s="63">
        <v>18.899999999999999</v>
      </c>
      <c r="AH878" s="49">
        <f>Table2[[#This Row],[Prix de vente ($)]]/Table2[[#This Row],[Superficie totale (ha)]]</f>
        <v>7289.2938496583147</v>
      </c>
    </row>
    <row r="879" spans="1:35">
      <c r="A879" s="196">
        <v>29567314</v>
      </c>
      <c r="C879" s="318">
        <v>45840</v>
      </c>
      <c r="D879" t="s">
        <v>3584</v>
      </c>
      <c r="E879" s="318" t="s">
        <v>4399</v>
      </c>
      <c r="F879">
        <v>6580804</v>
      </c>
      <c r="G879" s="482">
        <v>375000</v>
      </c>
      <c r="J879" t="s">
        <v>3287</v>
      </c>
      <c r="K879" s="93" t="s">
        <v>3586</v>
      </c>
      <c r="L879" s="205">
        <v>46.154452999999997</v>
      </c>
      <c r="M879" s="270" t="s">
        <v>4400</v>
      </c>
      <c r="N879" s="211">
        <v>40.78</v>
      </c>
      <c r="O879" t="s">
        <v>18</v>
      </c>
      <c r="P879" t="s">
        <v>4401</v>
      </c>
      <c r="Q879" s="199">
        <v>40.78</v>
      </c>
      <c r="S879" s="94" t="s">
        <v>20</v>
      </c>
      <c r="T879" s="222">
        <v>0.8</v>
      </c>
      <c r="U879" s="222">
        <v>0.2</v>
      </c>
      <c r="V879" s="222">
        <v>0.85</v>
      </c>
      <c r="AC879" s="199">
        <v>40.78</v>
      </c>
      <c r="AH879" s="49">
        <f>Table2[[#This Row],[Prix de vente ($)]]/Table2[[#This Row],[Superficie totale (ha)]]</f>
        <v>9195.6841589014221</v>
      </c>
    </row>
    <row r="880" spans="1:35">
      <c r="A880" s="196">
        <v>29389284</v>
      </c>
      <c r="C880" s="318">
        <v>45771</v>
      </c>
      <c r="D880" t="s">
        <v>4402</v>
      </c>
      <c r="E880" s="318" t="s">
        <v>4403</v>
      </c>
      <c r="F880">
        <v>5449114</v>
      </c>
      <c r="G880" s="482">
        <v>145000</v>
      </c>
      <c r="J880" t="s">
        <v>184</v>
      </c>
      <c r="K880" s="93" t="s">
        <v>4384</v>
      </c>
      <c r="L880" s="205">
        <v>45.970072000000002</v>
      </c>
      <c r="M880" s="270" t="s">
        <v>4404</v>
      </c>
      <c r="N880" s="211">
        <v>21.72</v>
      </c>
      <c r="O880" t="s">
        <v>25</v>
      </c>
      <c r="P880" t="s">
        <v>35</v>
      </c>
      <c r="Q880" s="211">
        <v>21.72</v>
      </c>
      <c r="S880" s="94" t="s">
        <v>4405</v>
      </c>
      <c r="T880" s="222">
        <v>0</v>
      </c>
      <c r="U880" s="222">
        <v>1</v>
      </c>
      <c r="V880" s="222">
        <v>0.75</v>
      </c>
      <c r="W880" s="486">
        <v>13.7</v>
      </c>
      <c r="X880" s="222" t="s">
        <v>4406</v>
      </c>
      <c r="AH880" s="49">
        <f>Table2[[#This Row],[Prix de vente ($)]]/Table2[[#This Row],[Superficie totale (ha)]]</f>
        <v>6675.8747697974222</v>
      </c>
    </row>
    <row r="881" spans="1:34">
      <c r="A881" s="196">
        <v>29594145</v>
      </c>
      <c r="C881" s="318">
        <v>45848</v>
      </c>
      <c r="D881" t="s">
        <v>4407</v>
      </c>
      <c r="E881" s="318" t="s">
        <v>4408</v>
      </c>
      <c r="F881" t="s">
        <v>4409</v>
      </c>
      <c r="G881" s="482">
        <v>525000</v>
      </c>
      <c r="J881" t="s">
        <v>4410</v>
      </c>
      <c r="K881" s="93" t="s">
        <v>4410</v>
      </c>
      <c r="Y881" t="s">
        <v>4411</v>
      </c>
      <c r="AB881" t="s">
        <v>4412</v>
      </c>
      <c r="AD881" s="95">
        <v>3400</v>
      </c>
      <c r="AE881" s="63" t="s">
        <v>36</v>
      </c>
      <c r="AH881" s="49" t="e">
        <f>Table2[[#This Row],[Prix de vente ($)]]/Table2[[#This Row],[Superficie totale (ha)]]</f>
        <v>#DIV/0!</v>
      </c>
    </row>
    <row r="882" spans="1:34">
      <c r="A882" s="196">
        <v>30128803</v>
      </c>
      <c r="C882" s="318">
        <v>46080</v>
      </c>
      <c r="D882" t="s">
        <v>4413</v>
      </c>
      <c r="E882" t="s">
        <v>4414</v>
      </c>
      <c r="F882" t="s">
        <v>4415</v>
      </c>
      <c r="G882" s="93">
        <v>70000</v>
      </c>
      <c r="I882" t="s">
        <v>4416</v>
      </c>
      <c r="J882" t="s">
        <v>4417</v>
      </c>
      <c r="L882" s="205">
        <v>48.207966999999996</v>
      </c>
      <c r="M882" s="270" t="s">
        <v>4418</v>
      </c>
      <c r="N882" s="211">
        <v>67.62</v>
      </c>
      <c r="O882" t="s">
        <v>18</v>
      </c>
      <c r="P882" t="s">
        <v>26</v>
      </c>
      <c r="Q882" s="199">
        <v>67.62</v>
      </c>
      <c r="S882" s="94" t="s">
        <v>20</v>
      </c>
      <c r="T882" s="222">
        <v>0.9</v>
      </c>
      <c r="U882" s="222">
        <v>0.1</v>
      </c>
      <c r="V882" s="222">
        <v>0.75</v>
      </c>
      <c r="W882" s="486">
        <v>13.64</v>
      </c>
      <c r="X882" s="222" t="s">
        <v>4406</v>
      </c>
      <c r="AH882" s="49">
        <f>Table2[[#This Row],[Prix de vente ($)]]/Table2[[#This Row],[Superficie totale (ha)]]</f>
        <v>1035.1966873706003</v>
      </c>
    </row>
    <row r="883" spans="1:34">
      <c r="A883" s="196">
        <v>29275022</v>
      </c>
      <c r="F883" t="s">
        <v>4419</v>
      </c>
      <c r="G883" s="93">
        <v>25000</v>
      </c>
      <c r="I883" t="s">
        <v>4416</v>
      </c>
      <c r="J883" t="s">
        <v>4420</v>
      </c>
      <c r="AH883" s="49" t="e">
        <f>Table2[[#This Row],[Prix de vente ($)]]/Table2[[#This Row],[Superficie totale (ha)]]</f>
        <v>#DIV/0!</v>
      </c>
    </row>
    <row r="884" spans="1:34">
      <c r="A884" s="196">
        <v>29211931</v>
      </c>
      <c r="C884" s="318">
        <v>45681</v>
      </c>
      <c r="F884" t="s">
        <v>4421</v>
      </c>
      <c r="G884" s="93">
        <v>25000</v>
      </c>
      <c r="I884" t="s">
        <v>4416</v>
      </c>
      <c r="J884" t="s">
        <v>4420</v>
      </c>
      <c r="L884" s="205">
        <v>48.288961</v>
      </c>
      <c r="M884" s="270" t="s">
        <v>4422</v>
      </c>
      <c r="N884" s="211">
        <v>16.36</v>
      </c>
      <c r="O884" t="s">
        <v>18</v>
      </c>
      <c r="P884" t="s">
        <v>206</v>
      </c>
      <c r="Q884" s="199">
        <v>16.36</v>
      </c>
      <c r="S884" s="94" t="s">
        <v>20</v>
      </c>
      <c r="T884" s="222">
        <v>1</v>
      </c>
      <c r="U884" s="222">
        <v>0</v>
      </c>
      <c r="V884" s="222">
        <v>0.65</v>
      </c>
      <c r="W884" s="486">
        <v>9.4</v>
      </c>
      <c r="X884" s="222" t="s">
        <v>4406</v>
      </c>
      <c r="AF884" t="s">
        <v>4423</v>
      </c>
      <c r="AH884" s="49">
        <f>Table2[[#This Row],[Prix de vente ($)]]/Table2[[#This Row],[Superficie totale (ha)]]</f>
        <v>1528.1173594132031</v>
      </c>
    </row>
    <row r="885" spans="1:34">
      <c r="A885" s="196">
        <v>29623083</v>
      </c>
      <c r="C885" s="318">
        <v>45859</v>
      </c>
      <c r="D885" t="s">
        <v>4424</v>
      </c>
      <c r="E885" t="s">
        <v>4425</v>
      </c>
      <c r="F885" t="s">
        <v>4426</v>
      </c>
      <c r="G885" s="93">
        <v>55000</v>
      </c>
      <c r="I885" t="s">
        <v>4416</v>
      </c>
      <c r="J885" t="s">
        <v>4417</v>
      </c>
      <c r="K885" t="s">
        <v>4427</v>
      </c>
      <c r="L885" s="205">
        <v>48.087370999999997</v>
      </c>
      <c r="M885" s="270" t="s">
        <v>4428</v>
      </c>
      <c r="N885" s="211">
        <v>50.57</v>
      </c>
      <c r="O885" t="s">
        <v>25</v>
      </c>
      <c r="P885" t="s">
        <v>206</v>
      </c>
      <c r="Q885" s="199">
        <v>50.57</v>
      </c>
      <c r="S885" s="94" t="s">
        <v>33</v>
      </c>
      <c r="T885" s="222">
        <v>0.2</v>
      </c>
      <c r="U885" s="222">
        <v>0.8</v>
      </c>
      <c r="V885" s="222">
        <v>0.65</v>
      </c>
      <c r="W885" s="486">
        <v>35.6</v>
      </c>
      <c r="X885" s="222" t="s">
        <v>4406</v>
      </c>
      <c r="AH885" s="49">
        <f>Table2[[#This Row],[Prix de vente ($)]]/Table2[[#This Row],[Superficie totale (ha)]]</f>
        <v>1087.6013446707534</v>
      </c>
    </row>
    <row r="886" spans="1:34">
      <c r="A886" s="196">
        <v>30242574</v>
      </c>
      <c r="C886" s="318">
        <v>46133</v>
      </c>
      <c r="D886" t="s">
        <v>4429</v>
      </c>
      <c r="E886" t="s">
        <v>4430</v>
      </c>
      <c r="F886" t="s">
        <v>4431</v>
      </c>
      <c r="G886" s="93">
        <v>35000</v>
      </c>
      <c r="I886" t="s">
        <v>4432</v>
      </c>
      <c r="J886" t="s">
        <v>4433</v>
      </c>
      <c r="K886" t="s">
        <v>4434</v>
      </c>
      <c r="L886" s="205">
        <v>48.683070000000001</v>
      </c>
      <c r="M886" s="270" t="s">
        <v>4435</v>
      </c>
      <c r="N886" s="211">
        <v>42.21</v>
      </c>
      <c r="O886" t="s">
        <v>18</v>
      </c>
      <c r="P886" t="s">
        <v>206</v>
      </c>
      <c r="Q886" s="199">
        <v>42.21</v>
      </c>
      <c r="S886" s="94" t="s">
        <v>20</v>
      </c>
      <c r="T886" s="222">
        <v>0.75</v>
      </c>
      <c r="U886" s="222">
        <v>0.25</v>
      </c>
      <c r="V886" s="222">
        <v>0.75</v>
      </c>
      <c r="W886" s="486">
        <v>14.9</v>
      </c>
      <c r="X886" s="222" t="s">
        <v>4436</v>
      </c>
      <c r="AH886" s="49">
        <f>Table2[[#This Row],[Prix de vente ($)]]/Table2[[#This Row],[Superficie totale (ha)]]</f>
        <v>829.18739635157544</v>
      </c>
    </row>
    <row r="887" spans="1:34">
      <c r="A887" s="196" t="s">
        <v>4437</v>
      </c>
      <c r="C887" s="318">
        <v>46141</v>
      </c>
      <c r="D887" t="s">
        <v>4438</v>
      </c>
      <c r="E887" t="s">
        <v>4439</v>
      </c>
      <c r="F887" t="s">
        <v>4440</v>
      </c>
      <c r="G887" s="93">
        <v>100000</v>
      </c>
      <c r="I887" t="s">
        <v>4432</v>
      </c>
      <c r="J887" t="s">
        <v>4441</v>
      </c>
      <c r="K887" t="s">
        <v>4442</v>
      </c>
      <c r="L887" s="205">
        <v>48.566268999999998</v>
      </c>
      <c r="M887" s="270" t="s">
        <v>4443</v>
      </c>
      <c r="N887" s="211">
        <v>117.8</v>
      </c>
      <c r="O887" t="s">
        <v>18</v>
      </c>
      <c r="P887" t="s">
        <v>26</v>
      </c>
      <c r="Q887" s="211">
        <v>117.8</v>
      </c>
      <c r="S887" s="94" t="s">
        <v>20</v>
      </c>
      <c r="T887" s="222">
        <v>0.7</v>
      </c>
      <c r="U887" s="222">
        <v>0.3</v>
      </c>
      <c r="V887" s="222">
        <v>0.85</v>
      </c>
      <c r="W887" s="486">
        <v>13.4</v>
      </c>
      <c r="X887" s="222" t="s">
        <v>4406</v>
      </c>
      <c r="AH887" s="49">
        <f>Table2[[#This Row],[Prix de vente ($)]]/Table2[[#This Row],[Superficie totale (ha)]]</f>
        <v>848.89643463497453</v>
      </c>
    </row>
    <row r="888" spans="1:34">
      <c r="A888" s="196" t="s">
        <v>4444</v>
      </c>
      <c r="C888" s="318">
        <v>45454</v>
      </c>
      <c r="D888" t="s">
        <v>4445</v>
      </c>
      <c r="E888" t="s">
        <v>4446</v>
      </c>
      <c r="F888" t="s">
        <v>4447</v>
      </c>
      <c r="G888" s="93">
        <v>130000</v>
      </c>
      <c r="I888" t="s">
        <v>4432</v>
      </c>
      <c r="J888" t="s">
        <v>4433</v>
      </c>
      <c r="K888" t="s">
        <v>4448</v>
      </c>
      <c r="L888" s="205">
        <v>48.653998000000001</v>
      </c>
      <c r="M888" s="270" t="s">
        <v>4449</v>
      </c>
      <c r="N888" s="211">
        <v>103.17</v>
      </c>
      <c r="O888" t="s">
        <v>18</v>
      </c>
      <c r="P888" t="s">
        <v>63</v>
      </c>
      <c r="Q888" s="199">
        <v>103.17</v>
      </c>
      <c r="S888" s="94" t="s">
        <v>20</v>
      </c>
      <c r="T888" s="222">
        <v>0.6</v>
      </c>
      <c r="U888" s="222">
        <v>0.4</v>
      </c>
      <c r="V888" s="222">
        <v>0.65</v>
      </c>
      <c r="W888" s="486">
        <v>30.6</v>
      </c>
      <c r="X888" s="222" t="s">
        <v>4436</v>
      </c>
      <c r="AH888" s="49">
        <f>Table2[[#This Row],[Prix de vente ($)]]/Table2[[#This Row],[Superficie totale (ha)]]</f>
        <v>1260.0562178927983</v>
      </c>
    </row>
    <row r="889" spans="1:34">
      <c r="A889" s="196">
        <v>28643043</v>
      </c>
      <c r="F889" t="s">
        <v>4450</v>
      </c>
      <c r="G889" s="93">
        <v>70000</v>
      </c>
      <c r="I889" t="s">
        <v>4432</v>
      </c>
      <c r="J889" t="s">
        <v>4451</v>
      </c>
      <c r="AH889" s="49" t="e">
        <f>Table2[[#This Row],[Prix de vente ($)]]/Table2[[#This Row],[Superficie totale (ha)]]</f>
        <v>#DIV/0!</v>
      </c>
    </row>
    <row r="890" spans="1:34">
      <c r="A890" s="196">
        <v>27343540</v>
      </c>
      <c r="C890" s="318">
        <v>44729</v>
      </c>
      <c r="D890" t="s">
        <v>4452</v>
      </c>
      <c r="E890" t="s">
        <v>4453</v>
      </c>
      <c r="F890">
        <v>5614348</v>
      </c>
      <c r="G890" s="93">
        <v>40000</v>
      </c>
      <c r="I890" t="s">
        <v>4416</v>
      </c>
      <c r="J890" t="s">
        <v>4454</v>
      </c>
      <c r="K890" t="s">
        <v>4455</v>
      </c>
      <c r="L890" s="205">
        <v>48.381950000000003</v>
      </c>
      <c r="M890" s="270" t="s">
        <v>4456</v>
      </c>
      <c r="N890" s="211">
        <v>42</v>
      </c>
      <c r="O890" t="s">
        <v>18</v>
      </c>
      <c r="P890" t="s">
        <v>206</v>
      </c>
      <c r="Q890" s="199">
        <v>42</v>
      </c>
      <c r="S890" s="94" t="s">
        <v>33</v>
      </c>
      <c r="T890" s="222">
        <v>0.1</v>
      </c>
      <c r="U890" s="222">
        <v>0.9</v>
      </c>
      <c r="V890" s="222">
        <v>0.55000000000000004</v>
      </c>
      <c r="W890" s="486">
        <v>23.8</v>
      </c>
      <c r="X890" s="222" t="s">
        <v>4436</v>
      </c>
      <c r="AH890" s="49">
        <f>Table2[[#This Row],[Prix de vente ($)]]/Table2[[#This Row],[Superficie totale (ha)]]</f>
        <v>952.38095238095241</v>
      </c>
    </row>
    <row r="891" spans="1:34">
      <c r="A891" s="196">
        <v>28127875</v>
      </c>
      <c r="C891" s="318">
        <v>45107</v>
      </c>
      <c r="D891" t="s">
        <v>4457</v>
      </c>
      <c r="E891" t="s">
        <v>4458</v>
      </c>
      <c r="F891">
        <v>5372769</v>
      </c>
      <c r="G891" s="93">
        <v>15000</v>
      </c>
      <c r="I891" t="s">
        <v>4416</v>
      </c>
      <c r="J891" t="s">
        <v>4459</v>
      </c>
      <c r="K891" t="s">
        <v>4460</v>
      </c>
      <c r="L891" s="205">
        <v>48.484153999999997</v>
      </c>
      <c r="M891" s="270" t="s">
        <v>4461</v>
      </c>
      <c r="N891" s="211">
        <v>42.38</v>
      </c>
      <c r="O891" t="s">
        <v>25</v>
      </c>
      <c r="P891" t="s">
        <v>19</v>
      </c>
      <c r="Q891" s="199">
        <v>42.38</v>
      </c>
      <c r="S891" s="94" t="s">
        <v>33</v>
      </c>
      <c r="T891" s="222">
        <v>0.45</v>
      </c>
      <c r="U891" s="222">
        <v>0.55000000000000004</v>
      </c>
      <c r="V891" s="222">
        <v>0.65</v>
      </c>
      <c r="W891" s="486">
        <v>14</v>
      </c>
      <c r="X891" s="222" t="s">
        <v>4436</v>
      </c>
      <c r="AH891" s="49">
        <f>Table2[[#This Row],[Prix de vente ($)]]/Table2[[#This Row],[Superficie totale (ha)]]</f>
        <v>353.94053798961772</v>
      </c>
    </row>
    <row r="892" spans="1:34">
      <c r="A892" s="196">
        <v>30171907</v>
      </c>
      <c r="C892" s="318">
        <v>46101</v>
      </c>
      <c r="D892" t="s">
        <v>4462</v>
      </c>
      <c r="E892" t="s">
        <v>4463</v>
      </c>
      <c r="F892">
        <v>3383553</v>
      </c>
      <c r="G892" s="93">
        <v>60000</v>
      </c>
      <c r="I892" t="s">
        <v>321</v>
      </c>
      <c r="J892" t="s">
        <v>4464</v>
      </c>
      <c r="K892" t="s">
        <v>4465</v>
      </c>
      <c r="L892" s="205">
        <v>46.560802000000002</v>
      </c>
      <c r="M892" s="270" t="s">
        <v>4466</v>
      </c>
      <c r="N892" s="211">
        <v>14.76</v>
      </c>
      <c r="O892" t="s">
        <v>18</v>
      </c>
      <c r="P892" t="s">
        <v>206</v>
      </c>
      <c r="Q892" s="199">
        <v>14.76</v>
      </c>
      <c r="S892" s="94" t="s">
        <v>33</v>
      </c>
      <c r="T892" s="222">
        <v>0.2</v>
      </c>
      <c r="U892" s="222">
        <v>0.8</v>
      </c>
      <c r="V892" s="222">
        <v>0.75</v>
      </c>
      <c r="W892" s="486">
        <v>12.2</v>
      </c>
      <c r="X892" s="222" t="s">
        <v>4436</v>
      </c>
      <c r="AC892" s="63">
        <v>0.8</v>
      </c>
      <c r="AH892" s="49">
        <f>Table2[[#This Row],[Prix de vente ($)]]/Table2[[#This Row],[Superficie totale (ha)]]</f>
        <v>4065.040650406504</v>
      </c>
    </row>
    <row r="893" spans="1:34">
      <c r="A893" s="196">
        <v>30070306</v>
      </c>
      <c r="C893" s="318">
        <v>46056</v>
      </c>
      <c r="D893" t="s">
        <v>4467</v>
      </c>
      <c r="E893" t="s">
        <v>4468</v>
      </c>
      <c r="F893" t="s">
        <v>4469</v>
      </c>
      <c r="G893" s="93">
        <v>225000</v>
      </c>
      <c r="I893" t="s">
        <v>321</v>
      </c>
      <c r="J893" t="s">
        <v>4464</v>
      </c>
      <c r="K893" t="s">
        <v>4465</v>
      </c>
      <c r="L893" s="205">
        <v>46.600569999999998</v>
      </c>
      <c r="M893" s="270" t="s">
        <v>4470</v>
      </c>
      <c r="N893" s="211">
        <v>20.28</v>
      </c>
      <c r="O893" t="s">
        <v>18</v>
      </c>
      <c r="P893" t="s">
        <v>206</v>
      </c>
      <c r="Q893" s="199">
        <v>20.28</v>
      </c>
      <c r="S893" s="94" t="s">
        <v>20</v>
      </c>
      <c r="T893" s="222">
        <v>0.8</v>
      </c>
      <c r="U893" s="222">
        <v>0.2</v>
      </c>
      <c r="V893" s="222">
        <v>0.75</v>
      </c>
      <c r="W893" s="486">
        <v>9.5</v>
      </c>
      <c r="X893" s="222" t="s">
        <v>4436</v>
      </c>
      <c r="AC893" s="63">
        <v>1.5</v>
      </c>
      <c r="AH893" s="49">
        <f>Table2[[#This Row],[Prix de vente ($)]]/Table2[[#This Row],[Superficie totale (ha)]]</f>
        <v>11094.674556213016</v>
      </c>
    </row>
    <row r="894" spans="1:34">
      <c r="A894" s="196">
        <v>30136923</v>
      </c>
      <c r="C894" s="318">
        <v>46084</v>
      </c>
      <c r="F894">
        <v>3839132</v>
      </c>
      <c r="G894" s="93">
        <v>290000</v>
      </c>
      <c r="I894" t="s">
        <v>321</v>
      </c>
      <c r="AH894" s="74" t="e">
        <f>Table2[[#This Row],[Prix de vente ($)]]/Table2[[#This Row],[Superficie totale (ha)]]</f>
        <v>#DIV/0!</v>
      </c>
    </row>
    <row r="895" spans="1:34">
      <c r="A895" s="196">
        <v>30323074</v>
      </c>
      <c r="C895" s="318">
        <v>46164</v>
      </c>
      <c r="F895">
        <v>5877710</v>
      </c>
      <c r="G895" s="93">
        <v>30000</v>
      </c>
      <c r="I895" t="s">
        <v>321</v>
      </c>
      <c r="AH895" s="74" t="e">
        <f>Table2[[#This Row],[Prix de vente ($)]]/Table2[[#This Row],[Superficie totale (ha)]]</f>
        <v>#DIV/0!</v>
      </c>
    </row>
    <row r="896" spans="1:34">
      <c r="A896" s="196">
        <v>30090956</v>
      </c>
      <c r="C896" s="318">
        <v>46064</v>
      </c>
      <c r="F896">
        <v>5877562</v>
      </c>
      <c r="G896" s="93">
        <v>55000</v>
      </c>
      <c r="I896" t="s">
        <v>321</v>
      </c>
      <c r="AH896" s="74" t="e">
        <f>Table2[[#This Row],[Prix de vente ($)]]/Table2[[#This Row],[Superficie totale (ha)]]</f>
        <v>#DIV/0!</v>
      </c>
    </row>
    <row r="897" spans="1:34">
      <c r="A897" s="196">
        <v>29483086</v>
      </c>
      <c r="C897" s="318">
        <v>45807</v>
      </c>
      <c r="F897">
        <v>5877744</v>
      </c>
      <c r="G897" s="93">
        <v>105400</v>
      </c>
      <c r="I897" t="s">
        <v>321</v>
      </c>
      <c r="J897" t="s">
        <v>4471</v>
      </c>
      <c r="AF897" t="s">
        <v>4472</v>
      </c>
      <c r="AH897" s="74" t="e">
        <f>Table2[[#This Row],[Prix de vente ($)]]/Table2[[#This Row],[Superficie totale (ha)]]</f>
        <v>#DIV/0!</v>
      </c>
    </row>
    <row r="898" spans="1:34">
      <c r="A898" s="196">
        <v>29471310</v>
      </c>
      <c r="C898" s="318">
        <v>45805</v>
      </c>
      <c r="D898" t="s">
        <v>4473</v>
      </c>
      <c r="E898" t="s">
        <v>4474</v>
      </c>
      <c r="F898">
        <v>3949801</v>
      </c>
      <c r="G898" s="93">
        <v>62000</v>
      </c>
      <c r="I898" t="s">
        <v>321</v>
      </c>
      <c r="J898" t="s">
        <v>4475</v>
      </c>
      <c r="K898" t="s">
        <v>4476</v>
      </c>
      <c r="M898" s="270"/>
      <c r="AF898" t="s">
        <v>4472</v>
      </c>
      <c r="AH898" s="74" t="e">
        <f>Table2[[#This Row],[Prix de vente ($)]]/Table2[[#This Row],[Superficie totale (ha)]]</f>
        <v>#DIV/0!</v>
      </c>
    </row>
    <row r="899" spans="1:34">
      <c r="A899" s="196">
        <v>29481458</v>
      </c>
      <c r="C899" s="318">
        <v>45807</v>
      </c>
      <c r="D899" t="s">
        <v>4477</v>
      </c>
      <c r="E899" t="s">
        <v>4478</v>
      </c>
      <c r="F899">
        <v>3949675</v>
      </c>
      <c r="G899" s="93">
        <v>50000</v>
      </c>
      <c r="I899" t="s">
        <v>321</v>
      </c>
      <c r="J899" t="s">
        <v>4475</v>
      </c>
      <c r="K899" t="s">
        <v>4479</v>
      </c>
      <c r="L899" s="205">
        <v>46.549284999999998</v>
      </c>
      <c r="M899" s="270" t="s">
        <v>4480</v>
      </c>
      <c r="N899" s="211">
        <v>7.63</v>
      </c>
      <c r="O899" t="s">
        <v>18</v>
      </c>
      <c r="P899" t="s">
        <v>206</v>
      </c>
      <c r="Q899" s="199">
        <v>7.63</v>
      </c>
      <c r="S899" s="94" t="s">
        <v>20</v>
      </c>
      <c r="T899" s="222">
        <v>0.7</v>
      </c>
      <c r="U899" s="222">
        <v>0.3</v>
      </c>
      <c r="V899" s="222">
        <v>0.7</v>
      </c>
      <c r="W899" s="486">
        <v>2.2999999999999998</v>
      </c>
      <c r="X899" s="222" t="s">
        <v>4406</v>
      </c>
      <c r="AC899" s="63">
        <v>1.6</v>
      </c>
      <c r="AH899" s="49">
        <f>Table2[[#This Row],[Prix de vente ($)]]/Table2[[#This Row],[Superficie totale (ha)]]</f>
        <v>6553.0799475753602</v>
      </c>
    </row>
    <row r="900" spans="1:34">
      <c r="A900" s="196">
        <v>29478113</v>
      </c>
      <c r="C900" s="318">
        <v>45806</v>
      </c>
      <c r="D900" t="s">
        <v>4481</v>
      </c>
      <c r="E900" t="s">
        <v>4482</v>
      </c>
      <c r="F900">
        <v>5992512</v>
      </c>
      <c r="G900" s="93">
        <v>225000</v>
      </c>
      <c r="I900" t="s">
        <v>321</v>
      </c>
      <c r="J900" t="s">
        <v>4483</v>
      </c>
      <c r="K900" t="s">
        <v>4484</v>
      </c>
      <c r="L900" s="205">
        <v>46.492963000000003</v>
      </c>
      <c r="M900" s="270" t="s">
        <v>4485</v>
      </c>
      <c r="N900" s="211">
        <v>30.54</v>
      </c>
      <c r="O900" t="s">
        <v>18</v>
      </c>
      <c r="P900" t="s">
        <v>206</v>
      </c>
      <c r="Q900" s="199">
        <v>30.54</v>
      </c>
      <c r="S900" s="94" t="s">
        <v>20</v>
      </c>
      <c r="T900" s="222">
        <v>0.8</v>
      </c>
      <c r="U900" s="222">
        <v>0.2</v>
      </c>
      <c r="V900" s="222">
        <v>0.8</v>
      </c>
      <c r="W900" s="486">
        <v>3.3</v>
      </c>
      <c r="X900" s="222" t="s">
        <v>4436</v>
      </c>
      <c r="AH900" s="49">
        <f>Table2[[#This Row],[Prix de vente ($)]]/Table2[[#This Row],[Superficie totale (ha)]]</f>
        <v>7367.3870333988216</v>
      </c>
    </row>
    <row r="901" spans="1:34">
      <c r="A901" s="196">
        <v>29958695</v>
      </c>
      <c r="C901" s="318">
        <v>46000</v>
      </c>
      <c r="D901" t="s">
        <v>4486</v>
      </c>
      <c r="E901" t="s">
        <v>4487</v>
      </c>
      <c r="F901" t="s">
        <v>4488</v>
      </c>
      <c r="G901" s="93">
        <v>382000</v>
      </c>
      <c r="I901" t="s">
        <v>321</v>
      </c>
      <c r="J901" t="s">
        <v>4489</v>
      </c>
      <c r="K901" s="66"/>
      <c r="AH901" s="74" t="e">
        <f>Table2[[#This Row],[Prix de vente ($)]]/Table2[[#This Row],[Superficie totale (ha)]]</f>
        <v>#DIV/0!</v>
      </c>
    </row>
    <row r="902" spans="1:34">
      <c r="A902" s="196">
        <v>29918877</v>
      </c>
      <c r="C902" s="318">
        <v>45985</v>
      </c>
      <c r="D902" t="s">
        <v>4490</v>
      </c>
      <c r="E902" t="s">
        <v>4491</v>
      </c>
      <c r="F902" t="s">
        <v>4492</v>
      </c>
      <c r="G902" s="93">
        <v>340000</v>
      </c>
      <c r="I902" t="s">
        <v>321</v>
      </c>
      <c r="J902" t="s">
        <v>4483</v>
      </c>
      <c r="K902" t="s">
        <v>4493</v>
      </c>
      <c r="L902" s="205">
        <v>46.460064000000003</v>
      </c>
      <c r="M902" s="270" t="s">
        <v>4494</v>
      </c>
      <c r="N902" s="211">
        <v>28.17</v>
      </c>
      <c r="O902" t="s">
        <v>18</v>
      </c>
      <c r="P902" t="s">
        <v>206</v>
      </c>
      <c r="Q902" s="199">
        <v>28.17</v>
      </c>
      <c r="S902" s="94" t="s">
        <v>20</v>
      </c>
      <c r="T902" s="222">
        <v>0.8</v>
      </c>
      <c r="U902" s="222">
        <v>0.2</v>
      </c>
      <c r="V902" s="222">
        <v>0.75</v>
      </c>
      <c r="W902" s="486">
        <v>0</v>
      </c>
      <c r="AC902" s="63">
        <v>1.7</v>
      </c>
      <c r="AH902" s="49">
        <f>Table2[[#This Row],[Prix de vente ($)]]/Table2[[#This Row],[Superficie totale (ha)]]</f>
        <v>12069.577564785232</v>
      </c>
    </row>
    <row r="903" spans="1:34">
      <c r="A903" s="196" t="s">
        <v>4495</v>
      </c>
      <c r="C903" s="318">
        <v>43368</v>
      </c>
      <c r="D903" t="s">
        <v>4496</v>
      </c>
      <c r="E903" t="s">
        <v>4497</v>
      </c>
      <c r="F903" t="s">
        <v>4498</v>
      </c>
      <c r="G903" s="93">
        <v>105000</v>
      </c>
      <c r="I903" t="s">
        <v>321</v>
      </c>
      <c r="J903" t="s">
        <v>4499</v>
      </c>
      <c r="K903" t="s">
        <v>4500</v>
      </c>
      <c r="L903" s="205">
        <v>46.485368000000001</v>
      </c>
      <c r="M903" s="205">
        <v>-71.490368000000004</v>
      </c>
      <c r="N903" s="211">
        <v>36.369999999999997</v>
      </c>
      <c r="O903" t="s">
        <v>18</v>
      </c>
      <c r="P903" t="s">
        <v>35</v>
      </c>
      <c r="Q903" s="199">
        <v>36.369999999999997</v>
      </c>
      <c r="S903" s="94" t="s">
        <v>22</v>
      </c>
      <c r="T903" s="222">
        <v>0.5</v>
      </c>
      <c r="U903" s="222">
        <v>0.5</v>
      </c>
      <c r="V903" s="222">
        <v>0.75</v>
      </c>
      <c r="W903" s="486">
        <v>13.1</v>
      </c>
      <c r="X903" s="222" t="s">
        <v>4436</v>
      </c>
      <c r="AH903" s="49">
        <f>Table2[[#This Row],[Prix de vente ($)]]/Table2[[#This Row],[Superficie totale (ha)]]</f>
        <v>2886.9947759142151</v>
      </c>
    </row>
    <row r="904" spans="1:34">
      <c r="A904" s="196">
        <v>28653483</v>
      </c>
      <c r="C904" s="318">
        <v>45407</v>
      </c>
      <c r="D904" t="s">
        <v>4501</v>
      </c>
      <c r="E904" t="s">
        <v>4502</v>
      </c>
      <c r="F904" t="s">
        <v>4503</v>
      </c>
      <c r="G904" s="93">
        <v>355000</v>
      </c>
      <c r="I904" t="s">
        <v>321</v>
      </c>
      <c r="J904" t="s">
        <v>2359</v>
      </c>
      <c r="K904" t="s">
        <v>4504</v>
      </c>
      <c r="L904" s="205">
        <v>46.43262</v>
      </c>
      <c r="M904" s="270" t="s">
        <v>4505</v>
      </c>
      <c r="N904" s="211">
        <v>61.2</v>
      </c>
      <c r="O904" t="s">
        <v>18</v>
      </c>
      <c r="P904" t="s">
        <v>206</v>
      </c>
      <c r="Q904" s="199">
        <f>61.2-7</f>
        <v>54.2</v>
      </c>
      <c r="S904" s="94" t="s">
        <v>33</v>
      </c>
      <c r="T904" s="222">
        <v>0.2</v>
      </c>
      <c r="U904" s="222">
        <v>0.8</v>
      </c>
      <c r="V904" s="222">
        <v>0.8</v>
      </c>
      <c r="W904" s="486">
        <v>12.2</v>
      </c>
      <c r="X904" s="222" t="s">
        <v>4436</v>
      </c>
      <c r="AH904" s="49">
        <f>Table2[[#This Row],[Prix de vente ($)]]/Table2[[#This Row],[Superficie totale (ha)]]</f>
        <v>5800.6535947712418</v>
      </c>
    </row>
    <row r="905" spans="1:34">
      <c r="A905" s="196">
        <v>28634566</v>
      </c>
      <c r="C905" s="318">
        <v>45397</v>
      </c>
      <c r="D905" t="s">
        <v>4506</v>
      </c>
      <c r="E905" t="s">
        <v>4507</v>
      </c>
      <c r="F905" t="s">
        <v>4508</v>
      </c>
      <c r="G905" s="93">
        <v>55000</v>
      </c>
      <c r="I905" t="s">
        <v>321</v>
      </c>
      <c r="J905" t="s">
        <v>4475</v>
      </c>
      <c r="K905" t="s">
        <v>4509</v>
      </c>
      <c r="L905" s="205">
        <v>46.522188</v>
      </c>
      <c r="M905" s="205">
        <v>-71.582037999999997</v>
      </c>
      <c r="N905" s="211">
        <v>13.26</v>
      </c>
      <c r="O905" t="s">
        <v>18</v>
      </c>
      <c r="P905" t="s">
        <v>35</v>
      </c>
      <c r="Q905" s="199">
        <v>13.26</v>
      </c>
      <c r="S905" s="94" t="s">
        <v>20</v>
      </c>
      <c r="T905" s="222">
        <v>0.95</v>
      </c>
      <c r="U905" s="222">
        <v>0.05</v>
      </c>
      <c r="V905" s="222">
        <v>0.65</v>
      </c>
      <c r="W905" s="486">
        <v>7.6</v>
      </c>
      <c r="X905" s="222" t="s">
        <v>4436</v>
      </c>
      <c r="AC905" s="63">
        <v>8.5</v>
      </c>
      <c r="AH905" s="49">
        <f>Table2[[#This Row],[Prix de vente ($)]]/Table2[[#This Row],[Superficie totale (ha)]]</f>
        <v>4147.8129713423832</v>
      </c>
    </row>
    <row r="906" spans="1:34">
      <c r="A906" s="196">
        <v>28701738</v>
      </c>
      <c r="C906" s="318">
        <v>45433</v>
      </c>
      <c r="F906" t="s">
        <v>4510</v>
      </c>
      <c r="G906" s="93">
        <v>70000</v>
      </c>
      <c r="I906" t="s">
        <v>321</v>
      </c>
      <c r="J906" t="s">
        <v>4511</v>
      </c>
      <c r="AH906" s="49" t="e">
        <f>Table2[[#This Row],[Prix de vente ($)]]/Table2[[#This Row],[Superficie totale (ha)]]</f>
        <v>#DIV/0!</v>
      </c>
    </row>
    <row r="907" spans="1:34">
      <c r="A907" s="196">
        <v>29284306</v>
      </c>
      <c r="C907" s="318">
        <v>45719</v>
      </c>
      <c r="F907" t="s">
        <v>4512</v>
      </c>
      <c r="G907" s="93">
        <v>75000</v>
      </c>
      <c r="I907" t="s">
        <v>321</v>
      </c>
      <c r="J907" t="s">
        <v>2359</v>
      </c>
      <c r="N907" s="211">
        <v>18.48</v>
      </c>
      <c r="AF907" t="s">
        <v>4472</v>
      </c>
      <c r="AH907" s="49">
        <f>Table2[[#This Row],[Prix de vente ($)]]/Table2[[#This Row],[Superficie totale (ha)]]</f>
        <v>4058.4415584415583</v>
      </c>
    </row>
    <row r="908" spans="1:34">
      <c r="A908" s="196">
        <v>29323196</v>
      </c>
      <c r="C908" s="318">
        <v>45737</v>
      </c>
      <c r="D908" t="s">
        <v>4513</v>
      </c>
      <c r="E908" t="s">
        <v>4514</v>
      </c>
      <c r="F908" t="s">
        <v>4515</v>
      </c>
      <c r="G908" s="93">
        <v>280000</v>
      </c>
      <c r="I908" t="s">
        <v>321</v>
      </c>
      <c r="J908" t="s">
        <v>2359</v>
      </c>
      <c r="K908" t="s">
        <v>4516</v>
      </c>
      <c r="L908" s="205">
        <v>46.409548000000001</v>
      </c>
      <c r="M908" s="270" t="s">
        <v>4517</v>
      </c>
      <c r="N908" s="211">
        <v>21</v>
      </c>
      <c r="O908" t="s">
        <v>764</v>
      </c>
      <c r="P908" t="s">
        <v>35</v>
      </c>
      <c r="Q908" s="199">
        <v>21</v>
      </c>
      <c r="S908" s="94" t="s">
        <v>62</v>
      </c>
      <c r="T908" s="222">
        <v>0.9</v>
      </c>
      <c r="U908" s="222">
        <v>0.1</v>
      </c>
      <c r="V908" s="222">
        <v>0.85</v>
      </c>
      <c r="W908" s="486">
        <v>0.6</v>
      </c>
      <c r="X908" s="222" t="s">
        <v>4518</v>
      </c>
      <c r="Y908" t="s">
        <v>3157</v>
      </c>
      <c r="AC908" s="63">
        <v>6.1</v>
      </c>
      <c r="AH908" s="49">
        <f>Table2[[#This Row],[Prix de vente ($)]]/Table2[[#This Row],[Superficie totale (ha)]]</f>
        <v>13333.333333333334</v>
      </c>
    </row>
    <row r="909" spans="1:34">
      <c r="A909" s="196" t="s">
        <v>4519</v>
      </c>
      <c r="C909" s="318">
        <v>45687</v>
      </c>
      <c r="F909" t="s">
        <v>4520</v>
      </c>
      <c r="G909" s="93">
        <v>11000</v>
      </c>
      <c r="I909" t="s">
        <v>65</v>
      </c>
      <c r="J909" t="s">
        <v>642</v>
      </c>
      <c r="AH909" s="49" t="e">
        <f>Table2[[#This Row],[Prix de vente ($)]]/Table2[[#This Row],[Superficie totale (ha)]]</f>
        <v>#DIV/0!</v>
      </c>
    </row>
    <row r="910" spans="1:34">
      <c r="A910" s="196" t="s">
        <v>4521</v>
      </c>
      <c r="C910" s="318">
        <v>45691</v>
      </c>
      <c r="F910" t="s">
        <v>4522</v>
      </c>
      <c r="G910" s="93">
        <v>76000</v>
      </c>
      <c r="I910" t="s">
        <v>65</v>
      </c>
      <c r="J910" t="s">
        <v>987</v>
      </c>
      <c r="AH910" s="49" t="e">
        <f>Table2[[#This Row],[Prix de vente ($)]]/Table2[[#This Row],[Superficie totale (ha)]]</f>
        <v>#DIV/0!</v>
      </c>
    </row>
    <row r="911" spans="1:34">
      <c r="A911" s="196" t="s">
        <v>4523</v>
      </c>
      <c r="C911" s="318">
        <v>45695</v>
      </c>
      <c r="F911" t="s">
        <v>4524</v>
      </c>
      <c r="G911" s="93">
        <v>17000</v>
      </c>
      <c r="I911" t="s">
        <v>65</v>
      </c>
      <c r="J911" t="s">
        <v>642</v>
      </c>
      <c r="AH911" s="49" t="e">
        <f>Table2[[#This Row],[Prix de vente ($)]]/Table2[[#This Row],[Superficie totale (ha)]]</f>
        <v>#DIV/0!</v>
      </c>
    </row>
    <row r="912" spans="1:34">
      <c r="A912" s="196" t="s">
        <v>4525</v>
      </c>
      <c r="C912" s="318">
        <v>45716</v>
      </c>
      <c r="F912" t="s">
        <v>4526</v>
      </c>
      <c r="G912" s="93">
        <v>35000</v>
      </c>
      <c r="I912" t="s">
        <v>65</v>
      </c>
      <c r="J912" t="s">
        <v>4527</v>
      </c>
      <c r="AH912" s="49" t="e">
        <f>Table2[[#This Row],[Prix de vente ($)]]/Table2[[#This Row],[Superficie totale (ha)]]</f>
        <v>#DIV/0!</v>
      </c>
    </row>
    <row r="913" spans="1:34">
      <c r="A913" s="196" t="s">
        <v>4528</v>
      </c>
      <c r="C913" s="318">
        <v>45741</v>
      </c>
      <c r="F913" t="s">
        <v>4529</v>
      </c>
      <c r="G913" s="93">
        <v>300000</v>
      </c>
      <c r="I913" t="s">
        <v>65</v>
      </c>
      <c r="J913" t="s">
        <v>693</v>
      </c>
      <c r="AH913" s="49" t="e">
        <f>Table2[[#This Row],[Prix de vente ($)]]/Table2[[#This Row],[Superficie totale (ha)]]</f>
        <v>#DIV/0!</v>
      </c>
    </row>
    <row r="914" spans="1:34">
      <c r="A914" s="318" t="s">
        <v>4530</v>
      </c>
      <c r="F914" t="s">
        <v>4531</v>
      </c>
      <c r="G914" s="93">
        <v>249000</v>
      </c>
      <c r="I914" t="s">
        <v>65</v>
      </c>
      <c r="J914" t="s">
        <v>693</v>
      </c>
      <c r="AH914" s="49" t="e">
        <f>Table2[[#This Row],[Prix de vente ($)]]/Table2[[#This Row],[Superficie totale (ha)]]</f>
        <v>#DIV/0!</v>
      </c>
    </row>
    <row r="915" spans="1:34">
      <c r="A915" s="196" t="s">
        <v>4532</v>
      </c>
      <c r="C915" s="318">
        <v>45855</v>
      </c>
      <c r="F915" t="s">
        <v>4533</v>
      </c>
      <c r="G915" s="93">
        <v>145000</v>
      </c>
      <c r="I915" t="s">
        <v>65</v>
      </c>
      <c r="J915" t="s">
        <v>693</v>
      </c>
      <c r="AH915" s="49" t="e">
        <f>Table2[[#This Row],[Prix de vente ($)]]/Table2[[#This Row],[Superficie totale (ha)]]</f>
        <v>#DIV/0!</v>
      </c>
    </row>
    <row r="916" spans="1:34">
      <c r="A916" s="196" t="s">
        <v>4534</v>
      </c>
      <c r="C916" s="318">
        <v>45902</v>
      </c>
      <c r="F916" t="s">
        <v>4535</v>
      </c>
      <c r="G916" s="93">
        <v>110600</v>
      </c>
      <c r="I916" t="s">
        <v>65</v>
      </c>
      <c r="J916" t="s">
        <v>4527</v>
      </c>
      <c r="AH916" s="49" t="e">
        <f>Table2[[#This Row],[Prix de vente ($)]]/Table2[[#This Row],[Superficie totale (ha)]]</f>
        <v>#DIV/0!</v>
      </c>
    </row>
    <row r="917" spans="1:34">
      <c r="A917" s="196" t="s">
        <v>4536</v>
      </c>
      <c r="C917" s="318">
        <v>45916</v>
      </c>
      <c r="F917" t="s">
        <v>4537</v>
      </c>
      <c r="G917" s="93">
        <v>160000</v>
      </c>
      <c r="I917" t="s">
        <v>65</v>
      </c>
      <c r="AH917" s="49" t="e">
        <f>Table2[[#This Row],[Prix de vente ($)]]/Table2[[#This Row],[Superficie totale (ha)]]</f>
        <v>#DIV/0!</v>
      </c>
    </row>
    <row r="918" spans="1:34">
      <c r="A918" s="196" t="s">
        <v>4538</v>
      </c>
      <c r="C918" s="318">
        <v>45918</v>
      </c>
      <c r="F918" t="s">
        <v>4539</v>
      </c>
      <c r="G918" s="93">
        <v>75000</v>
      </c>
      <c r="I918" t="s">
        <v>65</v>
      </c>
      <c r="AH918" s="49" t="e">
        <f>Table2[[#This Row],[Prix de vente ($)]]/Table2[[#This Row],[Superficie totale (ha)]]</f>
        <v>#DIV/0!</v>
      </c>
    </row>
    <row r="919" spans="1:34">
      <c r="A919" s="196" t="s">
        <v>4540</v>
      </c>
      <c r="C919" s="318">
        <v>45926</v>
      </c>
      <c r="F919" t="s">
        <v>4541</v>
      </c>
      <c r="G919" s="93">
        <v>135000</v>
      </c>
      <c r="I919" t="s">
        <v>65</v>
      </c>
      <c r="J919" t="s">
        <v>4542</v>
      </c>
      <c r="AH919" s="49" t="e">
        <f>Table2[[#This Row],[Prix de vente ($)]]/Table2[[#This Row],[Superficie totale (ha)]]</f>
        <v>#DIV/0!</v>
      </c>
    </row>
    <row r="920" spans="1:34">
      <c r="A920" s="196" t="s">
        <v>4543</v>
      </c>
      <c r="C920" s="318">
        <v>45939</v>
      </c>
      <c r="F920" t="s">
        <v>4544</v>
      </c>
      <c r="G920" s="93">
        <v>250000</v>
      </c>
      <c r="I920" t="s">
        <v>65</v>
      </c>
      <c r="J920" t="s">
        <v>642</v>
      </c>
      <c r="AH920" s="49" t="e">
        <f>Table2[[#This Row],[Prix de vente ($)]]/Table2[[#This Row],[Superficie totale (ha)]]</f>
        <v>#DIV/0!</v>
      </c>
    </row>
    <row r="921" spans="1:34">
      <c r="A921" s="196" t="s">
        <v>4545</v>
      </c>
      <c r="C921" s="318">
        <v>45961</v>
      </c>
      <c r="F921" t="s">
        <v>4546</v>
      </c>
      <c r="G921" s="93">
        <v>70000</v>
      </c>
      <c r="I921" t="s">
        <v>65</v>
      </c>
      <c r="J921" t="s">
        <v>4547</v>
      </c>
      <c r="AH921" s="49" t="e">
        <f>Table2[[#This Row],[Prix de vente ($)]]/Table2[[#This Row],[Superficie totale (ha)]]</f>
        <v>#DIV/0!</v>
      </c>
    </row>
    <row r="922" spans="1:34">
      <c r="A922" s="196" t="s">
        <v>4548</v>
      </c>
      <c r="C922" s="318">
        <v>45981</v>
      </c>
      <c r="F922" t="s">
        <v>4549</v>
      </c>
      <c r="G922" s="93">
        <v>150000</v>
      </c>
      <c r="I922" t="s">
        <v>65</v>
      </c>
      <c r="J922" t="s">
        <v>4542</v>
      </c>
      <c r="AH922" s="49" t="e">
        <f>Table2[[#This Row],[Prix de vente ($)]]/Table2[[#This Row],[Superficie totale (ha)]]</f>
        <v>#DIV/0!</v>
      </c>
    </row>
    <row r="923" spans="1:34">
      <c r="A923" s="196" t="s">
        <v>4550</v>
      </c>
      <c r="C923" s="318">
        <v>46000</v>
      </c>
      <c r="F923" t="s">
        <v>4551</v>
      </c>
      <c r="G923" s="93">
        <v>450000</v>
      </c>
      <c r="I923" t="s">
        <v>65</v>
      </c>
      <c r="J923" t="s">
        <v>693</v>
      </c>
      <c r="AH923" s="49" t="e">
        <f>Table2[[#This Row],[Prix de vente ($)]]/Table2[[#This Row],[Superficie totale (ha)]]</f>
        <v>#DIV/0!</v>
      </c>
    </row>
    <row r="924" spans="1:34">
      <c r="A924" s="196" t="s">
        <v>4552</v>
      </c>
      <c r="C924" s="318">
        <v>46003</v>
      </c>
      <c r="F924" t="s">
        <v>4553</v>
      </c>
      <c r="G924" s="93">
        <v>120000</v>
      </c>
      <c r="I924" t="s">
        <v>65</v>
      </c>
      <c r="J924" t="s">
        <v>987</v>
      </c>
      <c r="AH924" s="49" t="e">
        <f>Table2[[#This Row],[Prix de vente ($)]]/Table2[[#This Row],[Superficie totale (ha)]]</f>
        <v>#DIV/0!</v>
      </c>
    </row>
    <row r="925" spans="1:34">
      <c r="A925" s="196" t="s">
        <v>4554</v>
      </c>
      <c r="C925" s="318">
        <v>46043</v>
      </c>
      <c r="F925" t="s">
        <v>4555</v>
      </c>
      <c r="G925" s="93">
        <v>200000</v>
      </c>
      <c r="I925" t="s">
        <v>65</v>
      </c>
      <c r="J925" t="s">
        <v>4547</v>
      </c>
      <c r="AH925" s="49" t="e">
        <f>Table2[[#This Row],[Prix de vente ($)]]/Table2[[#This Row],[Superficie totale (ha)]]</f>
        <v>#DIV/0!</v>
      </c>
    </row>
    <row r="926" spans="1:34">
      <c r="A926" s="196" t="s">
        <v>4556</v>
      </c>
      <c r="C926" s="318">
        <v>46065</v>
      </c>
      <c r="F926" t="s">
        <v>4557</v>
      </c>
      <c r="G926" s="93">
        <v>300000</v>
      </c>
      <c r="I926" t="s">
        <v>65</v>
      </c>
      <c r="J926" t="s">
        <v>693</v>
      </c>
      <c r="AH926" s="49" t="e">
        <f>Table2[[#This Row],[Prix de vente ($)]]/Table2[[#This Row],[Superficie totale (ha)]]</f>
        <v>#DIV/0!</v>
      </c>
    </row>
    <row r="927" spans="1:34">
      <c r="A927" s="196">
        <v>29937350</v>
      </c>
      <c r="C927" s="318">
        <v>45988</v>
      </c>
      <c r="F927" t="s">
        <v>4558</v>
      </c>
      <c r="G927" s="93">
        <v>335835</v>
      </c>
      <c r="I927" t="s">
        <v>4559</v>
      </c>
      <c r="J927" t="s">
        <v>4560</v>
      </c>
      <c r="AH927" s="49" t="e">
        <f>Table2[[#This Row],[Prix de vente ($)]]/Table2[[#This Row],[Superficie totale (ha)]]</f>
        <v>#DIV/0!</v>
      </c>
    </row>
    <row r="928" spans="1:34">
      <c r="A928" s="196">
        <v>30227730</v>
      </c>
      <c r="C928" s="318">
        <v>46126</v>
      </c>
      <c r="F928" t="s">
        <v>4561</v>
      </c>
      <c r="G928" s="93">
        <v>72500</v>
      </c>
      <c r="I928" t="s">
        <v>4559</v>
      </c>
      <c r="J928" t="s">
        <v>4560</v>
      </c>
      <c r="AH928" s="49" t="e">
        <f>Table2[[#This Row],[Prix de vente ($)]]/Table2[[#This Row],[Superficie totale (ha)]]</f>
        <v>#DIV/0!</v>
      </c>
    </row>
    <row r="929" spans="1:34">
      <c r="A929" s="196">
        <v>30199359</v>
      </c>
      <c r="C929" s="318">
        <v>46113</v>
      </c>
      <c r="F929" t="s">
        <v>4562</v>
      </c>
      <c r="G929" s="93">
        <v>300000</v>
      </c>
      <c r="I929" t="s">
        <v>4559</v>
      </c>
      <c r="J929" t="s">
        <v>4563</v>
      </c>
      <c r="AH929" s="49" t="e">
        <f>Table2[[#This Row],[Prix de vente ($)]]/Table2[[#This Row],[Superficie totale (ha)]]</f>
        <v>#DIV/0!</v>
      </c>
    </row>
    <row r="930" spans="1:34">
      <c r="A930" s="196">
        <v>29973420</v>
      </c>
      <c r="C930" s="318">
        <v>46003</v>
      </c>
      <c r="F930" t="s">
        <v>4564</v>
      </c>
      <c r="G930" s="93">
        <v>265000</v>
      </c>
      <c r="I930" t="s">
        <v>4559</v>
      </c>
      <c r="J930" t="s">
        <v>4565</v>
      </c>
      <c r="AH930" s="49" t="e">
        <f>Table2[[#This Row],[Prix de vente ($)]]/Table2[[#This Row],[Superficie totale (ha)]]</f>
        <v>#DIV/0!</v>
      </c>
    </row>
    <row r="931" spans="1:34">
      <c r="A931" t="s">
        <v>4566</v>
      </c>
      <c r="C931" s="318">
        <v>46112</v>
      </c>
      <c r="F931" t="s">
        <v>4567</v>
      </c>
      <c r="G931" s="93">
        <v>132000</v>
      </c>
      <c r="I931" t="s">
        <v>16</v>
      </c>
      <c r="J931" t="s">
        <v>2721</v>
      </c>
      <c r="L931" s="205">
        <v>46.697656000000002</v>
      </c>
      <c r="M931" s="270" t="s">
        <v>4568</v>
      </c>
      <c r="N931" s="211">
        <v>9.06</v>
      </c>
      <c r="P931" t="s">
        <v>4569</v>
      </c>
      <c r="Q931" s="199">
        <v>9.06</v>
      </c>
      <c r="S931" s="94" t="s">
        <v>20</v>
      </c>
      <c r="T931" s="222">
        <v>1</v>
      </c>
      <c r="U931" s="222">
        <v>0</v>
      </c>
      <c r="V931" s="222">
        <v>0.8</v>
      </c>
      <c r="AC931" s="63">
        <v>8.8000000000000007</v>
      </c>
      <c r="AH931" s="49">
        <f>Table2[[#This Row],[Prix de vente ($)]]/Table2[[#This Row],[Superficie totale (ha)]]</f>
        <v>14569.536423841058</v>
      </c>
    </row>
    <row r="932" spans="1:34">
      <c r="A932" t="s">
        <v>4570</v>
      </c>
      <c r="C932" s="318">
        <v>46125</v>
      </c>
      <c r="F932" t="s">
        <v>4571</v>
      </c>
      <c r="G932" s="93">
        <v>45000</v>
      </c>
      <c r="I932" t="s">
        <v>16</v>
      </c>
      <c r="J932" t="s">
        <v>4572</v>
      </c>
      <c r="AH932" s="49"/>
    </row>
    <row r="933" spans="1:34">
      <c r="A933" t="s">
        <v>4573</v>
      </c>
      <c r="C933" s="318">
        <v>46070</v>
      </c>
      <c r="F933" t="s">
        <v>4574</v>
      </c>
      <c r="G933" s="93">
        <v>225000</v>
      </c>
      <c r="I933" t="s">
        <v>16</v>
      </c>
      <c r="J933" t="s">
        <v>4575</v>
      </c>
      <c r="AH933" s="49"/>
    </row>
    <row r="934" spans="1:34">
      <c r="AH934" s="49"/>
    </row>
    <row r="935" spans="1:34">
      <c r="AH935" s="49"/>
    </row>
    <row r="936" spans="1:34">
      <c r="AH936" s="49"/>
    </row>
    <row r="937" spans="1:34">
      <c r="AH937" s="49"/>
    </row>
    <row r="938" spans="1:34">
      <c r="AH938" s="49"/>
    </row>
    <row r="939" spans="1:34">
      <c r="AH939" s="49"/>
    </row>
    <row r="940" spans="1:34">
      <c r="AH940" s="49"/>
    </row>
    <row r="941" spans="1:34">
      <c r="AH941" s="49"/>
    </row>
    <row r="942" spans="1:34">
      <c r="AH942" s="49"/>
    </row>
    <row r="943" spans="1:34">
      <c r="AH943" s="49"/>
    </row>
    <row r="944" spans="1:34">
      <c r="AH944" s="49"/>
    </row>
    <row r="945" spans="34:34">
      <c r="AH945" s="49"/>
    </row>
    <row r="946" spans="34:34">
      <c r="AH946" s="49"/>
    </row>
    <row r="947" spans="34:34">
      <c r="AH947" s="49"/>
    </row>
    <row r="948" spans="34:34">
      <c r="AH948" s="49"/>
    </row>
    <row r="949" spans="34:34">
      <c r="AH949" s="49"/>
    </row>
    <row r="950" spans="34:34">
      <c r="AH950" s="49"/>
    </row>
    <row r="951" spans="34:34">
      <c r="AH951" s="49"/>
    </row>
    <row r="952" spans="34:34">
      <c r="AH952" s="49"/>
    </row>
    <row r="953" spans="34:34">
      <c r="AH953" s="49"/>
    </row>
    <row r="954" spans="34:34">
      <c r="AH954" s="49"/>
    </row>
    <row r="955" spans="34:34">
      <c r="AH955" s="49"/>
    </row>
    <row r="956" spans="34:34">
      <c r="AH956" s="49"/>
    </row>
    <row r="957" spans="34:34">
      <c r="AH957" s="49"/>
    </row>
    <row r="958" spans="34:34">
      <c r="AH958" s="49"/>
    </row>
    <row r="959" spans="34:34">
      <c r="AH959" s="49"/>
    </row>
    <row r="960" spans="34:34">
      <c r="AH960" s="49"/>
    </row>
    <row r="961" spans="34:34">
      <c r="AH961" s="49"/>
    </row>
    <row r="962" spans="34:34">
      <c r="AH962" s="49"/>
    </row>
    <row r="963" spans="34:34">
      <c r="AH963" s="49"/>
    </row>
    <row r="964" spans="34:34">
      <c r="AH964" s="49"/>
    </row>
    <row r="965" spans="34:34">
      <c r="AH965" s="49"/>
    </row>
    <row r="966" spans="34:34">
      <c r="AH966" s="49"/>
    </row>
    <row r="967" spans="34:34">
      <c r="AH967" s="49"/>
    </row>
    <row r="968" spans="34:34">
      <c r="AH968" s="49"/>
    </row>
    <row r="969" spans="34:34">
      <c r="AH969" s="49"/>
    </row>
    <row r="970" spans="34:34">
      <c r="AH970" s="49"/>
    </row>
    <row r="971" spans="34:34">
      <c r="AH971" s="49"/>
    </row>
    <row r="972" spans="34:34">
      <c r="AH972" s="49"/>
    </row>
    <row r="973" spans="34:34">
      <c r="AH973" s="49"/>
    </row>
    <row r="974" spans="34:34">
      <c r="AH974" s="49"/>
    </row>
    <row r="975" spans="34:34">
      <c r="AH975" s="49"/>
    </row>
    <row r="976" spans="34:34">
      <c r="AH976" s="49"/>
    </row>
    <row r="977" spans="34:34">
      <c r="AH977" s="49"/>
    </row>
    <row r="978" spans="34:34">
      <c r="AH978" s="49"/>
    </row>
    <row r="979" spans="34:34">
      <c r="AH979" s="49"/>
    </row>
    <row r="980" spans="34:34">
      <c r="AH980" s="49"/>
    </row>
    <row r="981" spans="34:34">
      <c r="AH981" s="49"/>
    </row>
    <row r="982" spans="34:34">
      <c r="AH982" s="49"/>
    </row>
    <row r="983" spans="34:34">
      <c r="AH983" s="49"/>
    </row>
    <row r="984" spans="34:34">
      <c r="AH984" s="49"/>
    </row>
    <row r="985" spans="34:34">
      <c r="AH985" s="49"/>
    </row>
    <row r="986" spans="34:34">
      <c r="AH986" s="49"/>
    </row>
    <row r="987" spans="34:34">
      <c r="AH987" s="49"/>
    </row>
    <row r="988" spans="34:34">
      <c r="AH988" s="49"/>
    </row>
    <row r="989" spans="34:34">
      <c r="AH989" s="49"/>
    </row>
    <row r="990" spans="34:34">
      <c r="AH990" s="49"/>
    </row>
    <row r="991" spans="34:34">
      <c r="AH991" s="49"/>
    </row>
    <row r="992" spans="34:34">
      <c r="AH992" s="49"/>
    </row>
    <row r="993" spans="34:34">
      <c r="AH993" s="49"/>
    </row>
    <row r="994" spans="34:34">
      <c r="AH994" s="49"/>
    </row>
    <row r="995" spans="34:34">
      <c r="AH995" s="49"/>
    </row>
    <row r="996" spans="34:34">
      <c r="AH996" s="49"/>
    </row>
    <row r="997" spans="34:34">
      <c r="AH997" s="49"/>
    </row>
    <row r="998" spans="34:34">
      <c r="AH998" s="49"/>
    </row>
    <row r="999" spans="34:34">
      <c r="AH999" s="49"/>
    </row>
    <row r="1000" spans="34:34">
      <c r="AH1000" s="49"/>
    </row>
    <row r="1001" spans="34:34">
      <c r="AH1001" s="49"/>
    </row>
    <row r="1002" spans="34:34">
      <c r="AH1002" s="49"/>
    </row>
    <row r="1003" spans="34:34">
      <c r="AH1003" s="49"/>
    </row>
    <row r="1004" spans="34:34">
      <c r="AH1004" s="49"/>
    </row>
    <row r="1005" spans="34:34">
      <c r="AH1005" s="49"/>
    </row>
    <row r="1006" spans="34:34">
      <c r="AH1006" s="49"/>
    </row>
    <row r="1007" spans="34:34">
      <c r="AH1007" s="49"/>
    </row>
    <row r="1008" spans="34:34">
      <c r="AH1008" s="49"/>
    </row>
    <row r="1009" spans="34:34">
      <c r="AH1009" s="49"/>
    </row>
    <row r="1010" spans="34:34">
      <c r="AH1010" s="49"/>
    </row>
    <row r="1011" spans="34:34">
      <c r="AH1011" s="49"/>
    </row>
    <row r="1012" spans="34:34">
      <c r="AH1012" s="49"/>
    </row>
    <row r="1013" spans="34:34">
      <c r="AH1013" s="49"/>
    </row>
    <row r="1014" spans="34:34">
      <c r="AH1014" s="49"/>
    </row>
    <row r="1015" spans="34:34">
      <c r="AH1015" s="49"/>
    </row>
    <row r="1016" spans="34:34">
      <c r="AH1016" s="49"/>
    </row>
    <row r="1017" spans="34:34">
      <c r="AH1017" s="49"/>
    </row>
    <row r="1018" spans="34:34">
      <c r="AH1018" s="49"/>
    </row>
    <row r="1019" spans="34:34">
      <c r="AH1019" s="49"/>
    </row>
    <row r="1020" spans="34:34">
      <c r="AH1020" s="49"/>
    </row>
    <row r="1021" spans="34:34">
      <c r="AH1021" s="49"/>
    </row>
    <row r="1022" spans="34:34">
      <c r="AH1022" s="49"/>
    </row>
    <row r="1023" spans="34:34">
      <c r="AH1023" s="49"/>
    </row>
    <row r="1024" spans="34:34">
      <c r="AH1024" s="49"/>
    </row>
    <row r="1025" spans="34:34">
      <c r="AH1025" s="49"/>
    </row>
    <row r="1026" spans="34:34">
      <c r="AH1026" s="49"/>
    </row>
    <row r="1027" spans="34:34">
      <c r="AH1027" s="49"/>
    </row>
    <row r="1028" spans="34:34">
      <c r="AH1028" s="49"/>
    </row>
    <row r="1029" spans="34:34">
      <c r="AH1029" s="49"/>
    </row>
    <row r="1030" spans="34:34">
      <c r="AH1030" s="49"/>
    </row>
    <row r="1031" spans="34:34">
      <c r="AH1031" s="49"/>
    </row>
    <row r="1032" spans="34:34">
      <c r="AH1032" s="49"/>
    </row>
    <row r="1033" spans="34:34">
      <c r="AH1033" s="49"/>
    </row>
    <row r="1034" spans="34:34">
      <c r="AH1034" s="49"/>
    </row>
    <row r="1035" spans="34:34">
      <c r="AH1035" s="49"/>
    </row>
    <row r="1036" spans="34:34">
      <c r="AH1036" s="49"/>
    </row>
    <row r="1037" spans="34:34">
      <c r="AH1037" s="49"/>
    </row>
    <row r="1038" spans="34:34">
      <c r="AH1038" s="49"/>
    </row>
    <row r="1039" spans="34:34">
      <c r="AH1039" s="49"/>
    </row>
    <row r="1040" spans="34:34">
      <c r="AH1040" s="49"/>
    </row>
    <row r="1041" spans="34:34">
      <c r="AH1041" s="49"/>
    </row>
    <row r="1042" spans="34:34">
      <c r="AH1042" s="49"/>
    </row>
    <row r="1043" spans="34:34">
      <c r="AH1043" s="49"/>
    </row>
    <row r="1044" spans="34:34">
      <c r="AH1044" s="49"/>
    </row>
    <row r="1045" spans="34:34">
      <c r="AH1045" s="49"/>
    </row>
    <row r="1046" spans="34:34">
      <c r="AH1046" s="49"/>
    </row>
    <row r="1047" spans="34:34">
      <c r="AH1047" s="49"/>
    </row>
    <row r="1048" spans="34:34">
      <c r="AH1048" s="49"/>
    </row>
    <row r="1049" spans="34:34">
      <c r="AH1049" s="49"/>
    </row>
    <row r="1050" spans="34:34">
      <c r="AH1050" s="49"/>
    </row>
    <row r="1051" spans="34:34">
      <c r="AH1051" s="49"/>
    </row>
    <row r="1052" spans="34:34">
      <c r="AH1052" s="49"/>
    </row>
    <row r="1053" spans="34:34">
      <c r="AH1053" s="49"/>
    </row>
    <row r="1054" spans="34:34">
      <c r="AH1054" s="49"/>
    </row>
    <row r="1055" spans="34:34">
      <c r="AH1055" s="49"/>
    </row>
    <row r="1056" spans="34:34">
      <c r="AH1056" s="49"/>
    </row>
    <row r="1057" spans="34:34">
      <c r="AH1057" s="49"/>
    </row>
    <row r="1058" spans="34:34">
      <c r="AH1058" s="49"/>
    </row>
    <row r="1059" spans="34:34">
      <c r="AH1059" s="49"/>
    </row>
    <row r="1060" spans="34:34">
      <c r="AH1060" s="49"/>
    </row>
    <row r="1061" spans="34:34">
      <c r="AH1061" s="49"/>
    </row>
    <row r="1062" spans="34:34">
      <c r="AH1062" s="49"/>
    </row>
    <row r="1063" spans="34:34">
      <c r="AH1063" s="49"/>
    </row>
    <row r="1064" spans="34:34">
      <c r="AH1064" s="49"/>
    </row>
    <row r="1065" spans="34:34">
      <c r="AH1065" s="49"/>
    </row>
    <row r="1066" spans="34:34">
      <c r="AH1066" s="49"/>
    </row>
    <row r="1067" spans="34:34">
      <c r="AH1067" s="49"/>
    </row>
    <row r="1068" spans="34:34">
      <c r="AH1068" s="49"/>
    </row>
    <row r="1069" spans="34:34">
      <c r="AH1069" s="49"/>
    </row>
    <row r="1070" spans="34:34">
      <c r="AH1070" s="49"/>
    </row>
    <row r="1071" spans="34:34">
      <c r="AH1071" s="49"/>
    </row>
    <row r="1072" spans="34:34">
      <c r="AH1072" s="49"/>
    </row>
    <row r="1073" spans="8:34">
      <c r="AH1073" s="49"/>
    </row>
    <row r="1074" spans="8:34">
      <c r="AH1074" s="49"/>
    </row>
    <row r="1075" spans="8:34">
      <c r="AH1075" s="49"/>
    </row>
    <row r="1076" spans="8:34">
      <c r="AH1076" s="49"/>
    </row>
    <row r="1077" spans="8:34">
      <c r="AH1077" s="49"/>
    </row>
    <row r="1078" spans="8:34">
      <c r="AH1078" s="49"/>
    </row>
    <row r="1079" spans="8:34">
      <c r="AH1079" s="49"/>
    </row>
    <row r="1080" spans="8:34">
      <c r="AH1080" s="49"/>
    </row>
    <row r="1081" spans="8:34">
      <c r="AH1081" s="49"/>
    </row>
    <row r="1082" spans="8:34">
      <c r="AH1082" s="49"/>
    </row>
    <row r="1083" spans="8:34">
      <c r="AH1083" s="49"/>
    </row>
    <row r="1084" spans="8:34">
      <c r="AH1084" s="49"/>
    </row>
    <row r="1087" spans="8:34">
      <c r="H1087" s="469"/>
    </row>
  </sheetData>
  <phoneticPr fontId="13" type="noConversion"/>
  <conditionalFormatting sqref="A2:A6">
    <cfRule type="duplicateValues" dxfId="100" priority="40"/>
    <cfRule type="duplicateValues" dxfId="99" priority="38"/>
  </conditionalFormatting>
  <conditionalFormatting sqref="A7:A8">
    <cfRule type="duplicateValues" dxfId="98" priority="41"/>
  </conditionalFormatting>
  <conditionalFormatting sqref="A7:A9">
    <cfRule type="duplicateValues" dxfId="97" priority="42"/>
  </conditionalFormatting>
  <conditionalFormatting sqref="A95">
    <cfRule type="duplicateValues" dxfId="96" priority="36"/>
    <cfRule type="duplicateValues" dxfId="95" priority="35"/>
  </conditionalFormatting>
  <conditionalFormatting sqref="A104">
    <cfRule type="duplicateValues" dxfId="94" priority="475"/>
    <cfRule type="duplicateValues" dxfId="93" priority="474"/>
  </conditionalFormatting>
  <conditionalFormatting sqref="A118">
    <cfRule type="duplicateValues" dxfId="92" priority="31"/>
    <cfRule type="duplicateValues" dxfId="91" priority="30"/>
  </conditionalFormatting>
  <conditionalFormatting sqref="A278">
    <cfRule type="duplicateValues" dxfId="90" priority="26"/>
    <cfRule type="duplicateValues" dxfId="89" priority="25"/>
  </conditionalFormatting>
  <conditionalFormatting sqref="A291">
    <cfRule type="duplicateValues" dxfId="88" priority="23"/>
    <cfRule type="duplicateValues" dxfId="87" priority="24"/>
  </conditionalFormatting>
  <conditionalFormatting sqref="A293">
    <cfRule type="duplicateValues" dxfId="86" priority="18"/>
    <cfRule type="duplicateValues" dxfId="85" priority="17"/>
  </conditionalFormatting>
  <conditionalFormatting sqref="A351">
    <cfRule type="duplicateValues" dxfId="84" priority="16"/>
    <cfRule type="duplicateValues" dxfId="83" priority="15"/>
  </conditionalFormatting>
  <conditionalFormatting sqref="A355">
    <cfRule type="duplicateValues" dxfId="82" priority="14"/>
    <cfRule type="duplicateValues" dxfId="81" priority="13"/>
  </conditionalFormatting>
  <conditionalFormatting sqref="A464">
    <cfRule type="duplicateValues" dxfId="80" priority="12"/>
    <cfRule type="duplicateValues" dxfId="79" priority="11"/>
  </conditionalFormatting>
  <conditionalFormatting sqref="A480">
    <cfRule type="duplicateValues" dxfId="78" priority="7"/>
    <cfRule type="duplicateValues" dxfId="77" priority="8"/>
  </conditionalFormatting>
  <conditionalFormatting sqref="A850:A853">
    <cfRule type="duplicateValues" dxfId="76" priority="5"/>
    <cfRule type="duplicateValues" dxfId="75" priority="6"/>
  </conditionalFormatting>
  <conditionalFormatting sqref="A854">
    <cfRule type="duplicateValues" dxfId="74" priority="2"/>
    <cfRule type="duplicateValues" dxfId="73" priority="1"/>
  </conditionalFormatting>
  <conditionalFormatting sqref="A934:A1048576 A677:A678 A306:A350 A96:A97 A1 A7:A94 A99:A103 A105:A117 A119:A159 A161:A274 A352:A354 A356:A413 A467:A468 A415:A463 A470:A479 A481:A534 A536:A616 A629:A645 A650 A652 A662:A669 A680:A681 A683:A722 A724:A729 A731:A732 A734:A801 A803:A849 A855:A864 A866:A869 A911:A913 A871:A909 A915:A930">
    <cfRule type="duplicateValues" dxfId="72" priority="424"/>
    <cfRule type="duplicateValues" dxfId="71" priority="425"/>
  </conditionalFormatting>
  <conditionalFormatting sqref="E104">
    <cfRule type="duplicateValues" dxfId="70" priority="32"/>
  </conditionalFormatting>
  <conditionalFormatting sqref="F3:F6 G2">
    <cfRule type="duplicateValues" dxfId="69" priority="39"/>
  </conditionalFormatting>
  <conditionalFormatting sqref="F95">
    <cfRule type="duplicateValues" dxfId="68" priority="37"/>
  </conditionalFormatting>
  <conditionalFormatting sqref="F248">
    <cfRule type="duplicateValues" dxfId="67" priority="29"/>
  </conditionalFormatting>
  <conditionalFormatting sqref="F292">
    <cfRule type="duplicateValues" dxfId="66" priority="20"/>
  </conditionalFormatting>
  <conditionalFormatting sqref="F293">
    <cfRule type="duplicateValues" dxfId="65" priority="19"/>
  </conditionalFormatting>
  <conditionalFormatting sqref="F464">
    <cfRule type="duplicateValues" dxfId="64" priority="10"/>
  </conditionalFormatting>
  <conditionalFormatting sqref="F480">
    <cfRule type="duplicateValues" dxfId="63" priority="9"/>
  </conditionalFormatting>
  <conditionalFormatting sqref="F850:F853">
    <cfRule type="duplicateValues" dxfId="62" priority="4"/>
  </conditionalFormatting>
  <conditionalFormatting sqref="F854">
    <cfRule type="duplicateValues" dxfId="61" priority="3"/>
  </conditionalFormatting>
  <conditionalFormatting sqref="F934:F1048576 F612:F645 F249:F273 F96:F97 F1 F7:F94 F99:F103 F105:F247 F305:F321 F326 F328 F334 F337 F340:F341 F344 F346 F352:F353 F356:F357 F361 F366:F382 F391:F392 F397 F403:F413 F419 F422:F430 F470:F471 F443:F463 F474:F479 F481:F496 F506 F512:F537 F544 F549:F556 F562:F609 F647 F650 F662:F665 F667:F827 F829:F849 F855:F862 F864:F869 J872:J874 J876:J881 F882:F930">
    <cfRule type="duplicateValues" dxfId="60" priority="473"/>
  </conditionalFormatting>
  <dataValidations count="1">
    <dataValidation type="list" allowBlank="1" showInputMessage="1" showErrorMessage="1" sqref="H99:H103 H105:H129 H2:H97" xr:uid="{D29AB035-D5E9-4E5E-8660-FF44DB2724CC}">
      <formula1>"Abitibi-Témiscamingue, Bas-Saint-Laurent, Capitale-Nationale, Centre-du-Québec, Chaudière-Appalaches, Côte-Nord, Estrie, Gaspésie-Îles-de-la-Madeleine, Lanaudière, Laurentides, Laval, Mauricie, Montérégie, Montréal, Nord-du-Québec, Outaouais, Saguenay-LSJ"</formula1>
    </dataValidation>
  </dataValidations>
  <hyperlinks>
    <hyperlink ref="F848" r:id="rId1" display="https://www.registrefoncier.gouv.qc.ca/SIRF/Script/13_01_00/pf_13_01_afich_docmn.asp?NOM_CONTX=D_FICHE_IMOBL&amp;VA_IDENT_AFICH=NULL&amp;NO_SEQNT_LOT=109497312&amp;CD_CATGR_PRODT_SERVC=CON01&amp;NO_SEQNT_GROUP_REQT_CLIEN=NULL&amp;NO_SEQNT_REQT_CLIEN=NULL&amp;IN_ORDRE_AFICH=C&amp;IN_CERTF_NON_CERTF=N&amp;DT_DEBUT=NULL&amp;CD_MODLT_CONSL=NULL&amp;NO_SEQNT_LOT_HISTR_CADST=NULL&amp;NO_BLOC=1" xr:uid="{B99A7903-51EE-EC40-A984-6426A2AE3D64}"/>
  </hyperlinks>
  <pageMargins left="0.7" right="0.7" top="0.75" bottom="0.75" header="0.3" footer="0.3"/>
  <pageSetup orientation="portrait"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CB3B4-151C-4536-A331-97CA67F68517}">
  <sheetPr>
    <tabColor theme="3"/>
    <outlinePr summaryBelow="0" summaryRight="0"/>
  </sheetPr>
  <dimension ref="A1:BX932"/>
  <sheetViews>
    <sheetView zoomScale="80" zoomScaleNormal="80" workbookViewId="0">
      <pane ySplit="1" topLeftCell="A2" activePane="bottomLeft" state="frozen"/>
      <selection activeCell="J1" sqref="J1"/>
      <selection pane="bottomLeft" activeCell="O1" sqref="O1"/>
    </sheetView>
  </sheetViews>
  <sheetFormatPr baseColWidth="10" defaultColWidth="9.140625" defaultRowHeight="15" outlineLevelCol="1"/>
  <cols>
    <col min="1" max="1" width="26.140625" style="196" customWidth="1"/>
    <col min="2" max="2" width="20.42578125" customWidth="1" outlineLevel="1"/>
    <col min="3" max="3" width="19.85546875" style="317" customWidth="1" outlineLevel="1"/>
    <col min="4" max="4" width="24.85546875" customWidth="1" outlineLevel="1"/>
    <col min="5" max="5" width="19.42578125" customWidth="1" outlineLevel="1"/>
    <col min="6" max="6" width="29" customWidth="1" outlineLevel="1"/>
    <col min="7" max="7" width="17.140625" style="94" customWidth="1" outlineLevel="1"/>
    <col min="8" max="8" width="12.85546875" style="94" customWidth="1" outlineLevel="1"/>
    <col min="9" max="9" width="12.85546875" customWidth="1" outlineLevel="1"/>
    <col min="10" max="10" width="17.85546875" customWidth="1" outlineLevel="1"/>
    <col min="11" max="11" width="16.42578125" customWidth="1" outlineLevel="1"/>
    <col min="12" max="13" width="14.140625" style="96" customWidth="1" outlineLevel="1"/>
    <col min="14" max="14" width="18.85546875" style="63" customWidth="1"/>
    <col min="15" max="15" width="8.42578125" customWidth="1" outlineLevel="1"/>
    <col min="16" max="16" width="14.42578125" customWidth="1" outlineLevel="1"/>
    <col min="17" max="17" width="10.42578125" style="436" customWidth="1" outlineLevel="1"/>
    <col min="18" max="18" width="9.85546875" customWidth="1" outlineLevel="1"/>
    <col min="19" max="19" width="10.42578125" customWidth="1"/>
    <col min="20" max="20" width="14.85546875" customWidth="1" outlineLevel="1"/>
    <col min="21" max="21" width="8.140625" customWidth="1"/>
    <col min="22" max="23" width="10.85546875" customWidth="1" outlineLevel="1"/>
    <col min="24" max="24" width="12.85546875" style="94" customWidth="1" outlineLevel="1"/>
    <col min="25" max="25" width="10.42578125" style="63" customWidth="1"/>
    <col min="26" max="26" width="9.85546875" style="63" customWidth="1"/>
    <col min="27" max="27" width="12.42578125" style="97" customWidth="1"/>
    <col min="28" max="28" width="6.85546875" customWidth="1" outlineLevel="1"/>
    <col min="29" max="29" width="9" style="65" customWidth="1" outlineLevel="1"/>
    <col min="30" max="30" width="12.140625" style="94" customWidth="1" outlineLevel="1"/>
    <col min="31" max="31" width="16" style="94" customWidth="1" outlineLevel="1"/>
    <col min="32" max="32" width="10.42578125" style="63" customWidth="1"/>
    <col min="33" max="33" width="12.85546875" style="94" customWidth="1" outlineLevel="1"/>
    <col min="34" max="34" width="13.42578125" customWidth="1" outlineLevel="1"/>
    <col min="35" max="35" width="15.42578125" customWidth="1" outlineLevel="1"/>
    <col min="36" max="36" width="13.42578125" customWidth="1" outlineLevel="1"/>
    <col min="37" max="37" width="34.42578125" customWidth="1"/>
    <col min="38" max="38" width="19.85546875" customWidth="1" outlineLevel="1"/>
    <col min="39" max="39" width="25.140625" customWidth="1" outlineLevel="1"/>
  </cols>
  <sheetData>
    <row r="1" spans="1:76" s="34" customFormat="1" ht="53.25" customHeight="1">
      <c r="A1" s="225" t="s">
        <v>76</v>
      </c>
      <c r="B1" s="28" t="s">
        <v>8657</v>
      </c>
      <c r="C1" s="315" t="s">
        <v>77</v>
      </c>
      <c r="D1" s="28" t="s">
        <v>0</v>
      </c>
      <c r="E1" s="28" t="s">
        <v>1</v>
      </c>
      <c r="F1" s="28" t="s">
        <v>2</v>
      </c>
      <c r="G1" s="109" t="s">
        <v>4576</v>
      </c>
      <c r="H1" s="109" t="s">
        <v>79</v>
      </c>
      <c r="I1" s="28" t="s">
        <v>3</v>
      </c>
      <c r="J1" s="28" t="s">
        <v>4</v>
      </c>
      <c r="K1" s="28" t="s">
        <v>80</v>
      </c>
      <c r="L1" s="28" t="s">
        <v>5</v>
      </c>
      <c r="M1" s="28" t="s">
        <v>6</v>
      </c>
      <c r="N1" s="299" t="s">
        <v>81</v>
      </c>
      <c r="O1" s="28" t="s">
        <v>8659</v>
      </c>
      <c r="P1" s="28" t="s">
        <v>7</v>
      </c>
      <c r="Q1" s="430" t="s">
        <v>82</v>
      </c>
      <c r="R1" s="28" t="s">
        <v>83</v>
      </c>
      <c r="S1" s="28" t="s">
        <v>85</v>
      </c>
      <c r="T1" s="28" t="s">
        <v>86</v>
      </c>
      <c r="U1" s="28" t="s">
        <v>4578</v>
      </c>
      <c r="V1" s="28" t="s">
        <v>4579</v>
      </c>
      <c r="W1" s="28" t="s">
        <v>4580</v>
      </c>
      <c r="X1" s="28" t="s">
        <v>4581</v>
      </c>
      <c r="Y1" s="110" t="s">
        <v>84</v>
      </c>
      <c r="Z1" s="110" t="s">
        <v>4582</v>
      </c>
      <c r="AA1" s="111" t="s">
        <v>4583</v>
      </c>
      <c r="AB1" s="28" t="s">
        <v>4584</v>
      </c>
      <c r="AC1" s="108" t="s">
        <v>4585</v>
      </c>
      <c r="AD1" s="109" t="s">
        <v>4586</v>
      </c>
      <c r="AE1" s="28" t="s">
        <v>4587</v>
      </c>
      <c r="AF1" s="110" t="s">
        <v>91</v>
      </c>
      <c r="AG1" s="109" t="s">
        <v>92</v>
      </c>
      <c r="AH1" s="28" t="s">
        <v>93</v>
      </c>
      <c r="AI1" s="28" t="s">
        <v>4588</v>
      </c>
      <c r="AJ1" s="109" t="s">
        <v>4589</v>
      </c>
      <c r="AK1" s="29" t="s">
        <v>13</v>
      </c>
      <c r="AL1" s="29" t="s">
        <v>94</v>
      </c>
      <c r="AM1" s="29" t="s">
        <v>15</v>
      </c>
    </row>
    <row r="2" spans="1:76" s="34" customFormat="1" ht="53.25" hidden="1" customHeight="1">
      <c r="A2" s="357">
        <v>22309676</v>
      </c>
      <c r="B2" s="294"/>
      <c r="C2" s="358">
        <v>42507</v>
      </c>
      <c r="D2" s="340" t="s">
        <v>4590</v>
      </c>
      <c r="E2" s="340" t="s">
        <v>4591</v>
      </c>
      <c r="F2" s="294">
        <v>5433069</v>
      </c>
      <c r="G2" s="338">
        <v>36000</v>
      </c>
      <c r="H2" s="338"/>
      <c r="I2" s="294" t="s">
        <v>747</v>
      </c>
      <c r="J2" s="294" t="s">
        <v>1390</v>
      </c>
      <c r="K2" s="294" t="s">
        <v>4592</v>
      </c>
      <c r="L2" s="338" t="s">
        <v>4593</v>
      </c>
      <c r="M2" s="338" t="s">
        <v>4594</v>
      </c>
      <c r="N2" s="278">
        <v>6.25</v>
      </c>
      <c r="O2" s="294" t="s">
        <v>36</v>
      </c>
      <c r="P2" s="340" t="s">
        <v>206</v>
      </c>
      <c r="Q2" s="431">
        <v>4</v>
      </c>
      <c r="R2" s="340" t="s">
        <v>4595</v>
      </c>
      <c r="S2" s="395">
        <f>4.7+0.8</f>
        <v>5.5</v>
      </c>
      <c r="T2" s="294" t="s">
        <v>4596</v>
      </c>
      <c r="U2" s="294"/>
      <c r="V2" s="294"/>
      <c r="W2" s="294"/>
      <c r="X2" s="338"/>
      <c r="Y2" s="278"/>
      <c r="Z2" s="278"/>
      <c r="AA2" s="348"/>
      <c r="AB2" s="294"/>
      <c r="AC2" s="350"/>
      <c r="AD2" s="338"/>
      <c r="AE2" s="339"/>
      <c r="AF2" s="278"/>
      <c r="AG2" s="338"/>
      <c r="AH2" s="294"/>
      <c r="AI2" s="294"/>
      <c r="AJ2" s="294"/>
      <c r="AK2" s="340" t="s">
        <v>4597</v>
      </c>
      <c r="AL2" s="340"/>
      <c r="AM2" s="338">
        <f t="shared" ref="AM2:AM9" si="0">G2/N2</f>
        <v>5760</v>
      </c>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row>
    <row r="3" spans="1:76" s="34" customFormat="1" ht="53.25" hidden="1" customHeight="1">
      <c r="A3" s="357">
        <v>22859457</v>
      </c>
      <c r="B3" s="375"/>
      <c r="C3" s="378">
        <v>42696</v>
      </c>
      <c r="D3" s="380" t="s">
        <v>4598</v>
      </c>
      <c r="E3" s="380" t="s">
        <v>4599</v>
      </c>
      <c r="F3" s="375">
        <v>5401041</v>
      </c>
      <c r="G3" s="383">
        <v>323000</v>
      </c>
      <c r="H3" s="383"/>
      <c r="I3" s="375" t="s">
        <v>679</v>
      </c>
      <c r="J3" s="375" t="s">
        <v>680</v>
      </c>
      <c r="K3" s="375" t="s">
        <v>4600</v>
      </c>
      <c r="L3" s="383" t="s">
        <v>4601</v>
      </c>
      <c r="M3" s="383" t="s">
        <v>4602</v>
      </c>
      <c r="N3" s="390">
        <f>524558.875/10000</f>
        <v>52.455887500000003</v>
      </c>
      <c r="O3" s="375" t="s">
        <v>18</v>
      </c>
      <c r="P3" s="380" t="s">
        <v>154</v>
      </c>
      <c r="Q3" s="432">
        <v>3</v>
      </c>
      <c r="R3" s="380" t="s">
        <v>4604</v>
      </c>
      <c r="S3" s="396">
        <f>1+0.7+1.8+3.2+1.8+0.8+3.4</f>
        <v>12.700000000000001</v>
      </c>
      <c r="T3" s="294" t="s">
        <v>4596</v>
      </c>
      <c r="U3" s="375"/>
      <c r="V3" s="375"/>
      <c r="W3" s="375"/>
      <c r="X3" s="383"/>
      <c r="Y3" s="390">
        <f>Terre!$N34-Terre!$S34</f>
        <v>10.27</v>
      </c>
      <c r="Z3" s="390"/>
      <c r="AA3" s="399"/>
      <c r="AB3" s="375"/>
      <c r="AC3" s="402"/>
      <c r="AD3" s="383"/>
      <c r="AE3" s="405"/>
      <c r="AF3" s="390"/>
      <c r="AG3" s="383"/>
      <c r="AH3" s="375"/>
      <c r="AI3" s="375"/>
      <c r="AJ3" s="375"/>
      <c r="AK3" s="340" t="s">
        <v>4605</v>
      </c>
      <c r="AL3" s="340"/>
      <c r="AM3" s="338">
        <f t="shared" si="0"/>
        <v>6157.5547644675726</v>
      </c>
      <c r="AN3" s="43"/>
      <c r="AO3" s="43"/>
      <c r="AP3" s="43"/>
      <c r="AQ3" s="43"/>
      <c r="AR3" s="43"/>
      <c r="AS3" s="43"/>
      <c r="AT3" s="43"/>
      <c r="AU3" s="43"/>
      <c r="AV3" s="43"/>
      <c r="AW3" s="43"/>
      <c r="AX3" s="43"/>
      <c r="AY3" s="43"/>
      <c r="AZ3" s="43"/>
      <c r="BA3" s="43"/>
      <c r="BB3" s="43"/>
      <c r="BC3" s="43"/>
      <c r="BD3" s="43"/>
      <c r="BE3" s="43"/>
      <c r="BF3" s="43"/>
      <c r="BG3" s="43"/>
      <c r="BH3" s="43"/>
      <c r="BI3" s="43"/>
      <c r="BJ3" s="43"/>
      <c r="BK3" s="43"/>
      <c r="BL3" s="43"/>
      <c r="BM3" s="43"/>
      <c r="BN3" s="43"/>
      <c r="BO3" s="43"/>
      <c r="BP3" s="43"/>
      <c r="BQ3" s="43"/>
      <c r="BR3" s="43"/>
      <c r="BS3" s="43"/>
      <c r="BT3" s="43"/>
      <c r="BU3" s="43"/>
      <c r="BV3" s="43"/>
      <c r="BW3" s="43"/>
      <c r="BX3" s="43"/>
    </row>
    <row r="4" spans="1:76" s="34" customFormat="1" ht="53.25" hidden="1" customHeight="1">
      <c r="A4" s="357">
        <v>23128070</v>
      </c>
      <c r="B4" s="294"/>
      <c r="C4" s="358">
        <v>42791</v>
      </c>
      <c r="D4" s="340" t="s">
        <v>4606</v>
      </c>
      <c r="E4" s="340" t="s">
        <v>4607</v>
      </c>
      <c r="F4" s="294" t="s">
        <v>4608</v>
      </c>
      <c r="G4" s="338">
        <v>430000</v>
      </c>
      <c r="H4" s="338"/>
      <c r="I4" s="294" t="s">
        <v>679</v>
      </c>
      <c r="J4" s="294" t="s">
        <v>680</v>
      </c>
      <c r="K4" s="294" t="s">
        <v>4609</v>
      </c>
      <c r="L4" s="338" t="s">
        <v>4610</v>
      </c>
      <c r="M4" s="338" t="s">
        <v>4611</v>
      </c>
      <c r="N4" s="278">
        <v>70.099999999999994</v>
      </c>
      <c r="O4" s="294" t="s">
        <v>18</v>
      </c>
      <c r="P4" s="340" t="s">
        <v>154</v>
      </c>
      <c r="Q4" s="431">
        <v>3</v>
      </c>
      <c r="R4" s="340" t="s">
        <v>4612</v>
      </c>
      <c r="S4" s="346">
        <f>48.4+9</f>
        <v>57.4</v>
      </c>
      <c r="T4" s="294" t="s">
        <v>4596</v>
      </c>
      <c r="U4" s="294"/>
      <c r="V4" s="294"/>
      <c r="W4" s="294"/>
      <c r="X4" s="338"/>
      <c r="Y4" s="278">
        <f>6.4+0.2</f>
        <v>6.6000000000000005</v>
      </c>
      <c r="Z4" s="278"/>
      <c r="AA4" s="348"/>
      <c r="AB4" s="294"/>
      <c r="AC4" s="350"/>
      <c r="AD4" s="338"/>
      <c r="AE4" s="339"/>
      <c r="AF4" s="278"/>
      <c r="AG4" s="338"/>
      <c r="AH4" s="294"/>
      <c r="AI4" s="294"/>
      <c r="AJ4" s="294"/>
      <c r="AK4" s="340" t="s">
        <v>4613</v>
      </c>
      <c r="AL4" s="340"/>
      <c r="AM4" s="150">
        <f t="shared" si="0"/>
        <v>6134.0941512125537</v>
      </c>
      <c r="AN4" s="43"/>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3"/>
      <c r="BQ4" s="43"/>
      <c r="BR4" s="43"/>
      <c r="BS4" s="43"/>
      <c r="BT4" s="43"/>
      <c r="BU4" s="43"/>
      <c r="BV4" s="43"/>
      <c r="BW4" s="43"/>
      <c r="BX4" s="43"/>
    </row>
    <row r="5" spans="1:76" s="34" customFormat="1" ht="53.25" hidden="1" customHeight="1">
      <c r="A5" s="357">
        <v>24059816</v>
      </c>
      <c r="B5" s="294">
        <v>12936685</v>
      </c>
      <c r="C5" s="358">
        <v>43273</v>
      </c>
      <c r="D5" s="340" t="s">
        <v>4614</v>
      </c>
      <c r="E5" s="340" t="s">
        <v>4615</v>
      </c>
      <c r="F5" s="294">
        <v>5439978</v>
      </c>
      <c r="G5" s="338">
        <v>60000</v>
      </c>
      <c r="H5" s="338"/>
      <c r="I5" s="294" t="s">
        <v>679</v>
      </c>
      <c r="J5" s="294" t="s">
        <v>4616</v>
      </c>
      <c r="K5" s="294" t="s">
        <v>4617</v>
      </c>
      <c r="L5" s="338" t="s">
        <v>4618</v>
      </c>
      <c r="M5" s="338" t="s">
        <v>4619</v>
      </c>
      <c r="N5" s="278">
        <f>1391568.5/10.7639/10000</f>
        <v>12.928106912921898</v>
      </c>
      <c r="O5" s="294" t="s">
        <v>18</v>
      </c>
      <c r="P5" s="340" t="s">
        <v>3970</v>
      </c>
      <c r="Q5" s="431">
        <v>5</v>
      </c>
      <c r="R5" s="340" t="s">
        <v>4620</v>
      </c>
      <c r="S5" s="397">
        <f>Terre!$N62-Terre!$Y62</f>
        <v>94.1</v>
      </c>
      <c r="T5" s="294" t="s">
        <v>3124</v>
      </c>
      <c r="U5" s="294"/>
      <c r="V5" s="294"/>
      <c r="W5" s="294"/>
      <c r="X5" s="338"/>
      <c r="Y5" s="278">
        <v>3.1</v>
      </c>
      <c r="Z5" s="278"/>
      <c r="AA5" s="348"/>
      <c r="AB5" s="294"/>
      <c r="AC5" s="350"/>
      <c r="AD5" s="338"/>
      <c r="AE5" s="339"/>
      <c r="AF5" s="278"/>
      <c r="AG5" s="338"/>
      <c r="AH5" s="294"/>
      <c r="AI5" s="294"/>
      <c r="AJ5" s="294"/>
      <c r="AK5" s="340" t="s">
        <v>4621</v>
      </c>
      <c r="AL5" s="340"/>
      <c r="AM5" s="338">
        <f t="shared" si="0"/>
        <v>4641.0507280094362</v>
      </c>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3"/>
      <c r="BQ5" s="43"/>
      <c r="BR5" s="43"/>
      <c r="BS5" s="43"/>
      <c r="BT5" s="43"/>
      <c r="BU5" s="43"/>
      <c r="BV5" s="43"/>
      <c r="BW5" s="43"/>
      <c r="BX5" s="43"/>
    </row>
    <row r="6" spans="1:76" s="34" customFormat="1" ht="53.25" hidden="1" customHeight="1">
      <c r="A6" s="357">
        <v>24386780</v>
      </c>
      <c r="B6" s="294"/>
      <c r="C6" s="358">
        <v>43490</v>
      </c>
      <c r="D6" s="340" t="s">
        <v>4622</v>
      </c>
      <c r="E6" s="340" t="s">
        <v>4623</v>
      </c>
      <c r="F6" s="359" t="s">
        <v>4624</v>
      </c>
      <c r="G6" s="338">
        <v>100000</v>
      </c>
      <c r="H6" s="338"/>
      <c r="I6" s="294" t="s">
        <v>170</v>
      </c>
      <c r="J6" s="294" t="s">
        <v>4625</v>
      </c>
      <c r="K6" s="294" t="s">
        <v>4626</v>
      </c>
      <c r="L6" s="295">
        <v>49.140934000000001</v>
      </c>
      <c r="M6" s="360">
        <v>-68.205761999999993</v>
      </c>
      <c r="N6" s="278">
        <v>15</v>
      </c>
      <c r="O6" s="294" t="s">
        <v>18</v>
      </c>
      <c r="P6" s="340" t="s">
        <v>35</v>
      </c>
      <c r="Q6" s="431">
        <v>4</v>
      </c>
      <c r="R6" s="340" t="s">
        <v>4627</v>
      </c>
      <c r="S6" s="346">
        <v>11.4</v>
      </c>
      <c r="T6" s="294" t="s">
        <v>4596</v>
      </c>
      <c r="U6" s="294">
        <v>0</v>
      </c>
      <c r="V6" s="294" t="s">
        <v>4628</v>
      </c>
      <c r="W6" s="294"/>
      <c r="X6" s="338"/>
      <c r="Y6" s="278">
        <v>0</v>
      </c>
      <c r="Z6" s="278"/>
      <c r="AA6" s="348"/>
      <c r="AB6" s="294"/>
      <c r="AC6" s="350"/>
      <c r="AD6" s="338"/>
      <c r="AE6" s="339"/>
      <c r="AF6" s="278"/>
      <c r="AG6" s="338"/>
      <c r="AH6" s="294"/>
      <c r="AI6" s="294"/>
      <c r="AJ6" s="294"/>
      <c r="AK6" s="340" t="s">
        <v>4629</v>
      </c>
      <c r="AL6" s="340"/>
      <c r="AM6" s="338">
        <f t="shared" si="0"/>
        <v>6666.666666666667</v>
      </c>
      <c r="AN6" s="43"/>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3"/>
      <c r="BQ6" s="43"/>
      <c r="BR6" s="43"/>
      <c r="BS6" s="43"/>
      <c r="BT6" s="43"/>
      <c r="BU6" s="43"/>
      <c r="BV6" s="43"/>
      <c r="BW6" s="43"/>
      <c r="BX6" s="43"/>
    </row>
    <row r="7" spans="1:76" s="34" customFormat="1" ht="53.25" hidden="1" customHeight="1">
      <c r="A7" s="357">
        <v>24495986</v>
      </c>
      <c r="B7" s="294"/>
      <c r="C7" s="358">
        <v>43552</v>
      </c>
      <c r="D7" s="340" t="s">
        <v>4630</v>
      </c>
      <c r="E7" s="340" t="s">
        <v>4631</v>
      </c>
      <c r="F7" s="294" t="s">
        <v>4632</v>
      </c>
      <c r="G7" s="338">
        <v>1992000</v>
      </c>
      <c r="H7" s="338"/>
      <c r="I7" s="294" t="s">
        <v>747</v>
      </c>
      <c r="J7" s="294" t="s">
        <v>1390</v>
      </c>
      <c r="K7" s="294" t="s">
        <v>4633</v>
      </c>
      <c r="L7" s="338" t="s">
        <v>4634</v>
      </c>
      <c r="M7" s="338" t="s">
        <v>4635</v>
      </c>
      <c r="N7" s="278">
        <f>(137446.3+168074.1+2208+183126+24253.2+137398.2+60183.3+10222.5)/10000</f>
        <v>72.291160000000005</v>
      </c>
      <c r="O7" s="294" t="s">
        <v>18</v>
      </c>
      <c r="P7" s="340" t="s">
        <v>206</v>
      </c>
      <c r="Q7" s="431">
        <v>3</v>
      </c>
      <c r="R7" s="340" t="s">
        <v>4595</v>
      </c>
      <c r="S7" s="346">
        <f>6.7+17+45.5+13.3-12.1</f>
        <v>70.400000000000006</v>
      </c>
      <c r="T7" s="294" t="s">
        <v>4596</v>
      </c>
      <c r="U7" s="294">
        <f>16.81+18.31+13.74</f>
        <v>48.86</v>
      </c>
      <c r="V7" s="294"/>
      <c r="W7" s="294"/>
      <c r="X7" s="338"/>
      <c r="Y7" s="278"/>
      <c r="Z7" s="278"/>
      <c r="AA7" s="348"/>
      <c r="AB7" s="294"/>
      <c r="AC7" s="350"/>
      <c r="AD7" s="338"/>
      <c r="AE7" s="339"/>
      <c r="AF7" s="278"/>
      <c r="AG7" s="338"/>
      <c r="AH7" s="294"/>
      <c r="AI7" s="294"/>
      <c r="AJ7" s="294"/>
      <c r="AK7" s="340" t="s">
        <v>4636</v>
      </c>
      <c r="AL7" s="340"/>
      <c r="AM7" s="338">
        <f t="shared" si="0"/>
        <v>27555.23635254988</v>
      </c>
      <c r="AN7" s="43"/>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3"/>
      <c r="BQ7" s="43"/>
      <c r="BR7" s="43"/>
      <c r="BS7" s="43"/>
      <c r="BT7" s="43"/>
      <c r="BU7" s="43"/>
      <c r="BV7" s="43"/>
      <c r="BW7" s="43"/>
      <c r="BX7" s="43"/>
    </row>
    <row r="8" spans="1:76" s="34" customFormat="1" ht="53.25" hidden="1" customHeight="1">
      <c r="A8" s="357">
        <v>24718742</v>
      </c>
      <c r="B8" s="294"/>
      <c r="C8" s="358">
        <v>43643</v>
      </c>
      <c r="D8" s="340" t="s">
        <v>4637</v>
      </c>
      <c r="E8" s="340" t="s">
        <v>4638</v>
      </c>
      <c r="F8" s="294">
        <v>5744548</v>
      </c>
      <c r="G8" s="338">
        <v>50000</v>
      </c>
      <c r="H8" s="338"/>
      <c r="I8" s="294" t="s">
        <v>747</v>
      </c>
      <c r="J8" s="294" t="s">
        <v>929</v>
      </c>
      <c r="K8" s="294" t="s">
        <v>4639</v>
      </c>
      <c r="L8" s="295">
        <v>46.109543000000002</v>
      </c>
      <c r="M8" s="360" t="s">
        <v>4640</v>
      </c>
      <c r="N8" s="278">
        <v>6.06</v>
      </c>
      <c r="O8" s="294" t="s">
        <v>18</v>
      </c>
      <c r="P8" s="340" t="s">
        <v>206</v>
      </c>
      <c r="Q8" s="431">
        <v>3</v>
      </c>
      <c r="R8" s="340" t="s">
        <v>4595</v>
      </c>
      <c r="S8" s="346">
        <v>5.5</v>
      </c>
      <c r="T8" s="294" t="s">
        <v>4596</v>
      </c>
      <c r="U8" s="294"/>
      <c r="V8" s="294"/>
      <c r="W8" s="294"/>
      <c r="X8" s="338"/>
      <c r="Y8" s="278"/>
      <c r="Z8" s="278"/>
      <c r="AA8" s="348"/>
      <c r="AB8" s="294"/>
      <c r="AC8" s="350"/>
      <c r="AD8" s="338"/>
      <c r="AE8" s="339"/>
      <c r="AF8" s="278"/>
      <c r="AG8" s="338"/>
      <c r="AH8" s="294"/>
      <c r="AI8" s="294"/>
      <c r="AJ8" s="294"/>
      <c r="AK8" s="340" t="s">
        <v>4641</v>
      </c>
      <c r="AL8" s="340"/>
      <c r="AM8" s="338">
        <f t="shared" si="0"/>
        <v>8250.8250825082505</v>
      </c>
      <c r="AN8" s="43"/>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3"/>
      <c r="BQ8" s="43"/>
      <c r="BR8" s="43"/>
      <c r="BS8" s="43"/>
      <c r="BT8" s="43"/>
      <c r="BU8" s="43"/>
      <c r="BV8" s="43"/>
      <c r="BW8" s="43"/>
      <c r="BX8" s="43"/>
    </row>
    <row r="9" spans="1:76" s="34" customFormat="1" ht="53.25" hidden="1" customHeight="1">
      <c r="A9" s="371">
        <v>25326259</v>
      </c>
      <c r="B9" s="294"/>
      <c r="C9" s="358">
        <v>43724</v>
      </c>
      <c r="D9" s="340" t="s">
        <v>4642</v>
      </c>
      <c r="E9" s="340" t="s">
        <v>4643</v>
      </c>
      <c r="F9" s="340" t="s">
        <v>4644</v>
      </c>
      <c r="G9" s="338">
        <v>621500</v>
      </c>
      <c r="H9" s="338"/>
      <c r="I9" s="294" t="s">
        <v>74</v>
      </c>
      <c r="J9" s="294" t="s">
        <v>495</v>
      </c>
      <c r="K9" s="294" t="s">
        <v>4645</v>
      </c>
      <c r="L9" s="340" t="s">
        <v>4646</v>
      </c>
      <c r="M9" s="340" t="s">
        <v>4647</v>
      </c>
      <c r="N9" s="278">
        <f>10.59+12.89+55.29</f>
        <v>78.77</v>
      </c>
      <c r="O9" s="294" t="s">
        <v>36</v>
      </c>
      <c r="P9" s="340" t="s">
        <v>206</v>
      </c>
      <c r="Q9" s="431">
        <v>7</v>
      </c>
      <c r="R9" s="340" t="s">
        <v>4620</v>
      </c>
      <c r="S9" s="346">
        <f>10.59+9.49+24.99</f>
        <v>45.069999999999993</v>
      </c>
      <c r="T9" s="294" t="s">
        <v>3124</v>
      </c>
      <c r="U9" s="294">
        <v>0</v>
      </c>
      <c r="V9" s="294"/>
      <c r="W9" s="294"/>
      <c r="X9" s="338" t="s">
        <v>4603</v>
      </c>
      <c r="Y9" s="278">
        <f>3.4+30.3</f>
        <v>33.700000000000003</v>
      </c>
      <c r="Z9" s="278"/>
      <c r="AA9" s="348"/>
      <c r="AB9" s="294"/>
      <c r="AC9" s="350"/>
      <c r="AD9" s="338"/>
      <c r="AE9" s="339"/>
      <c r="AF9" s="278" t="s">
        <v>4648</v>
      </c>
      <c r="AG9" s="338">
        <f>102700+36000</f>
        <v>138700</v>
      </c>
      <c r="AH9" s="294" t="s">
        <v>4649</v>
      </c>
      <c r="AI9" s="294" t="s">
        <v>4650</v>
      </c>
      <c r="AJ9" s="294">
        <f>60800+22000</f>
        <v>82800</v>
      </c>
      <c r="AK9" s="340" t="s">
        <v>4651</v>
      </c>
      <c r="AL9" s="340"/>
      <c r="AM9" s="338">
        <f t="shared" si="0"/>
        <v>7890.0596673860609</v>
      </c>
      <c r="AN9" s="43" t="s">
        <v>4652</v>
      </c>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3"/>
      <c r="BQ9" s="43"/>
      <c r="BR9" s="43"/>
      <c r="BS9" s="43"/>
      <c r="BT9" s="43"/>
      <c r="BU9" s="43"/>
      <c r="BV9" s="43"/>
      <c r="BW9" s="43"/>
      <c r="BX9" s="43"/>
    </row>
    <row r="10" spans="1:76" s="34" customFormat="1" ht="53.25" customHeight="1">
      <c r="A10" s="186">
        <v>25161637</v>
      </c>
      <c r="B10" s="35"/>
      <c r="C10" s="316">
        <v>43846</v>
      </c>
      <c r="D10" s="36" t="s">
        <v>4653</v>
      </c>
      <c r="E10" s="36" t="s">
        <v>4654</v>
      </c>
      <c r="F10" s="38">
        <v>5456717</v>
      </c>
      <c r="G10" s="27" t="s">
        <v>4655</v>
      </c>
      <c r="H10" s="27"/>
      <c r="I10" s="35"/>
      <c r="J10" s="35" t="s">
        <v>4656</v>
      </c>
      <c r="K10" s="35">
        <v>0</v>
      </c>
      <c r="L10" s="104"/>
      <c r="M10" s="105"/>
      <c r="N10" s="39"/>
      <c r="O10" s="35"/>
      <c r="P10" s="40"/>
      <c r="Q10" s="433"/>
      <c r="R10" s="40"/>
      <c r="S10" s="283"/>
      <c r="T10" s="35"/>
      <c r="U10" s="35"/>
      <c r="V10" s="35"/>
      <c r="W10" s="35"/>
      <c r="X10" s="27"/>
      <c r="Y10" s="39"/>
      <c r="Z10" s="39"/>
      <c r="AA10" s="106"/>
      <c r="AB10" s="35"/>
      <c r="AC10" s="112"/>
      <c r="AD10" s="27"/>
      <c r="AE10" s="107"/>
      <c r="AF10" s="39"/>
      <c r="AG10" s="27"/>
      <c r="AH10" s="35"/>
      <c r="AI10" s="35"/>
      <c r="AJ10" s="35" t="s">
        <v>4657</v>
      </c>
      <c r="AK10" s="36"/>
      <c r="AL10" s="40"/>
      <c r="AM10" s="329" t="e">
        <f t="shared" ref="AM10:AM41" si="1">G10/N10</f>
        <v>#VALUE!</v>
      </c>
      <c r="AN10" s="43" t="s">
        <v>4652</v>
      </c>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3"/>
      <c r="BQ10" s="43"/>
      <c r="BR10" s="43"/>
      <c r="BS10" s="43"/>
      <c r="BT10" s="43"/>
      <c r="BU10" s="43"/>
      <c r="BV10" s="43"/>
      <c r="BW10" s="43"/>
      <c r="BX10" s="43"/>
    </row>
    <row r="11" spans="1:76" s="34" customFormat="1" ht="53.25" hidden="1" customHeight="1">
      <c r="A11" s="330">
        <v>25160283</v>
      </c>
      <c r="B11" s="281"/>
      <c r="C11" s="332">
        <v>43850</v>
      </c>
      <c r="D11" s="281" t="s">
        <v>4658</v>
      </c>
      <c r="E11" s="281" t="s">
        <v>4659</v>
      </c>
      <c r="F11" s="281" t="s">
        <v>4660</v>
      </c>
      <c r="G11" s="337">
        <v>1500000</v>
      </c>
      <c r="H11" s="337"/>
      <c r="I11" s="281"/>
      <c r="J11" s="281" t="s">
        <v>45</v>
      </c>
      <c r="K11" s="281" t="s">
        <v>4661</v>
      </c>
      <c r="L11" s="342"/>
      <c r="M11" s="342"/>
      <c r="N11" s="344">
        <f>0.24+36.65</f>
        <v>36.89</v>
      </c>
      <c r="O11" s="35" t="s">
        <v>36</v>
      </c>
      <c r="P11" s="281" t="s">
        <v>35</v>
      </c>
      <c r="Q11" s="434">
        <v>4</v>
      </c>
      <c r="R11" s="281" t="s">
        <v>4595</v>
      </c>
      <c r="S11" s="345">
        <f>10.7+18.8</f>
        <v>29.5</v>
      </c>
      <c r="T11" s="281"/>
      <c r="U11" s="281">
        <f>Table3[[#This Row],[Superficie cultivée (ha)]]</f>
        <v>29.5</v>
      </c>
      <c r="V11" s="281"/>
      <c r="W11" s="281"/>
      <c r="X11" s="337"/>
      <c r="Y11" s="344">
        <v>5</v>
      </c>
      <c r="Z11" s="344"/>
      <c r="AA11" s="347"/>
      <c r="AB11" s="281"/>
      <c r="AC11" s="349"/>
      <c r="AD11" s="337"/>
      <c r="AE11" s="337"/>
      <c r="AF11" s="344" t="s">
        <v>4662</v>
      </c>
      <c r="AG11" s="337"/>
      <c r="AH11" s="281"/>
      <c r="AI11" s="281"/>
      <c r="AJ11" s="281"/>
      <c r="AK11" s="281"/>
      <c r="AL11" s="281"/>
      <c r="AM11" s="27">
        <f t="shared" si="1"/>
        <v>40661.425860666845</v>
      </c>
      <c r="AN11" s="43" t="s">
        <v>4652</v>
      </c>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3"/>
      <c r="BQ11" s="43"/>
      <c r="BR11" s="43"/>
      <c r="BS11" s="43"/>
      <c r="BT11" s="43"/>
      <c r="BU11" s="43"/>
      <c r="BV11" s="43"/>
      <c r="BW11" s="43"/>
      <c r="BX11" s="43"/>
    </row>
    <row r="12" spans="1:76" s="34" customFormat="1" ht="53.25" hidden="1" customHeight="1">
      <c r="A12" s="357">
        <v>25184870</v>
      </c>
      <c r="B12" s="294"/>
      <c r="C12" s="358">
        <v>43859</v>
      </c>
      <c r="D12" s="340" t="s">
        <v>4663</v>
      </c>
      <c r="E12" s="340" t="s">
        <v>4664</v>
      </c>
      <c r="F12" s="359" t="s">
        <v>4665</v>
      </c>
      <c r="G12" s="338">
        <v>150000</v>
      </c>
      <c r="H12" s="338"/>
      <c r="I12" s="294" t="s">
        <v>75</v>
      </c>
      <c r="J12" s="294" t="s">
        <v>585</v>
      </c>
      <c r="K12" s="294" t="s">
        <v>585</v>
      </c>
      <c r="L12" s="295" t="s">
        <v>4667</v>
      </c>
      <c r="M12" s="360" t="s">
        <v>4668</v>
      </c>
      <c r="N12" s="278">
        <f>8.39+8.46</f>
        <v>16.850000000000001</v>
      </c>
      <c r="O12" s="294" t="s">
        <v>764</v>
      </c>
      <c r="P12" s="340" t="s">
        <v>206</v>
      </c>
      <c r="Q12" s="431">
        <v>3</v>
      </c>
      <c r="R12" s="340" t="s">
        <v>4669</v>
      </c>
      <c r="S12" s="346">
        <f>4.6+6.2</f>
        <v>10.8</v>
      </c>
      <c r="T12" s="294" t="s">
        <v>4596</v>
      </c>
      <c r="U12" s="294"/>
      <c r="V12" s="294"/>
      <c r="W12" s="294"/>
      <c r="X12" s="338"/>
      <c r="Y12" s="278">
        <v>5.7</v>
      </c>
      <c r="Z12" s="278"/>
      <c r="AA12" s="348"/>
      <c r="AB12" s="294"/>
      <c r="AC12" s="350"/>
      <c r="AD12" s="338"/>
      <c r="AE12" s="339"/>
      <c r="AF12" s="278"/>
      <c r="AG12" s="338"/>
      <c r="AH12" s="294"/>
      <c r="AI12" s="294"/>
      <c r="AJ12" s="294"/>
      <c r="AK12" s="340" t="s">
        <v>4670</v>
      </c>
      <c r="AL12" s="340"/>
      <c r="AM12" s="338">
        <f t="shared" si="1"/>
        <v>8902.0771513353102</v>
      </c>
      <c r="AN12" s="43" t="s">
        <v>4652</v>
      </c>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3"/>
      <c r="BQ12" s="43"/>
      <c r="BR12" s="43"/>
      <c r="BS12" s="43"/>
      <c r="BT12" s="43"/>
      <c r="BU12" s="43"/>
      <c r="BV12" s="43"/>
      <c r="BW12" s="43"/>
      <c r="BX12" s="43"/>
    </row>
    <row r="13" spans="1:76" s="34" customFormat="1" ht="53.25" hidden="1" customHeight="1">
      <c r="A13" s="357">
        <v>25184865</v>
      </c>
      <c r="B13" s="294"/>
      <c r="C13" s="358">
        <v>43859</v>
      </c>
      <c r="D13" s="340" t="s">
        <v>4671</v>
      </c>
      <c r="E13" s="340" t="s">
        <v>4672</v>
      </c>
      <c r="F13" s="359">
        <v>4175461</v>
      </c>
      <c r="G13" s="338">
        <v>500000</v>
      </c>
      <c r="H13" s="338"/>
      <c r="I13" s="294" t="s">
        <v>75</v>
      </c>
      <c r="J13" s="294" t="s">
        <v>585</v>
      </c>
      <c r="K13" s="294" t="s">
        <v>585</v>
      </c>
      <c r="L13" s="295" t="s">
        <v>4673</v>
      </c>
      <c r="M13" s="360" t="s">
        <v>4674</v>
      </c>
      <c r="N13" s="278">
        <v>27.69</v>
      </c>
      <c r="O13" s="294" t="s">
        <v>764</v>
      </c>
      <c r="P13" s="340" t="s">
        <v>206</v>
      </c>
      <c r="Q13" s="431">
        <v>3</v>
      </c>
      <c r="R13" s="340" t="s">
        <v>4669</v>
      </c>
      <c r="S13" s="346">
        <f>9.1+7.2+9.9</f>
        <v>26.200000000000003</v>
      </c>
      <c r="T13" s="294" t="s">
        <v>4596</v>
      </c>
      <c r="U13" s="294"/>
      <c r="V13" s="294"/>
      <c r="W13" s="294"/>
      <c r="X13" s="338"/>
      <c r="Y13" s="278"/>
      <c r="Z13" s="278"/>
      <c r="AA13" s="348"/>
      <c r="AB13" s="294"/>
      <c r="AC13" s="350"/>
      <c r="AD13" s="338"/>
      <c r="AE13" s="339"/>
      <c r="AF13" s="278"/>
      <c r="AG13" s="338"/>
      <c r="AH13" s="294"/>
      <c r="AI13" s="294"/>
      <c r="AJ13" s="294"/>
      <c r="AK13" s="340" t="s">
        <v>271</v>
      </c>
      <c r="AL13" s="340"/>
      <c r="AM13" s="338">
        <f t="shared" si="1"/>
        <v>18057.060310581437</v>
      </c>
      <c r="AN13" s="43" t="s">
        <v>4652</v>
      </c>
      <c r="AO13" s="43"/>
      <c r="AP13" s="43"/>
      <c r="AQ13" s="43"/>
      <c r="AR13" s="43"/>
      <c r="AS13" s="43"/>
      <c r="AT13" s="43"/>
      <c r="AU13" s="43"/>
      <c r="AV13" s="43"/>
      <c r="AW13" s="43"/>
      <c r="AX13" s="43"/>
      <c r="AY13" s="43"/>
      <c r="AZ13" s="43"/>
      <c r="BA13" s="43"/>
      <c r="BB13" s="43"/>
      <c r="BC13" s="43"/>
      <c r="BD13" s="43"/>
      <c r="BE13" s="43"/>
      <c r="BF13" s="43"/>
      <c r="BG13" s="43"/>
      <c r="BH13" s="43"/>
      <c r="BI13" s="43"/>
      <c r="BJ13" s="43"/>
      <c r="BK13" s="43"/>
      <c r="BL13" s="43"/>
      <c r="BM13" s="43"/>
      <c r="BN13" s="43"/>
      <c r="BO13" s="43"/>
      <c r="BP13" s="43"/>
      <c r="BQ13" s="43"/>
      <c r="BR13" s="43"/>
      <c r="BS13" s="43"/>
      <c r="BT13" s="43"/>
      <c r="BU13" s="43"/>
      <c r="BV13" s="43"/>
      <c r="BW13" s="43"/>
      <c r="BX13" s="43"/>
    </row>
    <row r="14" spans="1:76" s="34" customFormat="1" ht="53.25" hidden="1" customHeight="1">
      <c r="A14" s="330">
        <v>25205856</v>
      </c>
      <c r="B14" s="281"/>
      <c r="C14" s="332">
        <v>43873</v>
      </c>
      <c r="D14" s="281" t="s">
        <v>4675</v>
      </c>
      <c r="E14" s="281" t="s">
        <v>4676</v>
      </c>
      <c r="F14" s="336">
        <v>2706581</v>
      </c>
      <c r="G14" s="337">
        <v>400000</v>
      </c>
      <c r="H14" s="337"/>
      <c r="I14" s="281" t="s">
        <v>192</v>
      </c>
      <c r="J14" s="281" t="s">
        <v>4677</v>
      </c>
      <c r="K14" s="281" t="s">
        <v>4678</v>
      </c>
      <c r="L14" s="342" t="s">
        <v>4679</v>
      </c>
      <c r="M14" s="343" t="s">
        <v>4680</v>
      </c>
      <c r="N14" s="344">
        <v>7.69</v>
      </c>
      <c r="O14" s="35" t="s">
        <v>36</v>
      </c>
      <c r="P14" s="281" t="s">
        <v>35</v>
      </c>
      <c r="Q14" s="434">
        <v>2</v>
      </c>
      <c r="R14" s="281" t="s">
        <v>4669</v>
      </c>
      <c r="S14" s="345">
        <v>7.3</v>
      </c>
      <c r="T14" s="281"/>
      <c r="U14" s="281"/>
      <c r="V14" s="281"/>
      <c r="W14" s="281"/>
      <c r="X14" s="337"/>
      <c r="Y14" s="344"/>
      <c r="Z14" s="344"/>
      <c r="AA14" s="347"/>
      <c r="AB14" s="281"/>
      <c r="AC14" s="349"/>
      <c r="AD14" s="337"/>
      <c r="AE14" s="337"/>
      <c r="AF14" s="344"/>
      <c r="AG14" s="337"/>
      <c r="AH14" s="281"/>
      <c r="AI14" s="281"/>
      <c r="AJ14" s="281"/>
      <c r="AK14" s="281"/>
      <c r="AL14" s="281"/>
      <c r="AM14" s="27">
        <f t="shared" si="1"/>
        <v>52015.604681404417</v>
      </c>
      <c r="AN14" s="43" t="s">
        <v>4652</v>
      </c>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3"/>
      <c r="BQ14" s="43"/>
      <c r="BR14" s="43"/>
      <c r="BS14" s="43"/>
      <c r="BT14" s="43"/>
      <c r="BU14" s="43"/>
      <c r="BV14" s="43"/>
      <c r="BW14" s="43"/>
      <c r="BX14" s="43"/>
    </row>
    <row r="15" spans="1:76" s="34" customFormat="1" ht="53.25" hidden="1" customHeight="1">
      <c r="A15" s="357">
        <v>25225318</v>
      </c>
      <c r="B15" s="294"/>
      <c r="C15" s="358">
        <v>43882</v>
      </c>
      <c r="D15" s="340" t="s">
        <v>4681</v>
      </c>
      <c r="E15" s="340" t="s">
        <v>4682</v>
      </c>
      <c r="F15" s="359" t="s">
        <v>4683</v>
      </c>
      <c r="G15" s="338">
        <v>309500</v>
      </c>
      <c r="H15" s="338"/>
      <c r="I15" s="294" t="s">
        <v>515</v>
      </c>
      <c r="J15" s="294" t="s">
        <v>515</v>
      </c>
      <c r="K15" s="294" t="s">
        <v>4684</v>
      </c>
      <c r="L15" s="295" t="s">
        <v>4685</v>
      </c>
      <c r="M15" s="360" t="s">
        <v>4686</v>
      </c>
      <c r="N15" s="278">
        <v>39.33</v>
      </c>
      <c r="O15" s="294" t="s">
        <v>18</v>
      </c>
      <c r="P15" s="340" t="s">
        <v>206</v>
      </c>
      <c r="Q15" s="435">
        <v>4</v>
      </c>
      <c r="R15" s="394" t="s">
        <v>4687</v>
      </c>
      <c r="S15" s="346">
        <v>23.6</v>
      </c>
      <c r="T15" s="294" t="s">
        <v>4596</v>
      </c>
      <c r="U15" s="294"/>
      <c r="V15" s="294"/>
      <c r="W15" s="294"/>
      <c r="X15" s="338"/>
      <c r="Y15" s="278">
        <v>13.4</v>
      </c>
      <c r="Z15" s="278"/>
      <c r="AA15" s="348"/>
      <c r="AB15" s="294"/>
      <c r="AC15" s="350"/>
      <c r="AD15" s="338"/>
      <c r="AE15" s="339"/>
      <c r="AF15" s="278"/>
      <c r="AG15" s="338"/>
      <c r="AH15" s="294"/>
      <c r="AI15" s="294"/>
      <c r="AJ15" s="294"/>
      <c r="AK15" s="340" t="s">
        <v>4670</v>
      </c>
      <c r="AL15" s="340"/>
      <c r="AM15" s="338">
        <f t="shared" si="1"/>
        <v>7869.3109585558104</v>
      </c>
      <c r="AN15" s="43" t="s">
        <v>4652</v>
      </c>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3"/>
      <c r="BQ15" s="43"/>
      <c r="BR15" s="43"/>
      <c r="BS15" s="43"/>
      <c r="BT15" s="43"/>
      <c r="BU15" s="43"/>
      <c r="BV15" s="43"/>
      <c r="BW15" s="43"/>
      <c r="BX15" s="43"/>
    </row>
    <row r="16" spans="1:76" s="34" customFormat="1" ht="53.25" hidden="1" customHeight="1">
      <c r="A16" s="330">
        <v>25270667</v>
      </c>
      <c r="B16" s="281"/>
      <c r="C16" s="332">
        <v>43907</v>
      </c>
      <c r="D16" s="281" t="s">
        <v>4688</v>
      </c>
      <c r="E16" s="281" t="s">
        <v>4689</v>
      </c>
      <c r="F16" s="336">
        <v>5132029</v>
      </c>
      <c r="G16" s="337">
        <v>750000</v>
      </c>
      <c r="H16" s="337"/>
      <c r="I16" s="281" t="s">
        <v>37</v>
      </c>
      <c r="J16" s="281" t="s">
        <v>4690</v>
      </c>
      <c r="K16" s="281" t="s">
        <v>4691</v>
      </c>
      <c r="L16" s="342" t="s">
        <v>4692</v>
      </c>
      <c r="M16" s="343" t="s">
        <v>4693</v>
      </c>
      <c r="N16" s="344">
        <v>2.82</v>
      </c>
      <c r="O16" s="35" t="s">
        <v>36</v>
      </c>
      <c r="P16" s="281" t="s">
        <v>35</v>
      </c>
      <c r="Q16" s="434">
        <v>2</v>
      </c>
      <c r="R16" s="281" t="s">
        <v>4669</v>
      </c>
      <c r="S16" s="345">
        <v>2.6</v>
      </c>
      <c r="T16" s="281"/>
      <c r="U16" s="281"/>
      <c r="V16" s="281"/>
      <c r="W16" s="281"/>
      <c r="X16" s="337"/>
      <c r="Y16" s="344"/>
      <c r="Z16" s="344"/>
      <c r="AA16" s="347"/>
      <c r="AB16" s="281"/>
      <c r="AC16" s="349"/>
      <c r="AD16" s="337"/>
      <c r="AE16" s="337"/>
      <c r="AF16" s="344"/>
      <c r="AG16" s="337"/>
      <c r="AH16" s="281"/>
      <c r="AI16" s="281"/>
      <c r="AJ16" s="281"/>
      <c r="AK16" s="281" t="s">
        <v>4694</v>
      </c>
      <c r="AL16" s="281">
        <v>335956</v>
      </c>
      <c r="AM16" s="27">
        <f t="shared" si="1"/>
        <v>265957.44680851063</v>
      </c>
      <c r="AN16" s="43" t="s">
        <v>4652</v>
      </c>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3"/>
      <c r="BQ16" s="43"/>
      <c r="BR16" s="43"/>
      <c r="BS16" s="43"/>
      <c r="BT16" s="43"/>
      <c r="BU16" s="43"/>
      <c r="BV16" s="43"/>
      <c r="BW16" s="43"/>
      <c r="BX16" s="43"/>
    </row>
    <row r="17" spans="1:76" s="34" customFormat="1" ht="53.25" hidden="1" customHeight="1">
      <c r="A17" s="371">
        <v>26079068</v>
      </c>
      <c r="B17" s="294"/>
      <c r="C17" s="358">
        <v>43911</v>
      </c>
      <c r="D17" s="340" t="s">
        <v>4695</v>
      </c>
      <c r="E17" s="340" t="s">
        <v>4696</v>
      </c>
      <c r="F17" s="359" t="s">
        <v>4697</v>
      </c>
      <c r="G17" s="338">
        <v>480000</v>
      </c>
      <c r="H17" s="338"/>
      <c r="I17" s="294" t="s">
        <v>328</v>
      </c>
      <c r="J17" s="294" t="s">
        <v>4698</v>
      </c>
      <c r="K17" s="294" t="s">
        <v>4699</v>
      </c>
      <c r="L17" s="295" t="s">
        <v>4700</v>
      </c>
      <c r="M17" s="360" t="s">
        <v>4701</v>
      </c>
      <c r="N17" s="278">
        <v>57.67</v>
      </c>
      <c r="O17" s="294" t="s">
        <v>18</v>
      </c>
      <c r="P17" s="340" t="s">
        <v>4702</v>
      </c>
      <c r="Q17" s="435" t="s">
        <v>4703</v>
      </c>
      <c r="R17" s="340" t="s">
        <v>155</v>
      </c>
      <c r="S17" s="346">
        <v>31.9</v>
      </c>
      <c r="T17" s="294" t="s">
        <v>4596</v>
      </c>
      <c r="U17" s="294">
        <v>0</v>
      </c>
      <c r="V17" s="294" t="s">
        <v>4628</v>
      </c>
      <c r="W17" s="294"/>
      <c r="X17" s="338"/>
      <c r="Y17" s="278">
        <v>24.25</v>
      </c>
      <c r="Z17" s="278"/>
      <c r="AA17" s="348"/>
      <c r="AB17" s="294"/>
      <c r="AC17" s="350"/>
      <c r="AD17" s="338"/>
      <c r="AE17" s="339"/>
      <c r="AF17" s="278"/>
      <c r="AG17" s="338"/>
      <c r="AH17" s="294"/>
      <c r="AI17" s="294"/>
      <c r="AJ17" s="294"/>
      <c r="AK17" s="340" t="s">
        <v>4670</v>
      </c>
      <c r="AL17" s="340"/>
      <c r="AM17" s="338">
        <f t="shared" si="1"/>
        <v>8323.2183110802835</v>
      </c>
      <c r="AN17" s="43" t="s">
        <v>4652</v>
      </c>
      <c r="AO17" s="43"/>
      <c r="AP17" s="43"/>
      <c r="AQ17" s="43"/>
      <c r="AR17" s="43"/>
      <c r="AS17" s="43"/>
      <c r="AT17" s="43"/>
      <c r="AU17" s="43"/>
      <c r="AV17" s="43"/>
      <c r="AW17" s="43"/>
      <c r="AX17" s="43"/>
      <c r="AY17" s="43"/>
      <c r="AZ17" s="43"/>
      <c r="BA17" s="43"/>
      <c r="BB17" s="43"/>
      <c r="BC17" s="43"/>
      <c r="BD17" s="43"/>
      <c r="BE17" s="43"/>
      <c r="BF17" s="43"/>
      <c r="BG17" s="43"/>
      <c r="BH17" s="43"/>
      <c r="BI17" s="43"/>
      <c r="BJ17" s="43"/>
      <c r="BK17" s="43"/>
      <c r="BL17" s="43"/>
      <c r="BM17" s="43"/>
      <c r="BN17" s="43"/>
      <c r="BO17" s="43"/>
      <c r="BP17" s="43"/>
      <c r="BQ17" s="43"/>
      <c r="BR17" s="43"/>
      <c r="BS17" s="43"/>
      <c r="BT17" s="43"/>
      <c r="BU17" s="43"/>
      <c r="BV17" s="43"/>
      <c r="BW17" s="43"/>
      <c r="BX17" s="43"/>
    </row>
    <row r="18" spans="1:76" s="34" customFormat="1" ht="53.25" hidden="1" customHeight="1">
      <c r="A18" s="330">
        <v>25344540</v>
      </c>
      <c r="B18" s="281"/>
      <c r="C18" s="332">
        <v>43950</v>
      </c>
      <c r="D18" s="281" t="s">
        <v>4704</v>
      </c>
      <c r="E18" s="281" t="s">
        <v>4705</v>
      </c>
      <c r="F18" s="336">
        <v>2708676</v>
      </c>
      <c r="G18" s="337">
        <v>190000</v>
      </c>
      <c r="H18" s="337"/>
      <c r="I18" s="281"/>
      <c r="J18" s="281" t="s">
        <v>4706</v>
      </c>
      <c r="K18" s="281" t="s">
        <v>4707</v>
      </c>
      <c r="L18" s="342" t="s">
        <v>4708</v>
      </c>
      <c r="M18" s="343" t="s">
        <v>4709</v>
      </c>
      <c r="N18" s="344">
        <v>13.65</v>
      </c>
      <c r="O18" s="35" t="s">
        <v>36</v>
      </c>
      <c r="P18" s="281" t="s">
        <v>35</v>
      </c>
      <c r="Q18" s="434">
        <v>2</v>
      </c>
      <c r="R18" s="281" t="s">
        <v>4710</v>
      </c>
      <c r="S18" s="345">
        <v>6.9</v>
      </c>
      <c r="T18" s="281"/>
      <c r="U18" s="281"/>
      <c r="V18" s="281"/>
      <c r="W18" s="281"/>
      <c r="X18" s="337"/>
      <c r="Y18" s="344">
        <v>4.5</v>
      </c>
      <c r="Z18" s="344"/>
      <c r="AA18" s="347"/>
      <c r="AB18" s="281"/>
      <c r="AC18" s="349"/>
      <c r="AD18" s="337"/>
      <c r="AE18" s="337"/>
      <c r="AF18" s="344"/>
      <c r="AG18" s="337"/>
      <c r="AH18" s="281"/>
      <c r="AI18" s="281"/>
      <c r="AJ18" s="281"/>
      <c r="AK18" s="281"/>
      <c r="AL18" s="281"/>
      <c r="AM18" s="27">
        <f t="shared" si="1"/>
        <v>13919.413919413919</v>
      </c>
      <c r="AN18" s="43" t="s">
        <v>4652</v>
      </c>
      <c r="AO18" s="43"/>
      <c r="AP18" s="43"/>
      <c r="AQ18" s="43"/>
      <c r="AR18" s="43"/>
      <c r="AS18" s="43"/>
      <c r="AT18" s="43"/>
      <c r="AU18" s="43"/>
      <c r="AV18" s="43"/>
      <c r="AW18" s="43"/>
      <c r="AX18" s="43"/>
      <c r="AY18" s="43"/>
      <c r="AZ18" s="43"/>
      <c r="BA18" s="43"/>
      <c r="BB18" s="43"/>
      <c r="BC18" s="43"/>
      <c r="BD18" s="43"/>
      <c r="BE18" s="43"/>
      <c r="BF18" s="43"/>
      <c r="BG18" s="43"/>
      <c r="BH18" s="43"/>
      <c r="BI18" s="43"/>
      <c r="BJ18" s="43"/>
      <c r="BK18" s="43"/>
      <c r="BL18" s="43"/>
      <c r="BM18" s="43"/>
      <c r="BN18" s="43"/>
      <c r="BO18" s="43"/>
      <c r="BP18" s="43"/>
      <c r="BQ18" s="43"/>
      <c r="BR18" s="43"/>
      <c r="BS18" s="43"/>
      <c r="BT18" s="43"/>
      <c r="BU18" s="43"/>
      <c r="BV18" s="43"/>
      <c r="BW18" s="43"/>
      <c r="BX18" s="43"/>
    </row>
    <row r="19" spans="1:76" s="34" customFormat="1" ht="53.25" hidden="1" customHeight="1">
      <c r="A19" s="330">
        <v>25369557</v>
      </c>
      <c r="B19" s="281"/>
      <c r="C19" s="332">
        <v>43963</v>
      </c>
      <c r="D19" s="281" t="s">
        <v>4711</v>
      </c>
      <c r="E19" s="281" t="s">
        <v>4712</v>
      </c>
      <c r="F19" s="336">
        <v>3698783</v>
      </c>
      <c r="G19" s="337">
        <v>300000</v>
      </c>
      <c r="H19" s="337"/>
      <c r="I19" s="281"/>
      <c r="J19" s="281" t="s">
        <v>4713</v>
      </c>
      <c r="K19" s="281" t="s">
        <v>4714</v>
      </c>
      <c r="L19" s="342" t="s">
        <v>4715</v>
      </c>
      <c r="M19" s="343" t="s">
        <v>4716</v>
      </c>
      <c r="N19" s="344">
        <v>5.13</v>
      </c>
      <c r="O19" s="35" t="s">
        <v>36</v>
      </c>
      <c r="P19" s="281" t="s">
        <v>35</v>
      </c>
      <c r="Q19" s="434">
        <v>2</v>
      </c>
      <c r="R19" s="281" t="s">
        <v>4669</v>
      </c>
      <c r="S19" s="345">
        <v>4.8</v>
      </c>
      <c r="T19" s="281"/>
      <c r="U19" s="281">
        <f>Table3[[#This Row],[Superficie cultivée (ha)]]</f>
        <v>4.8</v>
      </c>
      <c r="V19" s="281"/>
      <c r="W19" s="281"/>
      <c r="X19" s="337"/>
      <c r="Y19" s="344"/>
      <c r="Z19" s="344"/>
      <c r="AA19" s="347"/>
      <c r="AB19" s="281"/>
      <c r="AC19" s="349"/>
      <c r="AD19" s="337"/>
      <c r="AE19" s="337"/>
      <c r="AF19" s="344"/>
      <c r="AG19" s="337"/>
      <c r="AH19" s="281"/>
      <c r="AI19" s="281"/>
      <c r="AJ19" s="281"/>
      <c r="AK19" s="281"/>
      <c r="AL19" s="281"/>
      <c r="AM19" s="27">
        <f t="shared" si="1"/>
        <v>58479.53216374269</v>
      </c>
      <c r="AN19" s="43" t="s">
        <v>4652</v>
      </c>
      <c r="AO19" s="43"/>
      <c r="AP19" s="43"/>
      <c r="AQ19" s="43"/>
      <c r="AR19" s="43"/>
      <c r="AS19" s="43"/>
      <c r="AT19" s="43"/>
      <c r="AU19" s="43"/>
      <c r="AV19" s="43"/>
      <c r="AW19" s="43"/>
      <c r="AX19" s="43"/>
      <c r="AY19" s="43"/>
      <c r="AZ19" s="43"/>
      <c r="BA19" s="43"/>
      <c r="BB19" s="43"/>
      <c r="BC19" s="43"/>
      <c r="BD19" s="43"/>
      <c r="BE19" s="43"/>
      <c r="BF19" s="43"/>
      <c r="BG19" s="43"/>
      <c r="BH19" s="43"/>
      <c r="BI19" s="43"/>
      <c r="BJ19" s="43"/>
      <c r="BK19" s="43"/>
      <c r="BL19" s="43"/>
      <c r="BM19" s="43"/>
      <c r="BN19" s="43"/>
      <c r="BO19" s="43"/>
      <c r="BP19" s="43"/>
      <c r="BQ19" s="43"/>
      <c r="BR19" s="43"/>
      <c r="BS19" s="43"/>
      <c r="BT19" s="43"/>
      <c r="BU19" s="43"/>
      <c r="BV19" s="43"/>
      <c r="BW19" s="43"/>
      <c r="BX19" s="43"/>
    </row>
    <row r="20" spans="1:76" s="34" customFormat="1" ht="53.25" hidden="1" customHeight="1">
      <c r="A20" s="196">
        <v>25396662</v>
      </c>
      <c r="B20"/>
      <c r="C20" s="317">
        <v>43976</v>
      </c>
      <c r="D20" t="s">
        <v>4717</v>
      </c>
      <c r="E20" t="s">
        <v>4718</v>
      </c>
      <c r="F20" t="s">
        <v>4719</v>
      </c>
      <c r="G20" s="94">
        <v>1200000</v>
      </c>
      <c r="H20" s="94"/>
      <c r="I20"/>
      <c r="J20" t="s">
        <v>45</v>
      </c>
      <c r="K20"/>
      <c r="L20" s="96" t="s">
        <v>4720</v>
      </c>
      <c r="M20" s="245" t="s">
        <v>4721</v>
      </c>
      <c r="N20" s="63">
        <f>26.12+16.49+0.09</f>
        <v>42.7</v>
      </c>
      <c r="O20" s="43" t="s">
        <v>36</v>
      </c>
      <c r="P20" t="s">
        <v>35</v>
      </c>
      <c r="Q20" s="436" t="s">
        <v>4722</v>
      </c>
      <c r="R20" t="s">
        <v>4669</v>
      </c>
      <c r="S20">
        <f>12.8+2.6+6+7.8</f>
        <v>29.2</v>
      </c>
      <c r="T20"/>
      <c r="U20"/>
      <c r="V20"/>
      <c r="W20"/>
      <c r="X20" s="94"/>
      <c r="Y20" s="63">
        <v>5.5</v>
      </c>
      <c r="Z20" s="63"/>
      <c r="AA20" s="97"/>
      <c r="AB20"/>
      <c r="AC20" s="65"/>
      <c r="AD20" s="94"/>
      <c r="AE20" s="94"/>
      <c r="AF20" s="63"/>
      <c r="AG20" s="94"/>
      <c r="AH20"/>
      <c r="AI20"/>
      <c r="AJ20"/>
      <c r="AK20"/>
      <c r="AL20"/>
      <c r="AM20" s="1">
        <f t="shared" si="1"/>
        <v>28103.044496487117</v>
      </c>
      <c r="AN20" s="47" t="s">
        <v>4652</v>
      </c>
      <c r="AO20" s="47"/>
      <c r="AP20" s="47"/>
      <c r="AQ20" s="47"/>
      <c r="AR20" s="47"/>
      <c r="AS20" s="47"/>
      <c r="AT20" s="47"/>
      <c r="AU20" s="47"/>
      <c r="AV20" s="47"/>
      <c r="AW20" s="47"/>
      <c r="AX20" s="47"/>
      <c r="AY20" s="47"/>
      <c r="AZ20" s="47"/>
      <c r="BA20" s="47"/>
      <c r="BB20" s="47"/>
      <c r="BC20" s="47"/>
      <c r="BD20" s="47"/>
      <c r="BE20" s="47"/>
      <c r="BF20" s="47"/>
      <c r="BG20" s="47"/>
      <c r="BH20" s="47"/>
      <c r="BI20" s="47"/>
      <c r="BJ20" s="47"/>
      <c r="BK20" s="47"/>
      <c r="BL20" s="47"/>
      <c r="BM20" s="47"/>
      <c r="BN20" s="47"/>
      <c r="BO20" s="47"/>
      <c r="BP20" s="47"/>
      <c r="BQ20" s="47"/>
      <c r="BR20" s="47"/>
      <c r="BS20" s="47"/>
      <c r="BT20" s="47"/>
      <c r="BU20" s="47"/>
      <c r="BV20" s="47"/>
      <c r="BW20" s="47"/>
      <c r="BX20" s="47"/>
    </row>
    <row r="21" spans="1:76" s="34" customFormat="1" ht="53.25" hidden="1" customHeight="1">
      <c r="A21" s="196">
        <v>25451290</v>
      </c>
      <c r="B21"/>
      <c r="C21" s="317">
        <v>43994</v>
      </c>
      <c r="D21" t="s">
        <v>4723</v>
      </c>
      <c r="E21" t="s">
        <v>4724</v>
      </c>
      <c r="F21" t="s">
        <v>4725</v>
      </c>
      <c r="G21" s="94">
        <v>1175000</v>
      </c>
      <c r="H21" s="94"/>
      <c r="I21" t="s">
        <v>4726</v>
      </c>
      <c r="J21" t="s">
        <v>388</v>
      </c>
      <c r="K21" t="s">
        <v>4727</v>
      </c>
      <c r="L21" s="96"/>
      <c r="M21" s="96"/>
      <c r="N21" s="63">
        <f>6.05+6.75+0.43+7.68+2.59</f>
        <v>23.5</v>
      </c>
      <c r="O21"/>
      <c r="P21"/>
      <c r="Q21" s="436">
        <v>2</v>
      </c>
      <c r="R21" t="s">
        <v>4669</v>
      </c>
      <c r="S21">
        <v>16.600000000000001</v>
      </c>
      <c r="T21"/>
      <c r="U21"/>
      <c r="V21"/>
      <c r="W21"/>
      <c r="X21" s="94"/>
      <c r="Y21" s="63"/>
      <c r="Z21" s="63"/>
      <c r="AA21" s="97"/>
      <c r="AB21"/>
      <c r="AC21" s="65"/>
      <c r="AD21" s="94"/>
      <c r="AE21" s="94"/>
      <c r="AF21" s="63" t="s">
        <v>4728</v>
      </c>
      <c r="AG21" s="94"/>
      <c r="AH21"/>
      <c r="AI21"/>
      <c r="AJ21"/>
      <c r="AK21" s="20" t="s">
        <v>4729</v>
      </c>
      <c r="AL21"/>
      <c r="AM21" s="1">
        <f t="shared" si="1"/>
        <v>50000</v>
      </c>
      <c r="AN21" s="47" t="s">
        <v>4652</v>
      </c>
      <c r="AO21" s="47"/>
      <c r="AP21" s="47"/>
      <c r="AQ21" s="47"/>
      <c r="AR21" s="47"/>
      <c r="AS21" s="47"/>
      <c r="AT21" s="47"/>
      <c r="AU21" s="47"/>
      <c r="AV21" s="47"/>
      <c r="AW21" s="47"/>
      <c r="AX21" s="47"/>
      <c r="AY21" s="47"/>
      <c r="AZ21" s="47"/>
      <c r="BA21" s="47"/>
      <c r="BB21" s="47"/>
      <c r="BC21" s="47"/>
      <c r="BD21" s="47"/>
      <c r="BE21" s="47"/>
      <c r="BF21" s="47"/>
      <c r="BG21" s="47"/>
      <c r="BH21" s="47"/>
      <c r="BI21" s="47"/>
      <c r="BJ21" s="47"/>
      <c r="BK21" s="47"/>
      <c r="BL21" s="47"/>
      <c r="BM21" s="47"/>
      <c r="BN21" s="47"/>
      <c r="BO21" s="47"/>
      <c r="BP21" s="47"/>
      <c r="BQ21" s="47"/>
      <c r="BR21" s="47"/>
      <c r="BS21" s="47"/>
      <c r="BT21" s="47"/>
      <c r="BU21" s="47"/>
      <c r="BV21" s="47"/>
      <c r="BW21" s="47"/>
      <c r="BX21" s="47"/>
    </row>
    <row r="22" spans="1:76" s="34" customFormat="1" ht="53.25" hidden="1" customHeight="1">
      <c r="A22" s="194">
        <v>26427913</v>
      </c>
      <c r="B22" s="139"/>
      <c r="C22" s="148">
        <v>44003</v>
      </c>
      <c r="D22" s="60" t="s">
        <v>4730</v>
      </c>
      <c r="E22" s="60" t="s">
        <v>4731</v>
      </c>
      <c r="F22" s="140" t="s">
        <v>4732</v>
      </c>
      <c r="G22" s="150">
        <v>3385000</v>
      </c>
      <c r="H22" s="150"/>
      <c r="I22" s="139" t="s">
        <v>4733</v>
      </c>
      <c r="J22" s="139" t="s">
        <v>4734</v>
      </c>
      <c r="K22" s="139" t="s">
        <v>4735</v>
      </c>
      <c r="L22" s="151" t="s">
        <v>4736</v>
      </c>
      <c r="M22" s="155" t="s">
        <v>4737</v>
      </c>
      <c r="N22" s="144">
        <v>70.91</v>
      </c>
      <c r="O22" s="139" t="s">
        <v>4738</v>
      </c>
      <c r="P22" s="60" t="s">
        <v>4739</v>
      </c>
      <c r="Q22" s="437">
        <v>3</v>
      </c>
      <c r="R22" s="60" t="s">
        <v>4595</v>
      </c>
      <c r="S22" s="139">
        <v>63.5</v>
      </c>
      <c r="T22" s="139" t="s">
        <v>4596</v>
      </c>
      <c r="U22" s="139">
        <v>63.5</v>
      </c>
      <c r="V22" s="139" t="s">
        <v>4628</v>
      </c>
      <c r="W22" s="139"/>
      <c r="X22" s="150"/>
      <c r="Y22" s="144">
        <v>3.1</v>
      </c>
      <c r="Z22" s="144"/>
      <c r="AA22" s="152">
        <v>2218.5</v>
      </c>
      <c r="AB22" s="139"/>
      <c r="AC22" s="146">
        <v>1</v>
      </c>
      <c r="AD22" s="150"/>
      <c r="AE22" s="159"/>
      <c r="AF22" s="144" t="s">
        <v>4740</v>
      </c>
      <c r="AG22" s="150"/>
      <c r="AH22" s="139"/>
      <c r="AI22" s="139"/>
      <c r="AJ22" s="139"/>
      <c r="AK22" s="60" t="s">
        <v>4741</v>
      </c>
      <c r="AL22" s="60"/>
      <c r="AM22" s="150">
        <f t="shared" si="1"/>
        <v>47736.567479904108</v>
      </c>
      <c r="AN22" s="47" t="s">
        <v>4652</v>
      </c>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BX22" s="47"/>
    </row>
    <row r="23" spans="1:76" s="34" customFormat="1" ht="53.25" hidden="1" customHeight="1">
      <c r="A23" s="196">
        <v>25541105</v>
      </c>
      <c r="B23"/>
      <c r="C23" s="317">
        <v>44027</v>
      </c>
      <c r="D23" t="s">
        <v>4742</v>
      </c>
      <c r="E23" t="s">
        <v>4743</v>
      </c>
      <c r="F23" s="269">
        <v>3407614</v>
      </c>
      <c r="G23" s="94">
        <v>538594</v>
      </c>
      <c r="H23" s="94"/>
      <c r="I23" t="s">
        <v>37</v>
      </c>
      <c r="J23" t="s">
        <v>38</v>
      </c>
      <c r="K23"/>
      <c r="L23" s="96" t="s">
        <v>4744</v>
      </c>
      <c r="M23" s="245" t="s">
        <v>4745</v>
      </c>
      <c r="N23" s="63">
        <v>12.52</v>
      </c>
      <c r="O23" s="43" t="s">
        <v>36</v>
      </c>
      <c r="P23" t="s">
        <v>35</v>
      </c>
      <c r="Q23" s="436">
        <v>2</v>
      </c>
      <c r="R23" t="s">
        <v>4669</v>
      </c>
      <c r="S23">
        <v>11.6</v>
      </c>
      <c r="T23"/>
      <c r="U23">
        <f>Table3[[#This Row],[Superficie cultivée (ha)]]</f>
        <v>11.6</v>
      </c>
      <c r="V23"/>
      <c r="W23"/>
      <c r="X23" s="94"/>
      <c r="Y23" s="63"/>
      <c r="Z23" s="63"/>
      <c r="AA23" s="97"/>
      <c r="AB23"/>
      <c r="AC23" s="65"/>
      <c r="AD23" s="94"/>
      <c r="AE23" s="94"/>
      <c r="AF23" s="63"/>
      <c r="AG23" s="94"/>
      <c r="AH23"/>
      <c r="AI23"/>
      <c r="AJ23"/>
      <c r="AK23"/>
      <c r="AL23"/>
      <c r="AM23" s="1">
        <f t="shared" si="1"/>
        <v>43018.69009584665</v>
      </c>
      <c r="AN23" s="47" t="s">
        <v>4652</v>
      </c>
      <c r="AO23" s="47"/>
      <c r="AP23" s="47"/>
      <c r="AQ23" s="47"/>
      <c r="AR23" s="47"/>
      <c r="AS23" s="47"/>
      <c r="AT23" s="47"/>
      <c r="AU23" s="47"/>
      <c r="AV23" s="47"/>
      <c r="AW23" s="47"/>
      <c r="AX23" s="47"/>
      <c r="AY23" s="47"/>
      <c r="AZ23" s="47"/>
      <c r="BA23" s="47"/>
      <c r="BB23" s="47"/>
      <c r="BC23" s="47"/>
      <c r="BD23" s="47"/>
      <c r="BE23" s="47"/>
      <c r="BF23" s="47"/>
      <c r="BG23" s="47"/>
      <c r="BH23" s="47"/>
      <c r="BI23" s="47"/>
      <c r="BJ23" s="47"/>
      <c r="BK23" s="47"/>
      <c r="BL23" s="47"/>
      <c r="BM23" s="47"/>
      <c r="BN23" s="47"/>
      <c r="BO23" s="47"/>
      <c r="BP23" s="47"/>
      <c r="BQ23" s="47"/>
      <c r="BR23" s="47"/>
      <c r="BS23" s="47"/>
      <c r="BT23" s="47"/>
      <c r="BU23" s="47"/>
      <c r="BV23" s="47"/>
      <c r="BW23" s="47"/>
      <c r="BX23" s="47"/>
    </row>
    <row r="24" spans="1:76" s="34" customFormat="1" ht="53.25" hidden="1" customHeight="1">
      <c r="A24" s="372">
        <v>25629542</v>
      </c>
      <c r="B24" s="376">
        <v>22138106</v>
      </c>
      <c r="C24" s="379">
        <v>44034</v>
      </c>
      <c r="D24" s="114" t="s">
        <v>4746</v>
      </c>
      <c r="E24" s="114" t="s">
        <v>4747</v>
      </c>
      <c r="F24" s="381">
        <v>5438957</v>
      </c>
      <c r="G24" s="384">
        <v>300000</v>
      </c>
      <c r="H24" s="384"/>
      <c r="I24" s="376" t="s">
        <v>258</v>
      </c>
      <c r="J24" s="376" t="s">
        <v>1241</v>
      </c>
      <c r="K24" s="376" t="s">
        <v>4748</v>
      </c>
      <c r="L24" s="384" t="s">
        <v>4749</v>
      </c>
      <c r="M24" s="384" t="s">
        <v>4750</v>
      </c>
      <c r="N24" s="391">
        <f>502738.98/10.7639/10000</f>
        <v>4.6706024767974439</v>
      </c>
      <c r="O24" s="376" t="s">
        <v>18</v>
      </c>
      <c r="P24" s="114" t="s">
        <v>206</v>
      </c>
      <c r="Q24" s="438">
        <v>3</v>
      </c>
      <c r="R24" s="381" t="s">
        <v>4604</v>
      </c>
      <c r="S24" s="391" t="e">
        <f>Terre!$N38-Terre!#REF!</f>
        <v>#REF!</v>
      </c>
      <c r="T24" s="376" t="s">
        <v>3124</v>
      </c>
      <c r="U24" s="376"/>
      <c r="V24" s="376"/>
      <c r="W24" s="376"/>
      <c r="X24" s="384"/>
      <c r="Y24" s="391"/>
      <c r="Z24" s="391"/>
      <c r="AA24" s="400"/>
      <c r="AB24" s="376"/>
      <c r="AC24" s="403"/>
      <c r="AD24" s="384"/>
      <c r="AE24" s="406"/>
      <c r="AF24" s="391" t="s">
        <v>4751</v>
      </c>
      <c r="AG24" s="384">
        <v>140000</v>
      </c>
      <c r="AH24" s="376"/>
      <c r="AI24" s="376" t="s">
        <v>4752</v>
      </c>
      <c r="AJ24" s="376">
        <v>30000</v>
      </c>
      <c r="AK24" s="60" t="s">
        <v>4753</v>
      </c>
      <c r="AL24" s="60"/>
      <c r="AM24" s="150">
        <f t="shared" si="1"/>
        <v>64231.542181193101</v>
      </c>
      <c r="AN24" s="47" t="s">
        <v>4652</v>
      </c>
      <c r="AO24" s="47"/>
      <c r="AP24" s="47"/>
      <c r="AQ24" s="47"/>
      <c r="AR24" s="47"/>
      <c r="AS24" s="47"/>
      <c r="AT24" s="47"/>
      <c r="AU24" s="47"/>
      <c r="AV24" s="47"/>
      <c r="AW24" s="47"/>
      <c r="AX24" s="47"/>
      <c r="AY24" s="47"/>
      <c r="AZ24" s="47"/>
      <c r="BA24" s="47"/>
      <c r="BB24" s="47"/>
      <c r="BC24" s="47"/>
      <c r="BD24" s="47"/>
      <c r="BE24" s="47"/>
      <c r="BF24" s="47"/>
      <c r="BG24" s="47"/>
      <c r="BH24" s="47"/>
      <c r="BI24" s="47"/>
      <c r="BJ24" s="47"/>
      <c r="BK24" s="47"/>
      <c r="BL24" s="47"/>
      <c r="BM24" s="47"/>
      <c r="BN24" s="47"/>
      <c r="BO24" s="47"/>
      <c r="BP24" s="47"/>
      <c r="BQ24" s="47"/>
      <c r="BR24" s="47"/>
      <c r="BS24" s="47"/>
      <c r="BT24" s="47"/>
      <c r="BU24" s="47"/>
      <c r="BV24" s="47"/>
      <c r="BW24" s="47"/>
      <c r="BX24" s="47"/>
    </row>
    <row r="25" spans="1:76" s="34" customFormat="1" ht="53.25" hidden="1" customHeight="1">
      <c r="A25" s="231">
        <v>25713777</v>
      </c>
      <c r="B25" s="139"/>
      <c r="C25" s="148">
        <v>44057</v>
      </c>
      <c r="D25" s="290" t="s">
        <v>4754</v>
      </c>
      <c r="E25" s="290" t="s">
        <v>4755</v>
      </c>
      <c r="F25" s="290">
        <v>4340477</v>
      </c>
      <c r="G25" s="150">
        <v>40000</v>
      </c>
      <c r="H25" s="150"/>
      <c r="I25" s="139" t="s">
        <v>49</v>
      </c>
      <c r="J25" s="139" t="s">
        <v>4756</v>
      </c>
      <c r="K25" s="139" t="s">
        <v>4757</v>
      </c>
      <c r="L25" s="151" t="s">
        <v>4758</v>
      </c>
      <c r="M25" s="151" t="s">
        <v>4759</v>
      </c>
      <c r="N25" s="144">
        <v>5.61</v>
      </c>
      <c r="O25" s="139" t="s">
        <v>36</v>
      </c>
      <c r="P25" s="60" t="s">
        <v>206</v>
      </c>
      <c r="Q25" s="437">
        <v>5</v>
      </c>
      <c r="R25" s="60" t="s">
        <v>4760</v>
      </c>
      <c r="S25" s="139">
        <v>3.8</v>
      </c>
      <c r="T25" s="139" t="s">
        <v>3124</v>
      </c>
      <c r="U25" s="139"/>
      <c r="V25" s="139" t="s">
        <v>4628</v>
      </c>
      <c r="W25" s="139"/>
      <c r="X25" s="150" t="s">
        <v>4761</v>
      </c>
      <c r="Y25" s="144">
        <v>1.8</v>
      </c>
      <c r="Z25" s="144"/>
      <c r="AA25" s="152"/>
      <c r="AB25" s="139"/>
      <c r="AC25" s="146"/>
      <c r="AD25" s="150"/>
      <c r="AE25" s="159"/>
      <c r="AF25" s="144"/>
      <c r="AG25" s="150"/>
      <c r="AH25" s="139"/>
      <c r="AI25" s="139"/>
      <c r="AJ25" s="139"/>
      <c r="AK25" s="60" t="s">
        <v>4762</v>
      </c>
      <c r="AL25" s="60"/>
      <c r="AM25" s="150">
        <f t="shared" si="1"/>
        <v>7130.1247771836006</v>
      </c>
      <c r="AN25" s="47" t="s">
        <v>4652</v>
      </c>
      <c r="AO25" s="47"/>
      <c r="AP25" s="47"/>
      <c r="AQ25" s="47"/>
      <c r="AR25" s="47"/>
      <c r="AS25" s="47"/>
      <c r="AT25" s="47"/>
      <c r="AU25" s="47"/>
      <c r="AV25" s="47"/>
      <c r="AW25" s="47"/>
      <c r="AX25" s="47"/>
      <c r="AY25" s="47"/>
      <c r="AZ25" s="47"/>
      <c r="BA25" s="47"/>
      <c r="BB25" s="47"/>
      <c r="BC25" s="47"/>
      <c r="BD25" s="47"/>
      <c r="BE25" s="47"/>
      <c r="BF25" s="47"/>
      <c r="BG25" s="47"/>
      <c r="BH25" s="47"/>
      <c r="BI25" s="47"/>
      <c r="BJ25" s="47"/>
      <c r="BK25" s="47"/>
      <c r="BL25" s="47"/>
      <c r="BM25" s="47"/>
      <c r="BN25" s="47"/>
      <c r="BO25" s="47"/>
      <c r="BP25" s="47"/>
      <c r="BQ25" s="47"/>
      <c r="BR25" s="47"/>
      <c r="BS25" s="47"/>
      <c r="BT25" s="47"/>
      <c r="BU25" s="47"/>
      <c r="BV25" s="47"/>
      <c r="BW25" s="47"/>
      <c r="BX25" s="47"/>
    </row>
    <row r="26" spans="1:76" s="34" customFormat="1" ht="53.25" hidden="1" customHeight="1">
      <c r="A26" s="351" t="s">
        <v>4763</v>
      </c>
      <c r="B26" s="66"/>
      <c r="C26" s="324">
        <v>44070</v>
      </c>
      <c r="D26" s="66" t="s">
        <v>4764</v>
      </c>
      <c r="E26" s="66" t="s">
        <v>4765</v>
      </c>
      <c r="F26" s="66" t="s">
        <v>4766</v>
      </c>
      <c r="G26" s="98">
        <v>40000</v>
      </c>
      <c r="H26" s="98"/>
      <c r="I26" s="66" t="s">
        <v>4767</v>
      </c>
      <c r="J26" s="66" t="s">
        <v>4459</v>
      </c>
      <c r="K26" s="66" t="s">
        <v>4768</v>
      </c>
      <c r="L26" s="100">
        <v>48.348934</v>
      </c>
      <c r="M26" s="101" t="s">
        <v>4769</v>
      </c>
      <c r="N26" s="123">
        <v>12.96</v>
      </c>
      <c r="O26" s="66" t="s">
        <v>4770</v>
      </c>
      <c r="P26" s="66" t="s">
        <v>206</v>
      </c>
      <c r="Q26" s="450" t="s">
        <v>4771</v>
      </c>
      <c r="R26" s="66" t="s">
        <v>4772</v>
      </c>
      <c r="S26" s="66">
        <v>5.4</v>
      </c>
      <c r="T26" s="66" t="s">
        <v>4773</v>
      </c>
      <c r="U26" s="66"/>
      <c r="V26" s="66"/>
      <c r="W26" s="66" t="s">
        <v>4774</v>
      </c>
      <c r="X26" s="98"/>
      <c r="Y26" s="123">
        <v>6.9</v>
      </c>
      <c r="Z26" s="123"/>
      <c r="AA26" s="99"/>
      <c r="AB26" s="66"/>
      <c r="AC26" s="124"/>
      <c r="AD26" s="98"/>
      <c r="AE26" s="98"/>
      <c r="AF26" s="123"/>
      <c r="AG26" s="98"/>
      <c r="AH26" s="66"/>
      <c r="AI26" s="66"/>
      <c r="AJ26" s="66"/>
      <c r="AK26" s="66" t="s">
        <v>4775</v>
      </c>
      <c r="AL26" s="66"/>
      <c r="AM26" s="465">
        <f t="shared" si="1"/>
        <v>3086.4197530864194</v>
      </c>
      <c r="AN26" s="47" t="s">
        <v>4652</v>
      </c>
      <c r="AO26" s="47"/>
      <c r="AP26" s="47"/>
      <c r="AQ26" s="47"/>
      <c r="AR26" s="47"/>
      <c r="AS26" s="47"/>
      <c r="AT26" s="47"/>
      <c r="AU26" s="47"/>
      <c r="AV26" s="47"/>
      <c r="AW26" s="47"/>
      <c r="AX26" s="47"/>
      <c r="AY26" s="47"/>
      <c r="AZ26" s="47"/>
      <c r="BA26" s="47"/>
      <c r="BB26" s="47"/>
      <c r="BC26" s="47"/>
      <c r="BD26" s="47"/>
      <c r="BE26" s="47"/>
      <c r="BF26" s="47"/>
      <c r="BG26" s="47"/>
      <c r="BH26" s="47"/>
      <c r="BI26" s="47"/>
      <c r="BJ26" s="47"/>
      <c r="BK26" s="47"/>
      <c r="BL26" s="47"/>
      <c r="BM26" s="47"/>
      <c r="BN26" s="47"/>
      <c r="BO26" s="47"/>
      <c r="BP26" s="47"/>
      <c r="BQ26" s="47"/>
      <c r="BR26" s="47"/>
      <c r="BS26" s="47"/>
      <c r="BT26" s="47"/>
      <c r="BU26" s="47"/>
      <c r="BV26" s="47"/>
      <c r="BW26" s="47"/>
      <c r="BX26" s="47"/>
    </row>
    <row r="27" spans="1:76" s="43" customFormat="1" ht="39" hidden="1" customHeight="1">
      <c r="A27" s="187">
        <v>25662799</v>
      </c>
      <c r="C27" s="51">
        <v>44078</v>
      </c>
      <c r="D27" s="37"/>
      <c r="E27" s="37"/>
      <c r="F27" s="45">
        <v>6367545</v>
      </c>
      <c r="G27" s="16">
        <v>240000</v>
      </c>
      <c r="H27" s="16"/>
      <c r="I27" s="43" t="s">
        <v>53</v>
      </c>
      <c r="J27" s="43" t="s">
        <v>4776</v>
      </c>
      <c r="K27" s="43" t="s">
        <v>4777</v>
      </c>
      <c r="L27" s="25" t="s">
        <v>4778</v>
      </c>
      <c r="M27" s="26" t="s">
        <v>4779</v>
      </c>
      <c r="N27" s="46">
        <v>48.89</v>
      </c>
      <c r="O27" s="43" t="s">
        <v>18</v>
      </c>
      <c r="P27" s="47" t="s">
        <v>154</v>
      </c>
      <c r="Q27" s="267">
        <v>3</v>
      </c>
      <c r="R27" s="47" t="s">
        <v>4780</v>
      </c>
      <c r="S27" s="43">
        <f>8.5+0.6+2.8</f>
        <v>11.899999999999999</v>
      </c>
      <c r="T27" s="43" t="s">
        <v>4781</v>
      </c>
      <c r="X27" s="16"/>
      <c r="Y27" s="46">
        <v>34</v>
      </c>
      <c r="Z27" s="46"/>
      <c r="AA27" s="102"/>
      <c r="AC27" s="87"/>
      <c r="AD27" s="16"/>
      <c r="AE27" s="103"/>
      <c r="AF27" s="46"/>
      <c r="AG27" s="16"/>
      <c r="AK27" s="37"/>
      <c r="AL27" s="47"/>
      <c r="AM27" s="16">
        <f t="shared" si="1"/>
        <v>4908.9793413786047</v>
      </c>
      <c r="AN27" s="47"/>
      <c r="AO27" s="47"/>
      <c r="AP27" s="47"/>
      <c r="AQ27" s="47"/>
      <c r="AR27" s="47"/>
      <c r="AS27" s="47"/>
      <c r="AT27" s="47"/>
      <c r="AU27" s="47"/>
      <c r="AV27" s="47"/>
      <c r="AW27" s="47"/>
      <c r="AX27" s="47"/>
      <c r="AY27" s="47"/>
      <c r="AZ27" s="47"/>
      <c r="BA27" s="47"/>
      <c r="BB27" s="47"/>
      <c r="BC27" s="47"/>
      <c r="BD27" s="47"/>
      <c r="BE27" s="47"/>
      <c r="BF27" s="47"/>
      <c r="BG27" s="47"/>
      <c r="BH27" s="47"/>
      <c r="BI27" s="47"/>
      <c r="BJ27" s="47"/>
      <c r="BK27" s="47"/>
      <c r="BL27" s="47"/>
      <c r="BM27" s="47"/>
      <c r="BN27" s="47"/>
      <c r="BO27" s="47"/>
      <c r="BP27" s="47"/>
      <c r="BQ27" s="47"/>
      <c r="BR27" s="47"/>
      <c r="BS27" s="47"/>
      <c r="BT27" s="47"/>
      <c r="BU27" s="47"/>
      <c r="BV27" s="47"/>
      <c r="BW27" s="47"/>
      <c r="BX27" s="47"/>
    </row>
    <row r="28" spans="1:76" s="47" customFormat="1" ht="39" hidden="1" customHeight="1">
      <c r="A28" s="196">
        <v>25700380</v>
      </c>
      <c r="B28"/>
      <c r="C28" s="317">
        <v>44096</v>
      </c>
      <c r="D28" t="s">
        <v>4782</v>
      </c>
      <c r="E28" t="s">
        <v>4783</v>
      </c>
      <c r="F28" s="269" t="s">
        <v>4784</v>
      </c>
      <c r="G28" s="94">
        <v>410000</v>
      </c>
      <c r="H28" s="94"/>
      <c r="I28" t="s">
        <v>37</v>
      </c>
      <c r="J28" t="s">
        <v>239</v>
      </c>
      <c r="K28" t="s">
        <v>240</v>
      </c>
      <c r="L28" s="96" t="s">
        <v>4785</v>
      </c>
      <c r="M28" s="245" t="s">
        <v>4786</v>
      </c>
      <c r="N28" s="63">
        <f>20.25+12.54</f>
        <v>32.79</v>
      </c>
      <c r="O28" s="43" t="s">
        <v>36</v>
      </c>
      <c r="P28" t="s">
        <v>35</v>
      </c>
      <c r="Q28" s="436">
        <v>2</v>
      </c>
      <c r="R28" t="s">
        <v>4669</v>
      </c>
      <c r="S28">
        <f>5.8+0.08+3.9+0.7+1.5</f>
        <v>11.979999999999999</v>
      </c>
      <c r="T28"/>
      <c r="U28"/>
      <c r="V28"/>
      <c r="W28"/>
      <c r="X28" s="94"/>
      <c r="Y28" s="63">
        <v>13.2</v>
      </c>
      <c r="Z28" s="63"/>
      <c r="AA28" s="97"/>
      <c r="AB28"/>
      <c r="AC28" s="65"/>
      <c r="AD28" s="94"/>
      <c r="AE28" s="94"/>
      <c r="AF28" s="63"/>
      <c r="AG28" s="94"/>
      <c r="AH28"/>
      <c r="AI28"/>
      <c r="AJ28"/>
      <c r="AK28" s="20" t="s">
        <v>4787</v>
      </c>
      <c r="AL28"/>
      <c r="AM28" s="1">
        <f t="shared" si="1"/>
        <v>12503.812137846904</v>
      </c>
    </row>
    <row r="29" spans="1:76" s="47" customFormat="1" ht="39" hidden="1" customHeight="1">
      <c r="A29" s="194">
        <v>25934008</v>
      </c>
      <c r="B29" s="139"/>
      <c r="C29" s="148">
        <v>44106</v>
      </c>
      <c r="D29" s="60" t="s">
        <v>4788</v>
      </c>
      <c r="E29" s="60" t="s">
        <v>4789</v>
      </c>
      <c r="F29" s="140" t="s">
        <v>4790</v>
      </c>
      <c r="G29" s="150">
        <v>1070000</v>
      </c>
      <c r="H29" s="150"/>
      <c r="I29" s="139" t="s">
        <v>75</v>
      </c>
      <c r="J29" s="139" t="s">
        <v>1972</v>
      </c>
      <c r="K29" s="139" t="s">
        <v>4791</v>
      </c>
      <c r="L29" s="151" t="s">
        <v>4792</v>
      </c>
      <c r="M29" s="155" t="s">
        <v>4793</v>
      </c>
      <c r="N29" s="144">
        <f>7.74+13.97+1.57+5.89+14.82+4.57+23.17</f>
        <v>71.73</v>
      </c>
      <c r="O29" s="139" t="s">
        <v>764</v>
      </c>
      <c r="P29" s="60" t="s">
        <v>206</v>
      </c>
      <c r="Q29" s="437">
        <v>2</v>
      </c>
      <c r="R29" s="60" t="s">
        <v>4669</v>
      </c>
      <c r="S29" s="139">
        <f>7.74+12.9+0.8+3.6+12.6+4.3+5.7+7.3</f>
        <v>54.94</v>
      </c>
      <c r="T29" s="139" t="s">
        <v>4596</v>
      </c>
      <c r="U29" s="139"/>
      <c r="V29" s="139"/>
      <c r="W29" s="139"/>
      <c r="X29" s="150"/>
      <c r="Y29" s="144">
        <f>0.8+0.8+1+9.5</f>
        <v>12.1</v>
      </c>
      <c r="Z29" s="144"/>
      <c r="AA29" s="152"/>
      <c r="AB29" s="139"/>
      <c r="AC29" s="146"/>
      <c r="AD29" s="150"/>
      <c r="AE29" s="159"/>
      <c r="AF29" s="144"/>
      <c r="AG29" s="150"/>
      <c r="AH29" s="139"/>
      <c r="AI29" s="139"/>
      <c r="AJ29" s="139"/>
      <c r="AK29" s="60"/>
      <c r="AL29" s="60"/>
      <c r="AM29" s="150">
        <f t="shared" si="1"/>
        <v>14917.050048794088</v>
      </c>
    </row>
    <row r="30" spans="1:76" s="47" customFormat="1" ht="39" hidden="1" customHeight="1">
      <c r="A30" s="194">
        <v>27123066</v>
      </c>
      <c r="B30" s="139"/>
      <c r="C30" s="148">
        <v>44116</v>
      </c>
      <c r="D30" s="60" t="s">
        <v>4794</v>
      </c>
      <c r="E30" s="60" t="s">
        <v>4795</v>
      </c>
      <c r="F30" s="139" t="s">
        <v>4796</v>
      </c>
      <c r="G30" s="141">
        <v>200000</v>
      </c>
      <c r="H30" s="141"/>
      <c r="I30" s="139" t="s">
        <v>602</v>
      </c>
      <c r="J30" s="139" t="s">
        <v>4797</v>
      </c>
      <c r="K30" s="139" t="s">
        <v>4798</v>
      </c>
      <c r="L30" s="141" t="s">
        <v>4799</v>
      </c>
      <c r="M30" s="141" t="s">
        <v>4800</v>
      </c>
      <c r="N30" s="144">
        <f>(186034.297+110432.203)/10000</f>
        <v>29.646650000000001</v>
      </c>
      <c r="O30" s="139" t="s">
        <v>18</v>
      </c>
      <c r="P30" s="60" t="s">
        <v>3970</v>
      </c>
      <c r="Q30" s="437">
        <v>4</v>
      </c>
      <c r="R30" s="60" t="s">
        <v>4801</v>
      </c>
      <c r="S30" s="139">
        <f>0.2+8.5+3.5+2.6+1.8</f>
        <v>16.599999999999998</v>
      </c>
      <c r="T30" s="139" t="s">
        <v>4596</v>
      </c>
      <c r="U30" s="139"/>
      <c r="V30" s="139"/>
      <c r="W30" s="139"/>
      <c r="X30" s="141"/>
      <c r="Y30" s="144">
        <f>Terre!$N66-Terre!$S66</f>
        <v>0.98</v>
      </c>
      <c r="Z30" s="144"/>
      <c r="AA30" s="145"/>
      <c r="AB30" s="139"/>
      <c r="AC30" s="146"/>
      <c r="AD30" s="141"/>
      <c r="AE30" s="158"/>
      <c r="AF30" s="144"/>
      <c r="AG30" s="141"/>
      <c r="AH30" s="139"/>
      <c r="AI30" s="139"/>
      <c r="AJ30" s="139"/>
      <c r="AK30" s="60"/>
      <c r="AL30" s="60"/>
      <c r="AM30" s="141">
        <f t="shared" si="1"/>
        <v>6746.1247729507377</v>
      </c>
    </row>
    <row r="31" spans="1:76" s="47" customFormat="1" ht="39" hidden="1" customHeight="1">
      <c r="A31" s="194">
        <v>25764750</v>
      </c>
      <c r="B31" s="139"/>
      <c r="C31" s="148">
        <v>44119</v>
      </c>
      <c r="D31" s="60" t="s">
        <v>4802</v>
      </c>
      <c r="E31" s="60" t="s">
        <v>4803</v>
      </c>
      <c r="F31" s="140" t="s">
        <v>4804</v>
      </c>
      <c r="G31" s="141">
        <v>100000</v>
      </c>
      <c r="H31" s="141"/>
      <c r="I31" s="139" t="s">
        <v>515</v>
      </c>
      <c r="J31" s="139" t="s">
        <v>515</v>
      </c>
      <c r="K31" s="139" t="s">
        <v>4805</v>
      </c>
      <c r="L31" s="142" t="s">
        <v>4806</v>
      </c>
      <c r="M31" s="143" t="s">
        <v>4807</v>
      </c>
      <c r="N31" s="144">
        <v>12.71</v>
      </c>
      <c r="O31" s="139" t="s">
        <v>18</v>
      </c>
      <c r="P31" s="60" t="s">
        <v>206</v>
      </c>
      <c r="Q31" s="439">
        <v>4</v>
      </c>
      <c r="R31" s="161" t="s">
        <v>4687</v>
      </c>
      <c r="S31" s="139">
        <v>7.2</v>
      </c>
      <c r="T31" s="139" t="s">
        <v>4596</v>
      </c>
      <c r="U31" s="139"/>
      <c r="V31" s="139"/>
      <c r="W31" s="139"/>
      <c r="X31" s="141"/>
      <c r="Y31" s="144">
        <v>3.3</v>
      </c>
      <c r="Z31" s="144"/>
      <c r="AA31" s="145"/>
      <c r="AB31" s="139"/>
      <c r="AC31" s="146"/>
      <c r="AD31" s="141"/>
      <c r="AE31" s="158"/>
      <c r="AF31" s="144"/>
      <c r="AG31" s="141"/>
      <c r="AH31" s="139"/>
      <c r="AI31" s="139"/>
      <c r="AJ31" s="139"/>
      <c r="AK31" s="60"/>
      <c r="AL31" s="60" t="s">
        <v>4808</v>
      </c>
      <c r="AM31" s="141">
        <f t="shared" si="1"/>
        <v>7867.8206136900071</v>
      </c>
    </row>
    <row r="32" spans="1:76" s="47" customFormat="1" ht="39" hidden="1" customHeight="1">
      <c r="A32" s="196">
        <v>25767842</v>
      </c>
      <c r="B32"/>
      <c r="C32" s="317">
        <v>44120</v>
      </c>
      <c r="D32" t="s">
        <v>4809</v>
      </c>
      <c r="E32" s="20" t="s">
        <v>4810</v>
      </c>
      <c r="F32" s="269">
        <v>6185182</v>
      </c>
      <c r="G32" s="94">
        <v>1800000</v>
      </c>
      <c r="H32" s="94"/>
      <c r="I32"/>
      <c r="J32" t="s">
        <v>4811</v>
      </c>
      <c r="K32" t="s">
        <v>4812</v>
      </c>
      <c r="L32" s="96" t="s">
        <v>4813</v>
      </c>
      <c r="M32" s="245" t="s">
        <v>4814</v>
      </c>
      <c r="N32" s="63">
        <v>52.83</v>
      </c>
      <c r="O32" s="43" t="s">
        <v>36</v>
      </c>
      <c r="P32" t="s">
        <v>35</v>
      </c>
      <c r="Q32" s="436">
        <v>2</v>
      </c>
      <c r="R32" t="s">
        <v>4669</v>
      </c>
      <c r="S32">
        <f>2.3+2.1+2.9+3.8+6.4+2.9+6.6+2.4+3.4</f>
        <v>32.799999999999997</v>
      </c>
      <c r="T32"/>
      <c r="U32"/>
      <c r="V32"/>
      <c r="W32"/>
      <c r="X32" s="94"/>
      <c r="Y32" s="63">
        <v>15</v>
      </c>
      <c r="Z32" s="63"/>
      <c r="AA32" s="97"/>
      <c r="AB32"/>
      <c r="AC32" s="65"/>
      <c r="AD32" s="94"/>
      <c r="AE32" s="94"/>
      <c r="AF32" s="63"/>
      <c r="AG32" s="94"/>
      <c r="AH32"/>
      <c r="AI32"/>
      <c r="AJ32"/>
      <c r="AK32"/>
      <c r="AL32"/>
      <c r="AM32" s="1">
        <f t="shared" si="1"/>
        <v>34071.550255536626</v>
      </c>
    </row>
    <row r="33" spans="1:39" s="47" customFormat="1" ht="39" hidden="1" customHeight="1">
      <c r="A33" s="194">
        <v>26442237</v>
      </c>
      <c r="B33" s="139"/>
      <c r="C33" s="148">
        <v>44123</v>
      </c>
      <c r="D33" s="60" t="s">
        <v>2706</v>
      </c>
      <c r="E33" s="60" t="s">
        <v>4815</v>
      </c>
      <c r="F33" s="140" t="s">
        <v>4816</v>
      </c>
      <c r="G33" s="150">
        <v>525000</v>
      </c>
      <c r="H33" s="150"/>
      <c r="I33" s="139" t="s">
        <v>16</v>
      </c>
      <c r="J33" s="139" t="s">
        <v>4817</v>
      </c>
      <c r="K33" s="139" t="s">
        <v>4818</v>
      </c>
      <c r="L33" s="151">
        <v>46.728979000000002</v>
      </c>
      <c r="M33" s="151">
        <v>-70.951183999999998</v>
      </c>
      <c r="N33" s="144">
        <v>29.93</v>
      </c>
      <c r="O33" s="139" t="s">
        <v>36</v>
      </c>
      <c r="P33" s="60" t="s">
        <v>206</v>
      </c>
      <c r="Q33" s="437">
        <v>3</v>
      </c>
      <c r="R33" s="60" t="s">
        <v>4669</v>
      </c>
      <c r="S33" s="139">
        <v>21.2</v>
      </c>
      <c r="T33" s="139" t="s">
        <v>4819</v>
      </c>
      <c r="U33" s="139" t="s">
        <v>36</v>
      </c>
      <c r="V33" s="139" t="s">
        <v>4820</v>
      </c>
      <c r="W33" s="139"/>
      <c r="X33" s="150" t="s">
        <v>4821</v>
      </c>
      <c r="Y33" s="144"/>
      <c r="Z33" s="144"/>
      <c r="AA33" s="152"/>
      <c r="AB33" s="139"/>
      <c r="AC33" s="146"/>
      <c r="AD33" s="150"/>
      <c r="AE33" s="159"/>
      <c r="AF33" s="144"/>
      <c r="AG33" s="150"/>
      <c r="AH33" s="139"/>
      <c r="AI33" s="139"/>
      <c r="AJ33" s="139"/>
      <c r="AK33" s="60" t="s">
        <v>4822</v>
      </c>
      <c r="AL33" s="60"/>
      <c r="AM33" s="150">
        <f t="shared" si="1"/>
        <v>17540.928833945873</v>
      </c>
    </row>
    <row r="34" spans="1:39" s="113" customFormat="1" ht="39" hidden="1" customHeight="1">
      <c r="A34" s="194">
        <v>25847015</v>
      </c>
      <c r="B34" s="139"/>
      <c r="C34" s="148">
        <v>44148</v>
      </c>
      <c r="D34" s="60" t="s">
        <v>4823</v>
      </c>
      <c r="E34" s="60" t="s">
        <v>4824</v>
      </c>
      <c r="F34" s="140" t="s">
        <v>4825</v>
      </c>
      <c r="G34" s="150">
        <v>262500</v>
      </c>
      <c r="H34" s="150"/>
      <c r="I34" s="139" t="s">
        <v>515</v>
      </c>
      <c r="J34" s="139" t="s">
        <v>515</v>
      </c>
      <c r="K34" s="139" t="s">
        <v>2735</v>
      </c>
      <c r="L34" s="151" t="s">
        <v>4826</v>
      </c>
      <c r="M34" s="155" t="s">
        <v>4827</v>
      </c>
      <c r="N34" s="144">
        <v>20.27</v>
      </c>
      <c r="O34" s="139" t="s">
        <v>18</v>
      </c>
      <c r="P34" s="60" t="s">
        <v>206</v>
      </c>
      <c r="Q34" s="439">
        <v>3</v>
      </c>
      <c r="R34" s="60" t="s">
        <v>4669</v>
      </c>
      <c r="S34" s="139">
        <v>10</v>
      </c>
      <c r="T34" s="139" t="s">
        <v>4828</v>
      </c>
      <c r="U34" s="139"/>
      <c r="V34" s="139"/>
      <c r="W34" s="139"/>
      <c r="X34" s="150"/>
      <c r="Y34" s="144">
        <v>6.5</v>
      </c>
      <c r="Z34" s="144"/>
      <c r="AA34" s="152"/>
      <c r="AB34" s="139"/>
      <c r="AC34" s="146"/>
      <c r="AD34" s="150"/>
      <c r="AE34" s="159"/>
      <c r="AF34" s="144"/>
      <c r="AG34" s="150"/>
      <c r="AH34" s="139"/>
      <c r="AI34" s="139"/>
      <c r="AJ34" s="139"/>
      <c r="AK34" s="60"/>
      <c r="AL34" s="60"/>
      <c r="AM34" s="141">
        <f t="shared" si="1"/>
        <v>12950.17266896892</v>
      </c>
    </row>
    <row r="35" spans="1:39" s="47" customFormat="1" ht="39" hidden="1" customHeight="1">
      <c r="A35" s="194">
        <v>26058624</v>
      </c>
      <c r="B35" s="139"/>
      <c r="C35" s="148">
        <v>44166</v>
      </c>
      <c r="D35" s="60" t="s">
        <v>4829</v>
      </c>
      <c r="E35" s="60" t="s">
        <v>4830</v>
      </c>
      <c r="F35" s="139" t="s">
        <v>4831</v>
      </c>
      <c r="G35" s="141">
        <v>1043700</v>
      </c>
      <c r="H35" s="141"/>
      <c r="I35" s="139" t="s">
        <v>747</v>
      </c>
      <c r="J35" s="139" t="s">
        <v>929</v>
      </c>
      <c r="K35" s="139" t="s">
        <v>4832</v>
      </c>
      <c r="L35" s="141" t="s">
        <v>4833</v>
      </c>
      <c r="M35" s="141" t="s">
        <v>4834</v>
      </c>
      <c r="N35" s="144">
        <f>25.8+21.49</f>
        <v>47.29</v>
      </c>
      <c r="O35" s="139" t="s">
        <v>18</v>
      </c>
      <c r="P35" s="60" t="s">
        <v>206</v>
      </c>
      <c r="Q35" s="437" t="s">
        <v>4835</v>
      </c>
      <c r="R35" s="60" t="s">
        <v>4595</v>
      </c>
      <c r="S35" s="139">
        <f>9.3+3.9+24.4-0.3</f>
        <v>37.300000000000004</v>
      </c>
      <c r="T35" s="139" t="s">
        <v>4836</v>
      </c>
      <c r="U35" s="139">
        <v>25.8</v>
      </c>
      <c r="V35" s="139" t="s">
        <v>4837</v>
      </c>
      <c r="W35" s="139"/>
      <c r="X35" s="141"/>
      <c r="Y35" s="144">
        <v>0.4</v>
      </c>
      <c r="Z35" s="144"/>
      <c r="AA35" s="145"/>
      <c r="AB35" s="139"/>
      <c r="AC35" s="146"/>
      <c r="AD35" s="141"/>
      <c r="AE35" s="158"/>
      <c r="AF35" s="144"/>
      <c r="AG35" s="141"/>
      <c r="AH35" s="139"/>
      <c r="AI35" s="139"/>
      <c r="AJ35" s="139"/>
      <c r="AK35" s="60"/>
      <c r="AL35" s="60"/>
      <c r="AM35" s="141">
        <f t="shared" si="1"/>
        <v>22070.205117360965</v>
      </c>
    </row>
    <row r="36" spans="1:39" ht="39" customHeight="1">
      <c r="A36" s="187">
        <v>25988798</v>
      </c>
      <c r="B36" s="43"/>
      <c r="C36" s="51">
        <v>44210</v>
      </c>
      <c r="D36" s="37" t="s">
        <v>4838</v>
      </c>
      <c r="E36" s="37" t="s">
        <v>4839</v>
      </c>
      <c r="F36" s="45">
        <v>3977389</v>
      </c>
      <c r="G36" s="16" t="s">
        <v>4840</v>
      </c>
      <c r="H36" s="16"/>
      <c r="I36" s="43"/>
      <c r="J36" s="43" t="s">
        <v>4841</v>
      </c>
      <c r="K36" s="43">
        <v>0</v>
      </c>
      <c r="L36" s="25"/>
      <c r="M36" s="26"/>
      <c r="N36" s="46"/>
      <c r="O36" s="43"/>
      <c r="P36" s="47"/>
      <c r="Q36" s="267"/>
      <c r="R36" s="47"/>
      <c r="S36" s="43"/>
      <c r="T36" s="43"/>
      <c r="U36" s="43"/>
      <c r="V36" s="43"/>
      <c r="W36" s="43"/>
      <c r="X36" s="16"/>
      <c r="Y36" s="46"/>
      <c r="Z36" s="46"/>
      <c r="AA36" s="102"/>
      <c r="AB36" s="43"/>
      <c r="AC36" s="87"/>
      <c r="AD36" s="16"/>
      <c r="AE36" s="103"/>
      <c r="AF36" s="46"/>
      <c r="AG36" s="16"/>
      <c r="AH36" s="43"/>
      <c r="AI36" s="43"/>
      <c r="AJ36" s="43" t="s">
        <v>4842</v>
      </c>
      <c r="AK36" s="37"/>
      <c r="AL36" s="47"/>
      <c r="AM36" s="74" t="e">
        <f t="shared" si="1"/>
        <v>#VALUE!</v>
      </c>
    </row>
    <row r="37" spans="1:39" s="115" customFormat="1" ht="39" hidden="1" customHeight="1">
      <c r="A37" s="229">
        <v>26028123</v>
      </c>
      <c r="B37" s="139"/>
      <c r="C37" s="148">
        <v>44211</v>
      </c>
      <c r="D37" s="60" t="s">
        <v>4843</v>
      </c>
      <c r="E37" s="60" t="s">
        <v>4844</v>
      </c>
      <c r="F37" s="139" t="s">
        <v>4845</v>
      </c>
      <c r="G37" s="160">
        <v>615000</v>
      </c>
      <c r="H37" s="141"/>
      <c r="I37" s="139" t="s">
        <v>16</v>
      </c>
      <c r="J37" s="139" t="s">
        <v>2233</v>
      </c>
      <c r="K37" s="139" t="s">
        <v>4846</v>
      </c>
      <c r="L37" s="142">
        <v>46.619615000000003</v>
      </c>
      <c r="M37" s="142">
        <v>-70.823859999999996</v>
      </c>
      <c r="N37" s="144">
        <v>41.6</v>
      </c>
      <c r="O37" s="139" t="s">
        <v>36</v>
      </c>
      <c r="P37" s="60" t="s">
        <v>4847</v>
      </c>
      <c r="Q37" s="437">
        <v>7</v>
      </c>
      <c r="R37" s="60" t="s">
        <v>4604</v>
      </c>
      <c r="S37" s="139">
        <f>15.4+8.7+16.1</f>
        <v>40.200000000000003</v>
      </c>
      <c r="T37" s="139" t="s">
        <v>4596</v>
      </c>
      <c r="U37" s="139">
        <v>0</v>
      </c>
      <c r="V37" s="139" t="s">
        <v>4837</v>
      </c>
      <c r="W37" s="139"/>
      <c r="X37" s="141" t="s">
        <v>4848</v>
      </c>
      <c r="Y37" s="144"/>
      <c r="Z37" s="144"/>
      <c r="AA37" s="145"/>
      <c r="AB37" s="139"/>
      <c r="AC37" s="146"/>
      <c r="AD37" s="141"/>
      <c r="AE37" s="158"/>
      <c r="AF37" s="144"/>
      <c r="AG37" s="141"/>
      <c r="AH37" s="139"/>
      <c r="AI37" s="139"/>
      <c r="AJ37" s="139"/>
      <c r="AK37" s="60"/>
      <c r="AL37" s="60"/>
      <c r="AM37" s="141">
        <f t="shared" si="1"/>
        <v>14783.653846153846</v>
      </c>
    </row>
    <row r="38" spans="1:39" ht="39" hidden="1" customHeight="1">
      <c r="A38" s="194">
        <v>26038743</v>
      </c>
      <c r="B38" s="139"/>
      <c r="C38" s="148">
        <v>44230</v>
      </c>
      <c r="D38" s="60" t="s">
        <v>4849</v>
      </c>
      <c r="E38" s="60" t="s">
        <v>4850</v>
      </c>
      <c r="F38" s="140" t="s">
        <v>4851</v>
      </c>
      <c r="G38" s="141">
        <v>280000</v>
      </c>
      <c r="H38" s="141"/>
      <c r="I38" s="139" t="s">
        <v>328</v>
      </c>
      <c r="J38" s="139" t="s">
        <v>4852</v>
      </c>
      <c r="K38" s="139" t="s">
        <v>4853</v>
      </c>
      <c r="L38" s="142" t="s">
        <v>4854</v>
      </c>
      <c r="M38" s="143" t="s">
        <v>4855</v>
      </c>
      <c r="N38" s="144">
        <v>42.62</v>
      </c>
      <c r="O38" s="139" t="s">
        <v>18</v>
      </c>
      <c r="P38" s="60" t="s">
        <v>4702</v>
      </c>
      <c r="Q38" s="439" t="s">
        <v>4856</v>
      </c>
      <c r="R38" s="60" t="s">
        <v>4669</v>
      </c>
      <c r="S38" s="139">
        <v>24.7</v>
      </c>
      <c r="T38" s="139" t="s">
        <v>4596</v>
      </c>
      <c r="U38" s="139">
        <v>24.7</v>
      </c>
      <c r="V38" s="139" t="s">
        <v>4628</v>
      </c>
      <c r="W38" s="139"/>
      <c r="X38" s="141"/>
      <c r="Y38" s="144">
        <v>15.8</v>
      </c>
      <c r="Z38" s="144"/>
      <c r="AA38" s="145"/>
      <c r="AB38" s="139"/>
      <c r="AC38" s="146"/>
      <c r="AD38" s="141"/>
      <c r="AE38" s="158"/>
      <c r="AF38" s="144"/>
      <c r="AG38" s="141"/>
      <c r="AH38" s="139"/>
      <c r="AI38" s="139"/>
      <c r="AJ38" s="139"/>
      <c r="AK38" s="60"/>
      <c r="AL38" s="60"/>
      <c r="AM38" s="141">
        <f t="shared" si="1"/>
        <v>6569.68559361802</v>
      </c>
    </row>
    <row r="39" spans="1:39" ht="39" hidden="1" customHeight="1">
      <c r="A39" s="194">
        <v>26366489</v>
      </c>
      <c r="B39" s="139"/>
      <c r="C39" s="148">
        <v>44238</v>
      </c>
      <c r="D39" s="60" t="s">
        <v>4857</v>
      </c>
      <c r="E39" s="60" t="s">
        <v>4858</v>
      </c>
      <c r="F39" s="139" t="s">
        <v>4859</v>
      </c>
      <c r="G39" s="141">
        <v>1200000</v>
      </c>
      <c r="H39" s="141"/>
      <c r="I39" s="139" t="s">
        <v>747</v>
      </c>
      <c r="J39" s="139" t="s">
        <v>1390</v>
      </c>
      <c r="K39" s="139" t="s">
        <v>4592</v>
      </c>
      <c r="L39" s="142"/>
      <c r="M39" s="142"/>
      <c r="N39" s="144">
        <v>60.83</v>
      </c>
      <c r="O39" s="139" t="s">
        <v>18</v>
      </c>
      <c r="P39" s="60" t="s">
        <v>206</v>
      </c>
      <c r="Q39" s="437">
        <v>2</v>
      </c>
      <c r="R39" s="60" t="s">
        <v>4669</v>
      </c>
      <c r="S39" s="139">
        <f>3.9+3.7+1.5+1.7+2.7+0.8+20.7+10.6</f>
        <v>45.6</v>
      </c>
      <c r="T39" s="139" t="s">
        <v>4596</v>
      </c>
      <c r="U39" s="139">
        <f>2.7+0.8+20.7+10.6</f>
        <v>34.799999999999997</v>
      </c>
      <c r="V39" s="139" t="s">
        <v>4837</v>
      </c>
      <c r="W39" s="139"/>
      <c r="X39" s="141"/>
      <c r="Y39" s="144">
        <v>11.5</v>
      </c>
      <c r="Z39" s="144"/>
      <c r="AA39" s="145"/>
      <c r="AB39" s="139"/>
      <c r="AC39" s="146"/>
      <c r="AD39" s="141"/>
      <c r="AE39" s="158"/>
      <c r="AF39" s="144"/>
      <c r="AG39" s="141"/>
      <c r="AH39" s="139"/>
      <c r="AI39" s="139"/>
      <c r="AJ39" s="139"/>
      <c r="AK39" s="60"/>
      <c r="AL39" s="60">
        <v>435204</v>
      </c>
      <c r="AM39" s="141">
        <f t="shared" si="1"/>
        <v>19727.108334703273</v>
      </c>
    </row>
    <row r="40" spans="1:39" ht="39" hidden="1" customHeight="1">
      <c r="A40" s="194">
        <v>26855053</v>
      </c>
      <c r="B40" s="139"/>
      <c r="C40" s="148">
        <v>44248</v>
      </c>
      <c r="D40" s="60" t="s">
        <v>4860</v>
      </c>
      <c r="E40" s="60" t="s">
        <v>4861</v>
      </c>
      <c r="F40" s="140" t="s">
        <v>4862</v>
      </c>
      <c r="G40" s="150">
        <v>270000</v>
      </c>
      <c r="H40" s="150"/>
      <c r="I40" s="139" t="s">
        <v>170</v>
      </c>
      <c r="J40" s="139" t="s">
        <v>171</v>
      </c>
      <c r="K40" s="139" t="s">
        <v>4863</v>
      </c>
      <c r="L40" s="151">
        <v>49.099037000000003</v>
      </c>
      <c r="M40" s="155">
        <v>-68.469449999999995</v>
      </c>
      <c r="N40" s="144">
        <v>143.99</v>
      </c>
      <c r="O40" s="139" t="s">
        <v>764</v>
      </c>
      <c r="P40" s="60" t="s">
        <v>4864</v>
      </c>
      <c r="Q40" s="439">
        <v>7</v>
      </c>
      <c r="R40" s="60" t="s">
        <v>4865</v>
      </c>
      <c r="S40" s="139">
        <v>35.4</v>
      </c>
      <c r="T40" s="139" t="s">
        <v>4828</v>
      </c>
      <c r="U40" s="139">
        <v>0</v>
      </c>
      <c r="V40" s="139" t="s">
        <v>4628</v>
      </c>
      <c r="W40" s="139"/>
      <c r="X40" s="150"/>
      <c r="Y40" s="144">
        <v>105.59</v>
      </c>
      <c r="Z40" s="144"/>
      <c r="AA40" s="152">
        <v>3</v>
      </c>
      <c r="AB40" s="139"/>
      <c r="AC40" s="146"/>
      <c r="AD40" s="150"/>
      <c r="AE40" s="159"/>
      <c r="AF40" s="144"/>
      <c r="AG40" s="150"/>
      <c r="AH40" s="139"/>
      <c r="AI40" s="139"/>
      <c r="AJ40" s="139"/>
      <c r="AK40" s="60"/>
      <c r="AL40" s="60"/>
      <c r="AM40" s="141">
        <f t="shared" si="1"/>
        <v>1875.1302173762065</v>
      </c>
    </row>
    <row r="41" spans="1:39" ht="39" hidden="1" customHeight="1">
      <c r="A41" s="196">
        <v>26089976</v>
      </c>
      <c r="C41" s="317">
        <v>44251</v>
      </c>
      <c r="D41" t="s">
        <v>4866</v>
      </c>
      <c r="E41" t="s">
        <v>4867</v>
      </c>
      <c r="F41" s="269">
        <v>2114957</v>
      </c>
      <c r="G41" s="94">
        <v>600000</v>
      </c>
      <c r="I41" t="s">
        <v>4811</v>
      </c>
      <c r="J41" t="s">
        <v>4868</v>
      </c>
      <c r="K41" s="96" t="s">
        <v>4869</v>
      </c>
      <c r="N41" s="63">
        <v>10.87</v>
      </c>
      <c r="Q41" s="436">
        <v>2</v>
      </c>
      <c r="R41" t="s">
        <v>4669</v>
      </c>
      <c r="S41">
        <v>10.3</v>
      </c>
      <c r="AM41" s="1">
        <f t="shared" si="1"/>
        <v>55197.79208831647</v>
      </c>
    </row>
    <row r="42" spans="1:39" ht="39" hidden="1" customHeight="1">
      <c r="A42" s="196">
        <v>26092156</v>
      </c>
      <c r="C42" s="317">
        <v>44252</v>
      </c>
      <c r="D42" t="s">
        <v>4870</v>
      </c>
      <c r="E42" t="s">
        <v>4871</v>
      </c>
      <c r="F42" s="269">
        <v>2600991</v>
      </c>
      <c r="G42" s="94">
        <v>2050000</v>
      </c>
      <c r="J42" t="s">
        <v>239</v>
      </c>
      <c r="K42" t="s">
        <v>4872</v>
      </c>
      <c r="N42" s="63">
        <v>40.67</v>
      </c>
      <c r="Q42" s="436">
        <v>2</v>
      </c>
      <c r="R42" t="s">
        <v>4669</v>
      </c>
      <c r="S42">
        <v>39.700000000000003</v>
      </c>
      <c r="AM42" s="1">
        <f t="shared" ref="AM42:AM63" si="2">G42/N42</f>
        <v>50405.704450454876</v>
      </c>
    </row>
    <row r="43" spans="1:39" ht="39" customHeight="1">
      <c r="A43" s="187">
        <v>26097728</v>
      </c>
      <c r="B43" s="43"/>
      <c r="C43" s="51">
        <v>44253</v>
      </c>
      <c r="D43" s="37" t="s">
        <v>4873</v>
      </c>
      <c r="E43" s="37" t="s">
        <v>4874</v>
      </c>
      <c r="F43" s="45" t="s">
        <v>4875</v>
      </c>
      <c r="G43" s="16" t="s">
        <v>4876</v>
      </c>
      <c r="H43" s="16"/>
      <c r="I43" s="43"/>
      <c r="J43" s="43" t="s">
        <v>4656</v>
      </c>
      <c r="K43" s="43">
        <v>0</v>
      </c>
      <c r="L43" s="25"/>
      <c r="M43" s="26"/>
      <c r="N43" s="46"/>
      <c r="O43" s="43"/>
      <c r="P43" s="47"/>
      <c r="Q43" s="267"/>
      <c r="R43" s="47"/>
      <c r="S43" s="43"/>
      <c r="T43" s="43"/>
      <c r="U43" s="43"/>
      <c r="V43" s="43"/>
      <c r="W43" s="43"/>
      <c r="X43" s="16"/>
      <c r="Y43" s="46"/>
      <c r="Z43" s="46"/>
      <c r="AA43" s="102"/>
      <c r="AB43" s="43"/>
      <c r="AC43" s="87"/>
      <c r="AD43" s="16"/>
      <c r="AE43" s="103"/>
      <c r="AF43" s="46"/>
      <c r="AG43" s="16"/>
      <c r="AH43" s="43"/>
      <c r="AI43" s="43"/>
      <c r="AJ43" s="43" t="s">
        <v>4877</v>
      </c>
      <c r="AK43" s="37"/>
      <c r="AL43" s="47"/>
      <c r="AM43" s="74" t="e">
        <f t="shared" si="2"/>
        <v>#VALUE!</v>
      </c>
    </row>
    <row r="44" spans="1:39" ht="39" hidden="1" customHeight="1">
      <c r="A44" s="231">
        <v>26252826</v>
      </c>
      <c r="B44" s="139"/>
      <c r="C44" s="148">
        <v>44265</v>
      </c>
      <c r="D44" s="60" t="s">
        <v>4878</v>
      </c>
      <c r="E44" s="60" t="s">
        <v>4879</v>
      </c>
      <c r="F44" s="139">
        <v>3581441</v>
      </c>
      <c r="G44" s="141">
        <v>271920</v>
      </c>
      <c r="H44" s="141"/>
      <c r="I44" s="34" t="s">
        <v>4880</v>
      </c>
      <c r="J44" s="139" t="s">
        <v>4881</v>
      </c>
      <c r="K44" s="139" t="s">
        <v>4882</v>
      </c>
      <c r="L44" s="142" t="s">
        <v>4883</v>
      </c>
      <c r="M44" s="142" t="s">
        <v>4884</v>
      </c>
      <c r="N44" s="144">
        <v>20.420000000000002</v>
      </c>
      <c r="O44" s="139" t="s">
        <v>36</v>
      </c>
      <c r="P44" s="60" t="s">
        <v>206</v>
      </c>
      <c r="Q44" s="437">
        <v>3</v>
      </c>
      <c r="R44" s="60" t="s">
        <v>4620</v>
      </c>
      <c r="S44" s="139">
        <v>20</v>
      </c>
      <c r="T44" s="139" t="s">
        <v>4596</v>
      </c>
      <c r="U44" s="139"/>
      <c r="V44" s="139"/>
      <c r="W44" s="139"/>
      <c r="X44" s="141" t="s">
        <v>4885</v>
      </c>
      <c r="Y44" s="144"/>
      <c r="Z44" s="144"/>
      <c r="AA44" s="145"/>
      <c r="AB44" s="139"/>
      <c r="AC44" s="146"/>
      <c r="AD44" s="141"/>
      <c r="AE44" s="158"/>
      <c r="AF44" s="144"/>
      <c r="AG44" s="141"/>
      <c r="AH44" s="139"/>
      <c r="AI44" s="139"/>
      <c r="AJ44" s="139"/>
      <c r="AK44" s="60"/>
      <c r="AL44" s="60"/>
      <c r="AM44" s="141">
        <f t="shared" si="2"/>
        <v>13316.35651322233</v>
      </c>
    </row>
    <row r="45" spans="1:39" ht="39" hidden="1" customHeight="1">
      <c r="A45" s="196">
        <v>26128298</v>
      </c>
      <c r="C45" s="317">
        <v>44266</v>
      </c>
      <c r="D45" t="s">
        <v>4886</v>
      </c>
      <c r="E45" t="s">
        <v>4887</v>
      </c>
      <c r="F45" t="s">
        <v>4888</v>
      </c>
      <c r="G45" s="94">
        <v>750000</v>
      </c>
      <c r="N45" s="63">
        <f>(132355.5)/10000+0.02</f>
        <v>13.255549999999999</v>
      </c>
      <c r="AK45" t="s">
        <v>4889</v>
      </c>
      <c r="AM45" s="1">
        <f t="shared" si="2"/>
        <v>56580.074006736802</v>
      </c>
    </row>
    <row r="46" spans="1:39" s="58" customFormat="1" ht="39" hidden="1" customHeight="1">
      <c r="A46" s="194">
        <v>26243246</v>
      </c>
      <c r="B46" s="139"/>
      <c r="C46" s="148">
        <v>44266</v>
      </c>
      <c r="D46" s="60" t="s">
        <v>4890</v>
      </c>
      <c r="E46" s="60" t="s">
        <v>4891</v>
      </c>
      <c r="F46" s="140" t="s">
        <v>4892</v>
      </c>
      <c r="G46" s="150">
        <v>1137500</v>
      </c>
      <c r="H46" s="150"/>
      <c r="I46" s="139" t="s">
        <v>4733</v>
      </c>
      <c r="J46" s="139" t="s">
        <v>4734</v>
      </c>
      <c r="K46" s="139" t="s">
        <v>4735</v>
      </c>
      <c r="L46" s="151" t="s">
        <v>4893</v>
      </c>
      <c r="M46" s="155" t="s">
        <v>4894</v>
      </c>
      <c r="N46" s="144">
        <v>23.42</v>
      </c>
      <c r="O46" s="139" t="s">
        <v>18</v>
      </c>
      <c r="P46" s="60" t="s">
        <v>206</v>
      </c>
      <c r="Q46" s="437">
        <v>3</v>
      </c>
      <c r="R46" s="60" t="s">
        <v>4595</v>
      </c>
      <c r="S46" s="139">
        <v>22.1</v>
      </c>
      <c r="T46" s="139" t="s">
        <v>4596</v>
      </c>
      <c r="U46" s="139">
        <v>22.1</v>
      </c>
      <c r="V46" s="139" t="s">
        <v>4628</v>
      </c>
      <c r="W46" s="139"/>
      <c r="X46" s="150"/>
      <c r="Y46" s="144">
        <v>0</v>
      </c>
      <c r="Z46" s="144"/>
      <c r="AA46" s="152"/>
      <c r="AB46" s="139"/>
      <c r="AC46" s="146"/>
      <c r="AD46" s="150"/>
      <c r="AE46" s="159"/>
      <c r="AF46" s="144"/>
      <c r="AG46" s="150"/>
      <c r="AH46" s="139"/>
      <c r="AI46" s="139"/>
      <c r="AJ46" s="139"/>
      <c r="AK46" s="60"/>
      <c r="AL46" s="60">
        <v>439817</v>
      </c>
      <c r="AM46" s="141">
        <f t="shared" si="2"/>
        <v>48569.598633646456</v>
      </c>
    </row>
    <row r="47" spans="1:39" ht="39" hidden="1" customHeight="1">
      <c r="A47" s="231">
        <v>26550934</v>
      </c>
      <c r="B47" s="139"/>
      <c r="C47" s="148">
        <v>44272</v>
      </c>
      <c r="D47" s="60" t="s">
        <v>4895</v>
      </c>
      <c r="E47" s="60" t="s">
        <v>4896</v>
      </c>
      <c r="F47" s="139">
        <v>3581512</v>
      </c>
      <c r="G47" s="141">
        <v>225000</v>
      </c>
      <c r="H47" s="141"/>
      <c r="I47" s="34" t="s">
        <v>4880</v>
      </c>
      <c r="J47" s="139" t="s">
        <v>4881</v>
      </c>
      <c r="K47" s="139" t="s">
        <v>4881</v>
      </c>
      <c r="L47" s="142" t="s">
        <v>4897</v>
      </c>
      <c r="M47" s="142" t="s">
        <v>4898</v>
      </c>
      <c r="N47" s="144">
        <v>13.21</v>
      </c>
      <c r="O47" s="139" t="s">
        <v>36</v>
      </c>
      <c r="P47" s="60" t="s">
        <v>206</v>
      </c>
      <c r="Q47" s="437">
        <v>4</v>
      </c>
      <c r="R47" s="60" t="s">
        <v>4620</v>
      </c>
      <c r="S47" s="139">
        <v>11.6</v>
      </c>
      <c r="T47" s="139" t="s">
        <v>4596</v>
      </c>
      <c r="U47" s="139">
        <v>11.6</v>
      </c>
      <c r="V47" s="139" t="s">
        <v>4837</v>
      </c>
      <c r="W47" s="139"/>
      <c r="X47" s="141"/>
      <c r="Y47" s="144">
        <v>0.5</v>
      </c>
      <c r="Z47" s="144"/>
      <c r="AA47" s="145"/>
      <c r="AB47" s="139"/>
      <c r="AC47" s="146"/>
      <c r="AD47" s="141"/>
      <c r="AE47" s="158"/>
      <c r="AF47" s="144"/>
      <c r="AG47" s="141"/>
      <c r="AH47" s="139"/>
      <c r="AI47" s="139"/>
      <c r="AJ47" s="139"/>
      <c r="AK47" s="60"/>
      <c r="AL47" s="60" t="s">
        <v>4899</v>
      </c>
      <c r="AM47" s="141">
        <f t="shared" si="2"/>
        <v>17032.551097653293</v>
      </c>
    </row>
    <row r="48" spans="1:39" ht="39" hidden="1" customHeight="1">
      <c r="A48" s="196">
        <v>26151057</v>
      </c>
      <c r="C48" s="317">
        <v>44277</v>
      </c>
      <c r="D48" t="s">
        <v>4900</v>
      </c>
      <c r="E48" t="s">
        <v>4901</v>
      </c>
      <c r="F48" t="s">
        <v>4902</v>
      </c>
      <c r="G48" s="94">
        <v>1300000</v>
      </c>
      <c r="I48" t="s">
        <v>37</v>
      </c>
      <c r="J48" t="s">
        <v>4903</v>
      </c>
      <c r="K48" t="s">
        <v>4904</v>
      </c>
      <c r="L48" s="96" t="s">
        <v>4905</v>
      </c>
      <c r="M48" s="245" t="s">
        <v>4906</v>
      </c>
      <c r="N48" s="63">
        <v>28.52</v>
      </c>
      <c r="O48" s="43" t="s">
        <v>36</v>
      </c>
      <c r="P48" t="s">
        <v>35</v>
      </c>
      <c r="Q48" s="436">
        <v>2</v>
      </c>
      <c r="R48" t="s">
        <v>4669</v>
      </c>
      <c r="S48">
        <v>27</v>
      </c>
      <c r="U48">
        <f>Table3[[#This Row],[Superficie cultivée (ha)]]</f>
        <v>27</v>
      </c>
      <c r="AL48" s="20" t="s">
        <v>4907</v>
      </c>
      <c r="AM48" s="1">
        <f t="shared" si="2"/>
        <v>45582.047685834506</v>
      </c>
    </row>
    <row r="49" spans="1:39" ht="39" hidden="1" customHeight="1">
      <c r="A49" s="187">
        <v>27666634</v>
      </c>
      <c r="B49" s="43"/>
      <c r="C49" s="51">
        <v>44286</v>
      </c>
      <c r="D49" s="37" t="s">
        <v>4908</v>
      </c>
      <c r="E49" s="37" t="s">
        <v>4909</v>
      </c>
      <c r="F49" s="45" t="s">
        <v>4910</v>
      </c>
      <c r="G49" s="16">
        <v>1250000</v>
      </c>
      <c r="H49" s="16"/>
      <c r="I49" s="43" t="s">
        <v>4911</v>
      </c>
      <c r="J49" s="43" t="s">
        <v>4912</v>
      </c>
      <c r="K49" s="43">
        <v>0</v>
      </c>
      <c r="L49" s="25"/>
      <c r="M49" s="26"/>
      <c r="N49" s="46">
        <v>3.9400000000000004</v>
      </c>
      <c r="O49" s="43" t="s">
        <v>25</v>
      </c>
      <c r="P49" s="47"/>
      <c r="Q49" s="267"/>
      <c r="R49" s="47"/>
      <c r="S49" s="43">
        <v>3.9400000000000004</v>
      </c>
      <c r="T49" s="43"/>
      <c r="U49" s="43"/>
      <c r="V49" s="43"/>
      <c r="W49" s="43"/>
      <c r="X49" s="16"/>
      <c r="Y49" s="46"/>
      <c r="Z49" s="46"/>
      <c r="AA49" s="102"/>
      <c r="AB49" s="43"/>
      <c r="AC49" s="87"/>
      <c r="AD49" s="16"/>
      <c r="AE49" s="103"/>
      <c r="AF49" s="46"/>
      <c r="AG49" s="16"/>
      <c r="AH49" s="43"/>
      <c r="AI49" s="43"/>
      <c r="AJ49" s="43" t="s">
        <v>4913</v>
      </c>
      <c r="AK49" s="37">
        <v>0</v>
      </c>
      <c r="AL49" s="47" t="s">
        <v>4914</v>
      </c>
      <c r="AM49" s="74">
        <f t="shared" si="2"/>
        <v>317258.88324873091</v>
      </c>
    </row>
    <row r="50" spans="1:39" ht="39" hidden="1" customHeight="1">
      <c r="A50" s="196">
        <v>26210604</v>
      </c>
      <c r="C50" s="317">
        <v>44300</v>
      </c>
      <c r="D50" t="s">
        <v>4915</v>
      </c>
      <c r="E50" t="s">
        <v>4916</v>
      </c>
      <c r="F50" s="269">
        <v>2867218</v>
      </c>
      <c r="G50" s="94">
        <v>600000</v>
      </c>
      <c r="I50" t="s">
        <v>4917</v>
      </c>
      <c r="J50" t="s">
        <v>4918</v>
      </c>
      <c r="K50" t="s">
        <v>4919</v>
      </c>
      <c r="L50" s="96" t="s">
        <v>4920</v>
      </c>
      <c r="M50" s="245" t="s">
        <v>4921</v>
      </c>
      <c r="N50" s="63">
        <v>9.92</v>
      </c>
      <c r="O50" s="43" t="s">
        <v>36</v>
      </c>
      <c r="P50" t="s">
        <v>35</v>
      </c>
      <c r="Q50" s="436">
        <v>2</v>
      </c>
      <c r="R50" t="s">
        <v>4669</v>
      </c>
      <c r="S50">
        <v>9.3000000000000007</v>
      </c>
      <c r="U50">
        <f>Table3[[#This Row],[Superficie cultivée (ha)]]</f>
        <v>9.3000000000000007</v>
      </c>
      <c r="AM50" s="1">
        <f t="shared" si="2"/>
        <v>60483.870967741939</v>
      </c>
    </row>
    <row r="51" spans="1:39" ht="39" hidden="1" customHeight="1">
      <c r="A51" s="196">
        <v>26211099</v>
      </c>
      <c r="C51" s="317">
        <v>44300</v>
      </c>
      <c r="D51" t="s">
        <v>4922</v>
      </c>
      <c r="E51" t="s">
        <v>4923</v>
      </c>
      <c r="F51" t="s">
        <v>4924</v>
      </c>
      <c r="G51" s="94">
        <v>1900000</v>
      </c>
      <c r="I51" t="s">
        <v>4811</v>
      </c>
      <c r="J51" t="s">
        <v>388</v>
      </c>
      <c r="K51" t="s">
        <v>4925</v>
      </c>
      <c r="N51" s="63">
        <f>8.71+5.04+20.05+27886.3/10000+7.99+0.5</f>
        <v>45.078629999999997</v>
      </c>
      <c r="Q51" s="436">
        <v>2</v>
      </c>
      <c r="R51" t="s">
        <v>4669</v>
      </c>
      <c r="S51">
        <f>7.9+2.8+1.3+0.7+3.6+12</f>
        <v>28.3</v>
      </c>
      <c r="AC51" s="65" t="s">
        <v>4926</v>
      </c>
      <c r="AK51" t="s">
        <v>4927</v>
      </c>
      <c r="AM51" s="1">
        <f t="shared" si="2"/>
        <v>42148.574612848708</v>
      </c>
    </row>
    <row r="52" spans="1:39" ht="39" hidden="1" customHeight="1">
      <c r="A52" s="196">
        <v>26221568</v>
      </c>
      <c r="C52" s="317">
        <v>44302</v>
      </c>
      <c r="D52" t="s">
        <v>4866</v>
      </c>
      <c r="E52" t="s">
        <v>4867</v>
      </c>
      <c r="F52" t="s">
        <v>4928</v>
      </c>
      <c r="G52" s="94">
        <v>3000000</v>
      </c>
      <c r="I52" t="s">
        <v>4811</v>
      </c>
      <c r="J52" t="s">
        <v>4868</v>
      </c>
      <c r="K52" s="96" t="s">
        <v>4869</v>
      </c>
      <c r="N52" s="63">
        <f>26.25+37.65</f>
        <v>63.9</v>
      </c>
      <c r="Q52" s="436">
        <v>2</v>
      </c>
      <c r="R52" t="s">
        <v>4669</v>
      </c>
      <c r="S52">
        <v>53</v>
      </c>
      <c r="Y52" s="63">
        <v>7.2</v>
      </c>
      <c r="AF52" s="63" t="s">
        <v>4929</v>
      </c>
      <c r="AM52" s="1">
        <f t="shared" si="2"/>
        <v>46948.356807511736</v>
      </c>
    </row>
    <row r="53" spans="1:39" ht="39" hidden="1" customHeight="1">
      <c r="A53" s="230">
        <v>26229695</v>
      </c>
      <c r="B53" s="139"/>
      <c r="C53" s="148">
        <v>44307</v>
      </c>
      <c r="D53" s="60" t="s">
        <v>4930</v>
      </c>
      <c r="E53" s="60" t="s">
        <v>4931</v>
      </c>
      <c r="F53" s="242" t="s">
        <v>4932</v>
      </c>
      <c r="G53" s="154">
        <v>135000</v>
      </c>
      <c r="H53" s="154"/>
      <c r="I53" s="139" t="s">
        <v>258</v>
      </c>
      <c r="J53" s="139" t="s">
        <v>1315</v>
      </c>
      <c r="K53" s="139" t="s">
        <v>4933</v>
      </c>
      <c r="L53" s="142" t="s">
        <v>4934</v>
      </c>
      <c r="M53" s="142" t="s">
        <v>4935</v>
      </c>
      <c r="N53" s="144">
        <f>(323671.7-392.15)/10000</f>
        <v>32.327954999999996</v>
      </c>
      <c r="O53" s="139" t="s">
        <v>18</v>
      </c>
      <c r="P53" s="60" t="s">
        <v>206</v>
      </c>
      <c r="Q53" s="440">
        <v>3</v>
      </c>
      <c r="R53" s="242" t="s">
        <v>155</v>
      </c>
      <c r="S53" s="144">
        <f>0.8+3.6+1.4+0.3</f>
        <v>6.1000000000000005</v>
      </c>
      <c r="T53" s="139" t="s">
        <v>3124</v>
      </c>
      <c r="U53" s="139"/>
      <c r="V53" s="139"/>
      <c r="W53" s="139"/>
      <c r="X53" s="141"/>
      <c r="Y53" s="144" t="e">
        <f>Terre!$N31-Terre!$S31-Terre!#REF!</f>
        <v>#REF!</v>
      </c>
      <c r="Z53" s="144"/>
      <c r="AA53" s="145"/>
      <c r="AB53" s="139"/>
      <c r="AC53" s="146"/>
      <c r="AD53" s="141"/>
      <c r="AE53" s="158"/>
      <c r="AF53" s="144"/>
      <c r="AG53" s="141"/>
      <c r="AH53" s="139"/>
      <c r="AI53" s="139"/>
      <c r="AJ53" s="139"/>
      <c r="AK53" s="60"/>
      <c r="AL53" s="60"/>
      <c r="AM53" s="141">
        <f t="shared" si="2"/>
        <v>4175.9523607354695</v>
      </c>
    </row>
    <row r="54" spans="1:39" ht="39" hidden="1" customHeight="1">
      <c r="A54" s="196">
        <v>26235746</v>
      </c>
      <c r="C54" s="317">
        <v>44308</v>
      </c>
      <c r="D54" t="s">
        <v>4936</v>
      </c>
      <c r="E54" t="s">
        <v>4937</v>
      </c>
      <c r="F54" t="s">
        <v>4938</v>
      </c>
      <c r="G54" s="94">
        <v>12483700</v>
      </c>
      <c r="I54" t="s">
        <v>37</v>
      </c>
      <c r="J54" t="s">
        <v>239</v>
      </c>
      <c r="K54" t="s">
        <v>4939</v>
      </c>
      <c r="L54" s="96" t="s">
        <v>4940</v>
      </c>
      <c r="M54" s="245" t="s">
        <v>4941</v>
      </c>
      <c r="N54" s="63">
        <f>4.17+50.27+139.51+0.37</f>
        <v>194.32</v>
      </c>
      <c r="O54" s="43" t="s">
        <v>36</v>
      </c>
      <c r="P54" t="s">
        <v>35</v>
      </c>
      <c r="Q54" s="436">
        <v>2</v>
      </c>
      <c r="R54" t="s">
        <v>4669</v>
      </c>
      <c r="S54" t="s">
        <v>4942</v>
      </c>
      <c r="U54" t="s">
        <v>4942</v>
      </c>
      <c r="Y54" s="63">
        <v>5.6</v>
      </c>
      <c r="AK54" t="s">
        <v>4943</v>
      </c>
      <c r="AM54" s="1">
        <f t="shared" si="2"/>
        <v>64243.001235076168</v>
      </c>
    </row>
    <row r="55" spans="1:39" ht="39" hidden="1" customHeight="1">
      <c r="A55" s="229">
        <v>26261637</v>
      </c>
      <c r="B55" s="139"/>
      <c r="C55" s="148">
        <v>44316</v>
      </c>
      <c r="D55" s="60" t="s">
        <v>4944</v>
      </c>
      <c r="E55" s="60" t="s">
        <v>4945</v>
      </c>
      <c r="F55" s="139">
        <v>3587452</v>
      </c>
      <c r="G55" s="150">
        <v>400000</v>
      </c>
      <c r="H55" s="150"/>
      <c r="I55" s="139" t="s">
        <v>16</v>
      </c>
      <c r="J55" s="139" t="s">
        <v>2233</v>
      </c>
      <c r="K55" s="139"/>
      <c r="L55" s="151">
        <v>46.653734999999998</v>
      </c>
      <c r="M55" s="151">
        <v>-70.867996000000005</v>
      </c>
      <c r="N55" s="144">
        <v>16.39</v>
      </c>
      <c r="O55" s="139" t="s">
        <v>36</v>
      </c>
      <c r="P55" s="60" t="s">
        <v>4847</v>
      </c>
      <c r="Q55" s="437">
        <v>3</v>
      </c>
      <c r="R55" s="60" t="s">
        <v>4946</v>
      </c>
      <c r="S55" s="139">
        <v>16.100000000000001</v>
      </c>
      <c r="T55" s="139" t="s">
        <v>4596</v>
      </c>
      <c r="U55" s="139" t="s">
        <v>132</v>
      </c>
      <c r="V55" s="139" t="s">
        <v>4837</v>
      </c>
      <c r="W55" s="139"/>
      <c r="X55" s="150" t="s">
        <v>4947</v>
      </c>
      <c r="Y55" s="144"/>
      <c r="Z55" s="144"/>
      <c r="AA55" s="152"/>
      <c r="AB55" s="139"/>
      <c r="AC55" s="146"/>
      <c r="AD55" s="150"/>
      <c r="AE55" s="159"/>
      <c r="AF55" s="144"/>
      <c r="AG55" s="150"/>
      <c r="AH55" s="139"/>
      <c r="AI55" s="139"/>
      <c r="AJ55" s="139"/>
      <c r="AK55" s="60"/>
      <c r="AL55" s="60">
        <v>443044</v>
      </c>
      <c r="AM55" s="150">
        <f t="shared" si="2"/>
        <v>24405.125076266017</v>
      </c>
    </row>
    <row r="56" spans="1:39" ht="39" hidden="1" customHeight="1">
      <c r="A56" s="194">
        <v>26264149</v>
      </c>
      <c r="B56" s="139"/>
      <c r="C56" s="148">
        <v>44319</v>
      </c>
      <c r="D56" s="60" t="s">
        <v>4948</v>
      </c>
      <c r="E56" s="60" t="s">
        <v>4949</v>
      </c>
      <c r="F56" s="140">
        <v>2925751</v>
      </c>
      <c r="G56" s="141">
        <v>1095000</v>
      </c>
      <c r="H56" s="141"/>
      <c r="I56" s="139" t="s">
        <v>48</v>
      </c>
      <c r="J56" s="139" t="s">
        <v>1367</v>
      </c>
      <c r="K56" s="139" t="s">
        <v>4950</v>
      </c>
      <c r="L56" s="142" t="s">
        <v>4951</v>
      </c>
      <c r="M56" s="143" t="s">
        <v>4952</v>
      </c>
      <c r="N56" s="144">
        <v>26.03</v>
      </c>
      <c r="O56" s="139" t="s">
        <v>18</v>
      </c>
      <c r="P56" s="60" t="s">
        <v>206</v>
      </c>
      <c r="Q56" s="437">
        <v>4</v>
      </c>
      <c r="R56" s="60" t="s">
        <v>4595</v>
      </c>
      <c r="S56" s="139">
        <v>23.5</v>
      </c>
      <c r="T56" s="139" t="s">
        <v>4596</v>
      </c>
      <c r="U56" s="139">
        <v>0</v>
      </c>
      <c r="V56" s="139"/>
      <c r="W56" s="139"/>
      <c r="X56" s="141"/>
      <c r="Y56" s="144">
        <v>0</v>
      </c>
      <c r="Z56" s="144"/>
      <c r="AA56" s="145"/>
      <c r="AB56" s="139"/>
      <c r="AC56" s="146"/>
      <c r="AD56" s="141"/>
      <c r="AE56" s="158"/>
      <c r="AF56" s="144"/>
      <c r="AG56" s="141"/>
      <c r="AH56" s="139"/>
      <c r="AI56" s="139"/>
      <c r="AJ56" s="139"/>
      <c r="AK56" s="60"/>
      <c r="AL56" s="60"/>
      <c r="AM56" s="141">
        <f t="shared" si="2"/>
        <v>42066.845946984249</v>
      </c>
    </row>
    <row r="57" spans="1:39" ht="39" hidden="1" customHeight="1">
      <c r="A57" s="196">
        <v>26317047</v>
      </c>
      <c r="C57" s="317">
        <v>44335</v>
      </c>
      <c r="D57" t="s">
        <v>4953</v>
      </c>
      <c r="E57" t="s">
        <v>4954</v>
      </c>
      <c r="F57" t="s">
        <v>4955</v>
      </c>
      <c r="G57" s="94">
        <v>540000</v>
      </c>
      <c r="I57" t="s">
        <v>37</v>
      </c>
      <c r="J57" t="s">
        <v>239</v>
      </c>
      <c r="K57" t="s">
        <v>239</v>
      </c>
      <c r="N57" s="63">
        <f>(123752.7)/10000+0.04</f>
        <v>12.41527</v>
      </c>
      <c r="Q57" s="436">
        <v>2</v>
      </c>
      <c r="R57" t="s">
        <v>4669</v>
      </c>
      <c r="S57">
        <v>11</v>
      </c>
      <c r="AK57" t="s">
        <v>4956</v>
      </c>
      <c r="AL57" s="20" t="s">
        <v>4957</v>
      </c>
      <c r="AM57" s="1">
        <f t="shared" si="2"/>
        <v>43494.825323976038</v>
      </c>
    </row>
    <row r="58" spans="1:39" ht="39" hidden="1" customHeight="1">
      <c r="A58" s="187">
        <v>26318138</v>
      </c>
      <c r="B58" s="43"/>
      <c r="C58" s="51">
        <v>44335</v>
      </c>
      <c r="D58" s="37" t="s">
        <v>4958</v>
      </c>
      <c r="E58" s="266" t="s">
        <v>4959</v>
      </c>
      <c r="F58" s="45" t="s">
        <v>4960</v>
      </c>
      <c r="G58" s="1">
        <v>130000</v>
      </c>
      <c r="H58" s="1"/>
      <c r="I58" s="43" t="s">
        <v>537</v>
      </c>
      <c r="J58" s="43" t="s">
        <v>538</v>
      </c>
      <c r="K58" s="43"/>
      <c r="L58" s="4"/>
      <c r="M58" s="7"/>
      <c r="N58" s="46">
        <v>35.29</v>
      </c>
      <c r="O58" s="43" t="s">
        <v>18</v>
      </c>
      <c r="P58" s="47"/>
      <c r="Q58" s="267"/>
      <c r="R58" s="47"/>
      <c r="S58" s="43"/>
      <c r="T58" s="43"/>
      <c r="U58" s="43"/>
      <c r="V58" s="43"/>
      <c r="W58" s="43"/>
      <c r="X58" s="1"/>
      <c r="Y58" s="46"/>
      <c r="Z58" s="46"/>
      <c r="AA58" s="2"/>
      <c r="AB58" s="43"/>
      <c r="AC58" s="87"/>
      <c r="AD58" s="1"/>
      <c r="AE58" s="3"/>
      <c r="AF58" s="46"/>
      <c r="AG58" s="1"/>
      <c r="AH58" s="43"/>
      <c r="AI58" s="43"/>
      <c r="AJ58" s="43"/>
      <c r="AK58" s="37"/>
      <c r="AL58" s="47"/>
      <c r="AM58" s="1">
        <f t="shared" si="2"/>
        <v>3683.7631056956648</v>
      </c>
    </row>
    <row r="59" spans="1:39" ht="39" hidden="1" customHeight="1">
      <c r="A59" s="196">
        <v>26317141</v>
      </c>
      <c r="C59" s="317">
        <v>44335</v>
      </c>
      <c r="D59" t="s">
        <v>4961</v>
      </c>
      <c r="E59" t="s">
        <v>4962</v>
      </c>
      <c r="F59" t="s">
        <v>4963</v>
      </c>
      <c r="G59" s="94">
        <v>4800000</v>
      </c>
      <c r="I59" t="s">
        <v>37</v>
      </c>
      <c r="J59" t="s">
        <v>239</v>
      </c>
      <c r="L59" s="96" t="s">
        <v>4964</v>
      </c>
      <c r="M59" s="245" t="s">
        <v>4965</v>
      </c>
      <c r="N59" s="63">
        <f>5.12+21.87+27.57</f>
        <v>54.56</v>
      </c>
      <c r="O59" s="43" t="s">
        <v>36</v>
      </c>
      <c r="P59" t="s">
        <v>35</v>
      </c>
      <c r="Q59" s="436">
        <v>2</v>
      </c>
      <c r="R59" t="s">
        <v>4669</v>
      </c>
      <c r="S59">
        <f>28.7+5.2+4.9+5.1+3.9</f>
        <v>47.8</v>
      </c>
      <c r="U59">
        <v>24.1</v>
      </c>
      <c r="Y59" s="63">
        <v>3.5</v>
      </c>
      <c r="AK59" t="s">
        <v>4966</v>
      </c>
      <c r="AL59" t="s">
        <v>4967</v>
      </c>
      <c r="AM59" s="1">
        <f t="shared" si="2"/>
        <v>87976.539589442807</v>
      </c>
    </row>
    <row r="60" spans="1:39" ht="39" hidden="1" customHeight="1">
      <c r="A60" s="196">
        <v>26326467</v>
      </c>
      <c r="C60" s="317">
        <v>44337</v>
      </c>
      <c r="D60" t="s">
        <v>4968</v>
      </c>
      <c r="E60" t="s">
        <v>4969</v>
      </c>
      <c r="F60" s="269">
        <v>5881446</v>
      </c>
      <c r="G60" s="94">
        <v>1000000</v>
      </c>
      <c r="I60" t="s">
        <v>4726</v>
      </c>
      <c r="J60" t="s">
        <v>4970</v>
      </c>
      <c r="N60" s="63">
        <v>24.73</v>
      </c>
      <c r="Q60" s="436">
        <v>4</v>
      </c>
      <c r="R60" t="s">
        <v>4669</v>
      </c>
      <c r="S60">
        <v>18.600000000000001</v>
      </c>
      <c r="AK60" t="s">
        <v>4971</v>
      </c>
      <c r="AL60" s="20" t="s">
        <v>4972</v>
      </c>
      <c r="AM60" s="1">
        <f t="shared" si="2"/>
        <v>40436.71653861706</v>
      </c>
    </row>
    <row r="61" spans="1:39" ht="39" hidden="1" customHeight="1">
      <c r="A61" s="196">
        <v>26326353</v>
      </c>
      <c r="C61" s="317">
        <v>44337</v>
      </c>
      <c r="D61" t="s">
        <v>4973</v>
      </c>
      <c r="E61" t="s">
        <v>4974</v>
      </c>
      <c r="F61" s="269">
        <v>3408316</v>
      </c>
      <c r="G61" s="94">
        <v>1100000</v>
      </c>
      <c r="I61" t="s">
        <v>37</v>
      </c>
      <c r="J61" t="s">
        <v>38</v>
      </c>
      <c r="K61" t="s">
        <v>4975</v>
      </c>
      <c r="L61" s="96" t="s">
        <v>4976</v>
      </c>
      <c r="M61" s="245" t="s">
        <v>4977</v>
      </c>
      <c r="N61" s="63">
        <v>32.86</v>
      </c>
      <c r="O61" s="43" t="s">
        <v>36</v>
      </c>
      <c r="P61" t="s">
        <v>35</v>
      </c>
      <c r="Q61" s="436">
        <v>3</v>
      </c>
      <c r="R61" t="s">
        <v>155</v>
      </c>
      <c r="S61">
        <v>22.7</v>
      </c>
      <c r="Y61" s="63">
        <v>8.9</v>
      </c>
      <c r="AK61" t="s">
        <v>4978</v>
      </c>
      <c r="AM61" s="1">
        <f t="shared" si="2"/>
        <v>33475.349969567862</v>
      </c>
    </row>
    <row r="62" spans="1:39" ht="39" hidden="1" customHeight="1">
      <c r="A62" s="194">
        <v>26326699</v>
      </c>
      <c r="B62" s="139"/>
      <c r="C62" s="148">
        <v>44337</v>
      </c>
      <c r="D62" s="60" t="s">
        <v>4979</v>
      </c>
      <c r="E62" s="60" t="s">
        <v>4980</v>
      </c>
      <c r="F62" s="140">
        <v>6433796</v>
      </c>
      <c r="G62" s="141">
        <v>3900000</v>
      </c>
      <c r="H62" s="141"/>
      <c r="I62" s="139" t="s">
        <v>610</v>
      </c>
      <c r="J62" s="139" t="s">
        <v>4981</v>
      </c>
      <c r="K62" s="139" t="s">
        <v>4982</v>
      </c>
      <c r="L62" s="142" t="s">
        <v>4983</v>
      </c>
      <c r="M62" s="143" t="s">
        <v>4984</v>
      </c>
      <c r="N62" s="144">
        <v>94.1</v>
      </c>
      <c r="O62" s="139" t="s">
        <v>18</v>
      </c>
      <c r="P62" s="60" t="s">
        <v>4985</v>
      </c>
      <c r="Q62" s="437">
        <v>3</v>
      </c>
      <c r="R62" s="60" t="s">
        <v>4595</v>
      </c>
      <c r="S62" s="139">
        <v>93.5</v>
      </c>
      <c r="T62" s="139" t="s">
        <v>4596</v>
      </c>
      <c r="U62" s="139">
        <v>93.5</v>
      </c>
      <c r="V62" s="139" t="s">
        <v>4628</v>
      </c>
      <c r="W62" s="139"/>
      <c r="X62" s="141"/>
      <c r="Y62" s="144">
        <v>0</v>
      </c>
      <c r="Z62" s="144"/>
      <c r="AA62" s="145"/>
      <c r="AB62" s="139"/>
      <c r="AC62" s="146"/>
      <c r="AD62" s="141"/>
      <c r="AE62" s="158"/>
      <c r="AF62" s="144"/>
      <c r="AG62" s="141"/>
      <c r="AH62" s="139"/>
      <c r="AI62" s="139"/>
      <c r="AJ62" s="139"/>
      <c r="AK62" s="60" t="s">
        <v>4986</v>
      </c>
      <c r="AL62" s="60"/>
      <c r="AM62" s="141">
        <f t="shared" si="2"/>
        <v>41445.270988310309</v>
      </c>
    </row>
    <row r="63" spans="1:39" ht="39" hidden="1" customHeight="1">
      <c r="A63" s="194">
        <v>26353810</v>
      </c>
      <c r="B63" s="139"/>
      <c r="C63" s="148">
        <v>44347</v>
      </c>
      <c r="D63" s="60" t="s">
        <v>4987</v>
      </c>
      <c r="E63" s="60" t="s">
        <v>4988</v>
      </c>
      <c r="F63" s="140">
        <v>2601047</v>
      </c>
      <c r="G63" s="141">
        <v>4150000</v>
      </c>
      <c r="H63" s="141"/>
      <c r="I63" s="139" t="s">
        <v>37</v>
      </c>
      <c r="J63" s="20" t="s">
        <v>239</v>
      </c>
      <c r="K63" s="43" t="s">
        <v>4989</v>
      </c>
      <c r="L63" s="142" t="s">
        <v>4990</v>
      </c>
      <c r="M63" s="143" t="s">
        <v>4991</v>
      </c>
      <c r="N63" s="144">
        <v>50.99</v>
      </c>
      <c r="O63" s="139" t="s">
        <v>18</v>
      </c>
      <c r="P63" s="60" t="s">
        <v>35</v>
      </c>
      <c r="Q63" s="439">
        <v>2</v>
      </c>
      <c r="R63" s="60" t="s">
        <v>4669</v>
      </c>
      <c r="S63" s="139">
        <f>40.9+4.4+0.3</f>
        <v>45.599999999999994</v>
      </c>
      <c r="T63" s="139" t="s">
        <v>4596</v>
      </c>
      <c r="U63" s="139"/>
      <c r="V63" s="139"/>
      <c r="W63" s="139"/>
      <c r="X63" s="141"/>
      <c r="Y63" s="144">
        <v>1.8</v>
      </c>
      <c r="Z63" s="144"/>
      <c r="AA63" s="145"/>
      <c r="AB63" s="139"/>
      <c r="AC63" s="146"/>
      <c r="AD63" s="141"/>
      <c r="AE63" s="158"/>
      <c r="AF63" s="144"/>
      <c r="AG63" s="141"/>
      <c r="AH63" s="139"/>
      <c r="AI63" s="139"/>
      <c r="AJ63" s="139"/>
      <c r="AK63" s="60"/>
      <c r="AL63" s="60"/>
      <c r="AM63" s="141">
        <f t="shared" si="2"/>
        <v>81388.5075505001</v>
      </c>
    </row>
    <row r="64" spans="1:39" ht="39" hidden="1" customHeight="1">
      <c r="A64" s="187">
        <v>26353810</v>
      </c>
      <c r="B64" s="43" t="s">
        <v>4652</v>
      </c>
      <c r="C64" s="51">
        <v>44347</v>
      </c>
      <c r="D64" s="37" t="s">
        <v>4992</v>
      </c>
      <c r="E64" s="37" t="s">
        <v>4993</v>
      </c>
      <c r="F64" s="45">
        <v>2601047</v>
      </c>
      <c r="G64" s="16">
        <v>4150000</v>
      </c>
      <c r="H64" s="16" t="s">
        <v>4652</v>
      </c>
      <c r="I64" s="43" t="s">
        <v>4652</v>
      </c>
      <c r="J64" s="43" t="s">
        <v>239</v>
      </c>
      <c r="K64" s="43" t="s">
        <v>4994</v>
      </c>
      <c r="L64" s="25" t="s">
        <v>4652</v>
      </c>
      <c r="M64" s="26" t="s">
        <v>4652</v>
      </c>
      <c r="N64" s="144">
        <v>50.99</v>
      </c>
      <c r="O64" s="43" t="s">
        <v>4652</v>
      </c>
      <c r="P64" s="47" t="s">
        <v>4652</v>
      </c>
      <c r="Q64" s="267" t="s">
        <v>4652</v>
      </c>
      <c r="R64" s="47" t="s">
        <v>4652</v>
      </c>
      <c r="S64" s="282">
        <v>45.6</v>
      </c>
      <c r="T64" s="43" t="s">
        <v>4652</v>
      </c>
      <c r="U64" s="43"/>
      <c r="V64" s="43" t="s">
        <v>4652</v>
      </c>
      <c r="W64" s="43"/>
      <c r="X64" s="16" t="s">
        <v>4652</v>
      </c>
      <c r="Y64" s="46" t="s">
        <v>4995</v>
      </c>
      <c r="Z64" s="46"/>
      <c r="AA64" s="102"/>
      <c r="AB64" s="43"/>
      <c r="AC64" s="87"/>
      <c r="AD64" s="16"/>
      <c r="AE64" s="103"/>
      <c r="AF64" s="46"/>
      <c r="AG64" s="16" t="s">
        <v>4996</v>
      </c>
      <c r="AH64" s="43">
        <v>0</v>
      </c>
      <c r="AI64" s="43"/>
      <c r="AJ64" s="43"/>
      <c r="AK64" s="37"/>
      <c r="AL64" s="47" t="s">
        <v>4652</v>
      </c>
      <c r="AM64" s="49">
        <f>Table3[[#This Row],[Prixdevente($)]]/Table3[[#This Row],[Superficie cultivée (ha)]]</f>
        <v>91008.771929824565</v>
      </c>
    </row>
    <row r="65" spans="1:39" ht="39" hidden="1" customHeight="1">
      <c r="A65" s="196">
        <v>26357278</v>
      </c>
      <c r="C65" s="318">
        <v>44348</v>
      </c>
      <c r="D65" s="247" t="s">
        <v>4997</v>
      </c>
      <c r="E65" s="247" t="s">
        <v>4998</v>
      </c>
      <c r="F65" s="285" t="s">
        <v>4999</v>
      </c>
      <c r="G65" s="94">
        <v>458000</v>
      </c>
      <c r="I65" t="s">
        <v>149</v>
      </c>
      <c r="J65" t="s">
        <v>5000</v>
      </c>
      <c r="L65" s="96">
        <v>46.923245000000001</v>
      </c>
      <c r="M65" s="96">
        <v>-71.027517000000003</v>
      </c>
      <c r="N65" s="63">
        <v>70.010000000000005</v>
      </c>
      <c r="O65" t="s">
        <v>18</v>
      </c>
      <c r="P65" s="47" t="s">
        <v>154</v>
      </c>
      <c r="Q65" s="436" t="s">
        <v>5001</v>
      </c>
      <c r="R65" t="s">
        <v>4946</v>
      </c>
      <c r="S65">
        <v>40.4</v>
      </c>
      <c r="T65" s="43" t="s">
        <v>4596</v>
      </c>
      <c r="Y65" s="63">
        <v>28.61</v>
      </c>
      <c r="AK65" t="s">
        <v>5002</v>
      </c>
      <c r="AM65" s="1">
        <f t="shared" ref="AM65:AM79" si="3">G65/N65</f>
        <v>6541.9225824882151</v>
      </c>
    </row>
    <row r="66" spans="1:39" ht="39" hidden="1" customHeight="1">
      <c r="A66" s="196">
        <v>26380899</v>
      </c>
      <c r="C66" s="318">
        <v>44355</v>
      </c>
      <c r="D66" s="247" t="s">
        <v>5003</v>
      </c>
      <c r="E66" t="s">
        <v>5004</v>
      </c>
      <c r="F66" s="269">
        <v>5035394</v>
      </c>
      <c r="G66" s="134">
        <v>276849</v>
      </c>
      <c r="H66"/>
      <c r="I66" t="s">
        <v>515</v>
      </c>
      <c r="J66" t="s">
        <v>2735</v>
      </c>
      <c r="K66" s="204"/>
      <c r="L66" s="204" t="s">
        <v>5005</v>
      </c>
      <c r="M66" s="388" t="s">
        <v>5006</v>
      </c>
      <c r="N66">
        <v>2.98</v>
      </c>
      <c r="O66" t="s">
        <v>18</v>
      </c>
      <c r="P66" t="s">
        <v>35</v>
      </c>
      <c r="Q66" s="436">
        <v>3</v>
      </c>
      <c r="R66" s="199" t="s">
        <v>5007</v>
      </c>
      <c r="S66">
        <v>2</v>
      </c>
      <c r="T66" t="s">
        <v>3124</v>
      </c>
      <c r="X66" s="62"/>
      <c r="Y66" s="63">
        <v>0.7</v>
      </c>
      <c r="AA66" s="64"/>
      <c r="AD66" s="62"/>
      <c r="AE66" s="62"/>
      <c r="AG66" s="62"/>
      <c r="AK66" t="s">
        <v>5008</v>
      </c>
      <c r="AM66" s="16">
        <f t="shared" si="3"/>
        <v>92902.348993288586</v>
      </c>
    </row>
    <row r="67" spans="1:39" ht="39" customHeight="1">
      <c r="A67" s="187">
        <v>26386123</v>
      </c>
      <c r="B67" s="43"/>
      <c r="C67" s="51">
        <v>44355</v>
      </c>
      <c r="D67" s="37" t="s">
        <v>5009</v>
      </c>
      <c r="E67" s="37" t="s">
        <v>5010</v>
      </c>
      <c r="F67" s="45">
        <v>2070487</v>
      </c>
      <c r="G67" s="16" t="s">
        <v>5011</v>
      </c>
      <c r="H67" s="16"/>
      <c r="I67" s="43"/>
      <c r="J67" s="43" t="s">
        <v>4656</v>
      </c>
      <c r="K67" s="43" t="s">
        <v>5012</v>
      </c>
      <c r="L67" s="25"/>
      <c r="M67" s="26"/>
      <c r="N67" s="46"/>
      <c r="O67" s="43"/>
      <c r="P67" s="47"/>
      <c r="Q67" s="267"/>
      <c r="R67" s="47"/>
      <c r="S67" s="43"/>
      <c r="T67" s="43"/>
      <c r="U67" s="43"/>
      <c r="V67" s="43"/>
      <c r="W67" s="43"/>
      <c r="X67" s="16"/>
      <c r="Y67" s="46"/>
      <c r="Z67" s="46"/>
      <c r="AA67" s="102"/>
      <c r="AB67" s="43"/>
      <c r="AC67" s="87"/>
      <c r="AD67" s="16"/>
      <c r="AE67" s="103"/>
      <c r="AF67" s="46"/>
      <c r="AG67" s="16"/>
      <c r="AH67" s="43"/>
      <c r="AI67" s="43"/>
      <c r="AJ67" s="43"/>
      <c r="AK67" s="37"/>
      <c r="AL67" s="47"/>
      <c r="AM67" s="74" t="e">
        <f t="shared" si="3"/>
        <v>#VALUE!</v>
      </c>
    </row>
    <row r="68" spans="1:39" ht="39" hidden="1" customHeight="1">
      <c r="A68" s="187">
        <v>26419296</v>
      </c>
      <c r="B68" s="43"/>
      <c r="C68" s="51">
        <v>44364</v>
      </c>
      <c r="D68" s="37"/>
      <c r="E68" s="37"/>
      <c r="F68">
        <v>6436864</v>
      </c>
      <c r="G68" s="1">
        <v>100000</v>
      </c>
      <c r="H68" s="1"/>
      <c r="I68" s="43" t="s">
        <v>53</v>
      </c>
      <c r="J68" s="43" t="s">
        <v>5013</v>
      </c>
      <c r="K68" s="43" t="s">
        <v>5014</v>
      </c>
      <c r="L68" s="4">
        <v>47.540934</v>
      </c>
      <c r="M68" s="7">
        <v>-68.912017000000006</v>
      </c>
      <c r="N68" s="46">
        <v>24.81</v>
      </c>
      <c r="O68" s="43" t="s">
        <v>5015</v>
      </c>
      <c r="P68" s="47" t="s">
        <v>361</v>
      </c>
      <c r="Q68" s="267">
        <v>4</v>
      </c>
      <c r="R68" s="47" t="s">
        <v>5016</v>
      </c>
      <c r="S68" s="43">
        <v>19.7</v>
      </c>
      <c r="T68" s="43" t="s">
        <v>4596</v>
      </c>
      <c r="U68" s="43"/>
      <c r="V68" s="43"/>
      <c r="W68" s="43"/>
      <c r="X68" s="1"/>
      <c r="Y68" s="46">
        <v>5.1100000000000003</v>
      </c>
      <c r="Z68" s="46"/>
      <c r="AA68" s="2"/>
      <c r="AB68" s="43"/>
      <c r="AC68" s="87"/>
      <c r="AD68" s="1"/>
      <c r="AE68" s="3"/>
      <c r="AF68" s="46"/>
      <c r="AG68" s="1"/>
      <c r="AH68" s="43"/>
      <c r="AI68" s="43"/>
      <c r="AJ68" s="43"/>
      <c r="AK68" s="37"/>
      <c r="AL68" s="47"/>
      <c r="AM68" s="1">
        <f t="shared" si="3"/>
        <v>4030.6328093510683</v>
      </c>
    </row>
    <row r="69" spans="1:39" ht="39" hidden="1" customHeight="1">
      <c r="A69" s="194">
        <v>27564495</v>
      </c>
      <c r="B69" s="139"/>
      <c r="C69" s="148">
        <v>44373</v>
      </c>
      <c r="D69" s="60" t="s">
        <v>5017</v>
      </c>
      <c r="E69" s="60" t="s">
        <v>5018</v>
      </c>
      <c r="F69" s="139" t="s">
        <v>5019</v>
      </c>
      <c r="G69" s="141">
        <v>725000</v>
      </c>
      <c r="H69" s="141"/>
      <c r="I69" s="139" t="s">
        <v>149</v>
      </c>
      <c r="J69" s="139" t="s">
        <v>5020</v>
      </c>
      <c r="K69" s="139" t="s">
        <v>5021</v>
      </c>
      <c r="L69" s="142" t="s">
        <v>5022</v>
      </c>
      <c r="M69" s="142" t="s">
        <v>5023</v>
      </c>
      <c r="N69" s="144">
        <f>41.16+8.46</f>
        <v>49.62</v>
      </c>
      <c r="O69" s="139" t="s">
        <v>18</v>
      </c>
      <c r="P69" s="60" t="s">
        <v>154</v>
      </c>
      <c r="Q69" s="437">
        <v>3</v>
      </c>
      <c r="R69" s="60" t="s">
        <v>155</v>
      </c>
      <c r="S69" s="139">
        <f>1.9+5.9+0.8+3.2+1.6+1.5+2.7+1.9</f>
        <v>19.5</v>
      </c>
      <c r="T69" s="139" t="s">
        <v>4596</v>
      </c>
      <c r="U69" s="139"/>
      <c r="V69" s="139"/>
      <c r="W69" s="139"/>
      <c r="X69" s="141"/>
      <c r="Y69" s="144">
        <v>25.6</v>
      </c>
      <c r="Z69" s="144"/>
      <c r="AA69" s="145"/>
      <c r="AB69" s="139"/>
      <c r="AC69" s="146"/>
      <c r="AD69" s="141"/>
      <c r="AE69" s="158"/>
      <c r="AF69" s="144"/>
      <c r="AG69" s="141"/>
      <c r="AH69" s="139"/>
      <c r="AI69" s="139"/>
      <c r="AJ69" s="139"/>
      <c r="AK69" s="60"/>
      <c r="AL69" s="60"/>
      <c r="AM69" s="141">
        <f t="shared" si="3"/>
        <v>14611.043933897623</v>
      </c>
    </row>
    <row r="70" spans="1:39" ht="39" hidden="1" customHeight="1">
      <c r="A70" s="374">
        <v>26457351</v>
      </c>
      <c r="B70" s="377"/>
      <c r="C70" s="361">
        <v>44375</v>
      </c>
      <c r="D70" s="377" t="s">
        <v>5024</v>
      </c>
      <c r="E70" s="377" t="s">
        <v>5025</v>
      </c>
      <c r="F70" s="382">
        <v>3233527</v>
      </c>
      <c r="G70" s="385">
        <v>10000</v>
      </c>
      <c r="H70" s="159"/>
      <c r="I70" s="147" t="s">
        <v>654</v>
      </c>
      <c r="J70" s="147" t="s">
        <v>510</v>
      </c>
      <c r="K70" s="147" t="s">
        <v>5026</v>
      </c>
      <c r="L70" s="387" t="s">
        <v>5027</v>
      </c>
      <c r="M70" s="389" t="s">
        <v>5028</v>
      </c>
      <c r="N70" s="153">
        <v>0.43</v>
      </c>
      <c r="O70" s="147" t="s">
        <v>36</v>
      </c>
      <c r="P70" s="377" t="s">
        <v>206</v>
      </c>
      <c r="Q70" s="441">
        <v>4</v>
      </c>
      <c r="R70" s="377" t="s">
        <v>4595</v>
      </c>
      <c r="S70" s="393">
        <v>0.43</v>
      </c>
      <c r="T70" s="147" t="s">
        <v>4596</v>
      </c>
      <c r="U70" s="377">
        <v>0</v>
      </c>
      <c r="V70" s="147" t="s">
        <v>5029</v>
      </c>
      <c r="W70" s="147"/>
      <c r="X70" s="159" t="s">
        <v>5030</v>
      </c>
      <c r="Y70" s="398"/>
      <c r="Z70" s="398"/>
      <c r="AA70" s="401"/>
      <c r="AB70" s="377"/>
      <c r="AC70" s="404"/>
      <c r="AD70" s="159"/>
      <c r="AE70" s="159"/>
      <c r="AF70" s="398"/>
      <c r="AG70" s="159"/>
      <c r="AH70" s="377"/>
      <c r="AI70" s="377"/>
      <c r="AJ70" s="377"/>
      <c r="AK70" s="60" t="s">
        <v>5031</v>
      </c>
      <c r="AL70" s="60"/>
      <c r="AM70" s="150">
        <f t="shared" si="3"/>
        <v>23255.813953488374</v>
      </c>
    </row>
    <row r="71" spans="1:39" ht="39" hidden="1" customHeight="1">
      <c r="A71" s="194">
        <v>27970139</v>
      </c>
      <c r="B71" s="139"/>
      <c r="C71" s="148">
        <v>44376</v>
      </c>
      <c r="D71" s="60" t="s">
        <v>5032</v>
      </c>
      <c r="E71" s="60" t="s">
        <v>5033</v>
      </c>
      <c r="F71" s="140" t="s">
        <v>5034</v>
      </c>
      <c r="G71" s="141">
        <v>200000</v>
      </c>
      <c r="H71" s="141"/>
      <c r="I71" s="139" t="s">
        <v>594</v>
      </c>
      <c r="J71" s="139" t="s">
        <v>595</v>
      </c>
      <c r="K71" s="139" t="s">
        <v>596</v>
      </c>
      <c r="L71" s="143" t="s">
        <v>5035</v>
      </c>
      <c r="M71" s="143" t="s">
        <v>5036</v>
      </c>
      <c r="N71" s="144">
        <v>10.37</v>
      </c>
      <c r="O71" s="139" t="s">
        <v>18</v>
      </c>
      <c r="P71" s="60" t="s">
        <v>206</v>
      </c>
      <c r="Q71" s="439" t="s">
        <v>4703</v>
      </c>
      <c r="R71" s="60" t="s">
        <v>155</v>
      </c>
      <c r="S71" s="139">
        <f>5.1+2+0.6</f>
        <v>7.6999999999999993</v>
      </c>
      <c r="T71" s="139" t="s">
        <v>5037</v>
      </c>
      <c r="U71" s="139">
        <v>0</v>
      </c>
      <c r="V71" s="139" t="s">
        <v>5038</v>
      </c>
      <c r="W71" s="139"/>
      <c r="X71" s="141"/>
      <c r="Y71" s="144">
        <f>0.8</f>
        <v>0.8</v>
      </c>
      <c r="Z71" s="144"/>
      <c r="AA71" s="145"/>
      <c r="AB71" s="139"/>
      <c r="AC71" s="146"/>
      <c r="AD71" s="141"/>
      <c r="AE71" s="158"/>
      <c r="AF71" s="144"/>
      <c r="AG71" s="141"/>
      <c r="AH71" s="139"/>
      <c r="AI71" s="139"/>
      <c r="AJ71" s="139"/>
      <c r="AK71" s="60" t="s">
        <v>5039</v>
      </c>
      <c r="AL71" s="60"/>
      <c r="AM71" s="141">
        <f t="shared" si="3"/>
        <v>19286.403085824495</v>
      </c>
    </row>
    <row r="72" spans="1:39" ht="39" hidden="1" customHeight="1">
      <c r="A72" s="196">
        <v>26468272</v>
      </c>
      <c r="C72" s="317">
        <v>44379</v>
      </c>
      <c r="D72" t="s">
        <v>5040</v>
      </c>
      <c r="E72" t="s">
        <v>5041</v>
      </c>
      <c r="F72" s="292">
        <v>5821091</v>
      </c>
      <c r="G72" s="94">
        <v>650000</v>
      </c>
      <c r="I72" t="s">
        <v>4917</v>
      </c>
      <c r="J72" t="s">
        <v>5042</v>
      </c>
      <c r="K72" t="s">
        <v>5043</v>
      </c>
      <c r="L72" s="96" t="s">
        <v>5044</v>
      </c>
      <c r="M72" s="245" t="s">
        <v>5045</v>
      </c>
      <c r="N72" s="63">
        <v>19.119</v>
      </c>
      <c r="O72" s="43" t="s">
        <v>36</v>
      </c>
      <c r="P72" t="s">
        <v>35</v>
      </c>
      <c r="Q72" s="436">
        <v>2</v>
      </c>
      <c r="R72" t="s">
        <v>4669</v>
      </c>
      <c r="S72">
        <f>13.7+3.5</f>
        <v>17.2</v>
      </c>
      <c r="U72" s="63">
        <f>Table3[[#This Row],[Superficie totale (ha)]]</f>
        <v>19.119</v>
      </c>
      <c r="AM72" s="1">
        <f t="shared" si="3"/>
        <v>33997.594016423456</v>
      </c>
    </row>
    <row r="73" spans="1:39" ht="39" hidden="1" customHeight="1">
      <c r="A73" s="194">
        <v>26508558</v>
      </c>
      <c r="B73" s="139"/>
      <c r="C73" s="148">
        <v>44391</v>
      </c>
      <c r="D73" s="60" t="s">
        <v>5046</v>
      </c>
      <c r="E73" s="60" t="s">
        <v>5047</v>
      </c>
      <c r="F73" s="140" t="s">
        <v>5048</v>
      </c>
      <c r="G73" s="150">
        <v>650000</v>
      </c>
      <c r="H73" s="150"/>
      <c r="I73" s="139" t="s">
        <v>16</v>
      </c>
      <c r="J73" s="139" t="s">
        <v>5049</v>
      </c>
      <c r="K73" s="139" t="s">
        <v>5050</v>
      </c>
      <c r="L73" s="151">
        <v>46.839722000000002</v>
      </c>
      <c r="M73" s="151">
        <v>-70.898266000000007</v>
      </c>
      <c r="N73" s="144">
        <v>40.4</v>
      </c>
      <c r="O73" s="139" t="s">
        <v>5051</v>
      </c>
      <c r="P73" s="60" t="s">
        <v>4847</v>
      </c>
      <c r="Q73" s="437">
        <v>3</v>
      </c>
      <c r="R73" s="60" t="s">
        <v>155</v>
      </c>
      <c r="S73" s="139">
        <v>34.799999999999997</v>
      </c>
      <c r="T73" s="139" t="s">
        <v>4596</v>
      </c>
      <c r="U73" s="139" t="s">
        <v>132</v>
      </c>
      <c r="V73" s="139" t="s">
        <v>4820</v>
      </c>
      <c r="W73" s="139"/>
      <c r="X73" s="150" t="s">
        <v>5052</v>
      </c>
      <c r="Y73" s="144">
        <v>4.7</v>
      </c>
      <c r="Z73" s="144"/>
      <c r="AA73" s="152"/>
      <c r="AB73" s="139"/>
      <c r="AC73" s="146"/>
      <c r="AD73" s="150"/>
      <c r="AE73" s="159"/>
      <c r="AF73" s="144"/>
      <c r="AG73" s="150"/>
      <c r="AH73" s="139"/>
      <c r="AI73" s="139"/>
      <c r="AJ73" s="139"/>
      <c r="AK73" s="60" t="s">
        <v>4636</v>
      </c>
      <c r="AL73" s="60"/>
      <c r="AM73" s="141">
        <f t="shared" si="3"/>
        <v>16089.108910891089</v>
      </c>
    </row>
    <row r="74" spans="1:39" ht="39" hidden="1" customHeight="1">
      <c r="A74" s="194">
        <v>26584619</v>
      </c>
      <c r="B74" s="139"/>
      <c r="C74" s="148">
        <v>44424</v>
      </c>
      <c r="D74" s="60" t="s">
        <v>5053</v>
      </c>
      <c r="E74" s="60" t="s">
        <v>5054</v>
      </c>
      <c r="F74" s="140" t="s">
        <v>5055</v>
      </c>
      <c r="G74" s="141">
        <v>500000</v>
      </c>
      <c r="H74" s="141"/>
      <c r="I74" s="139" t="s">
        <v>16</v>
      </c>
      <c r="J74" s="139" t="s">
        <v>5049</v>
      </c>
      <c r="K74" s="139" t="s">
        <v>1789</v>
      </c>
      <c r="L74" s="142">
        <v>46.721950999999997</v>
      </c>
      <c r="M74" s="142">
        <v>-70.808117999999993</v>
      </c>
      <c r="N74" s="144">
        <v>23.32</v>
      </c>
      <c r="O74" s="139" t="s">
        <v>36</v>
      </c>
      <c r="P74" s="60" t="s">
        <v>4847</v>
      </c>
      <c r="Q74" s="437">
        <v>5</v>
      </c>
      <c r="R74" s="60" t="s">
        <v>5056</v>
      </c>
      <c r="S74" s="139">
        <v>15.3</v>
      </c>
      <c r="T74" s="139" t="s">
        <v>4828</v>
      </c>
      <c r="U74" s="139" t="s">
        <v>132</v>
      </c>
      <c r="V74" s="139" t="s">
        <v>4820</v>
      </c>
      <c r="W74" s="139"/>
      <c r="X74" s="141" t="s">
        <v>5052</v>
      </c>
      <c r="Y74" s="144">
        <v>8.02</v>
      </c>
      <c r="Z74" s="144"/>
      <c r="AA74" s="145"/>
      <c r="AB74" s="139"/>
      <c r="AC74" s="146"/>
      <c r="AD74" s="141"/>
      <c r="AE74" s="158"/>
      <c r="AF74" s="144"/>
      <c r="AG74" s="141"/>
      <c r="AH74" s="139"/>
      <c r="AI74" s="139"/>
      <c r="AJ74" s="139"/>
      <c r="AK74" s="60" t="s">
        <v>4636</v>
      </c>
      <c r="AL74" s="60"/>
      <c r="AM74" s="141">
        <f t="shared" si="3"/>
        <v>21440.823327615781</v>
      </c>
    </row>
    <row r="75" spans="1:39" ht="39" hidden="1" customHeight="1">
      <c r="A75" s="187">
        <v>26670227</v>
      </c>
      <c r="B75" s="43"/>
      <c r="C75" s="51">
        <v>44456</v>
      </c>
      <c r="D75" s="37" t="s">
        <v>5057</v>
      </c>
      <c r="E75" s="37" t="s">
        <v>5058</v>
      </c>
      <c r="F75" s="45">
        <v>4590357</v>
      </c>
      <c r="G75" s="16">
        <v>700000</v>
      </c>
      <c r="H75" s="16"/>
      <c r="I75" s="43"/>
      <c r="J75" s="43" t="s">
        <v>5059</v>
      </c>
      <c r="K75" s="43" t="s">
        <v>5060</v>
      </c>
      <c r="L75" s="25"/>
      <c r="M75" s="26"/>
      <c r="N75" s="46">
        <v>5.71</v>
      </c>
      <c r="O75" s="43" t="s">
        <v>25</v>
      </c>
      <c r="P75" s="47"/>
      <c r="Q75" s="267"/>
      <c r="R75" s="47"/>
      <c r="S75" s="43"/>
      <c r="T75" s="43"/>
      <c r="U75" s="43"/>
      <c r="V75" s="43"/>
      <c r="W75" s="43"/>
      <c r="X75" s="16"/>
      <c r="Y75" s="46"/>
      <c r="Z75" s="46"/>
      <c r="AA75" s="102"/>
      <c r="AB75" s="43"/>
      <c r="AC75" s="87"/>
      <c r="AD75" s="16"/>
      <c r="AE75" s="103"/>
      <c r="AF75" s="46"/>
      <c r="AG75" s="16"/>
      <c r="AH75" s="43"/>
      <c r="AI75" s="43"/>
      <c r="AJ75" s="43" t="s">
        <v>5061</v>
      </c>
      <c r="AK75" s="37">
        <v>0</v>
      </c>
      <c r="AL75" s="47"/>
      <c r="AM75" s="74">
        <f t="shared" si="3"/>
        <v>122591.94395796848</v>
      </c>
    </row>
    <row r="76" spans="1:39" ht="39" hidden="1" customHeight="1">
      <c r="A76" s="187">
        <v>26670225</v>
      </c>
      <c r="B76" s="43"/>
      <c r="C76" s="51">
        <v>44456</v>
      </c>
      <c r="D76" s="37" t="s">
        <v>5057</v>
      </c>
      <c r="E76" s="37" t="s">
        <v>5058</v>
      </c>
      <c r="F76" s="45">
        <v>4590336</v>
      </c>
      <c r="G76" s="16">
        <v>750000</v>
      </c>
      <c r="H76" s="16"/>
      <c r="I76" s="43"/>
      <c r="J76" s="43" t="s">
        <v>5059</v>
      </c>
      <c r="K76" s="43" t="s">
        <v>5060</v>
      </c>
      <c r="L76" s="25"/>
      <c r="M76" s="26"/>
      <c r="N76" s="46">
        <v>8.84</v>
      </c>
      <c r="O76" s="43" t="s">
        <v>25</v>
      </c>
      <c r="P76" s="47"/>
      <c r="Q76" s="267"/>
      <c r="R76" s="47"/>
      <c r="S76" s="43"/>
      <c r="T76" s="43"/>
      <c r="U76" s="43"/>
      <c r="V76" s="43"/>
      <c r="W76" s="43"/>
      <c r="X76" s="16"/>
      <c r="Y76" s="46"/>
      <c r="Z76" s="46"/>
      <c r="AA76" s="102"/>
      <c r="AB76" s="43"/>
      <c r="AC76" s="87"/>
      <c r="AD76" s="16"/>
      <c r="AE76" s="103"/>
      <c r="AF76" s="46"/>
      <c r="AG76" s="16"/>
      <c r="AH76" s="43"/>
      <c r="AI76" s="43"/>
      <c r="AJ76" s="43" t="s">
        <v>5061</v>
      </c>
      <c r="AK76" s="37">
        <v>0</v>
      </c>
      <c r="AL76" s="47"/>
      <c r="AM76" s="74">
        <f t="shared" si="3"/>
        <v>84841.628959276015</v>
      </c>
    </row>
    <row r="77" spans="1:39" ht="39" hidden="1" customHeight="1">
      <c r="A77" s="196">
        <v>26668396</v>
      </c>
      <c r="C77" s="317">
        <v>44456</v>
      </c>
      <c r="D77" s="247" t="s">
        <v>5062</v>
      </c>
      <c r="E77" s="247" t="s">
        <v>5063</v>
      </c>
      <c r="F77" t="s">
        <v>5064</v>
      </c>
      <c r="G77" s="94">
        <v>600000</v>
      </c>
      <c r="I77" t="s">
        <v>149</v>
      </c>
      <c r="J77" t="s">
        <v>5000</v>
      </c>
      <c r="N77" s="63">
        <v>24.83</v>
      </c>
      <c r="O77" t="s">
        <v>18</v>
      </c>
      <c r="P77" t="s">
        <v>3789</v>
      </c>
      <c r="Q77" s="436" t="s">
        <v>5065</v>
      </c>
      <c r="R77" t="s">
        <v>4946</v>
      </c>
      <c r="S77">
        <v>9.1</v>
      </c>
      <c r="T77" s="43" t="s">
        <v>4596</v>
      </c>
      <c r="Y77" s="63">
        <v>15.73</v>
      </c>
      <c r="AK77" t="s">
        <v>5066</v>
      </c>
      <c r="AM77" s="1">
        <f t="shared" si="3"/>
        <v>24164.317358034637</v>
      </c>
    </row>
    <row r="78" spans="1:39" ht="39" hidden="1" customHeight="1">
      <c r="A78" s="194">
        <v>27009141</v>
      </c>
      <c r="B78" s="139"/>
      <c r="C78" s="148">
        <v>44462</v>
      </c>
      <c r="D78" s="60" t="s">
        <v>5067</v>
      </c>
      <c r="E78" s="60" t="s">
        <v>5068</v>
      </c>
      <c r="F78" s="139">
        <v>6487110</v>
      </c>
      <c r="G78" s="141">
        <v>250000</v>
      </c>
      <c r="H78" s="141"/>
      <c r="I78" s="139" t="s">
        <v>602</v>
      </c>
      <c r="J78" s="139" t="s">
        <v>5069</v>
      </c>
      <c r="K78" s="139" t="s">
        <v>5070</v>
      </c>
      <c r="L78" s="142" t="s">
        <v>5071</v>
      </c>
      <c r="M78" s="142" t="s">
        <v>5072</v>
      </c>
      <c r="N78" s="144">
        <v>30.41</v>
      </c>
      <c r="O78" s="139" t="s">
        <v>18</v>
      </c>
      <c r="P78" s="60" t="s">
        <v>206</v>
      </c>
      <c r="Q78" s="437">
        <v>3</v>
      </c>
      <c r="R78" s="60" t="s">
        <v>5073</v>
      </c>
      <c r="S78" s="144">
        <v>28.51</v>
      </c>
      <c r="T78" s="139" t="s">
        <v>3124</v>
      </c>
      <c r="U78" s="139"/>
      <c r="V78" s="139"/>
      <c r="W78" s="139"/>
      <c r="X78" s="141"/>
      <c r="Y78" s="144">
        <v>1.9</v>
      </c>
      <c r="Z78" s="144"/>
      <c r="AA78" s="145"/>
      <c r="AB78" s="139"/>
      <c r="AC78" s="146"/>
      <c r="AD78" s="141"/>
      <c r="AE78" s="158"/>
      <c r="AF78" s="144"/>
      <c r="AG78" s="141"/>
      <c r="AH78" s="139"/>
      <c r="AI78" s="139"/>
      <c r="AJ78" s="139"/>
      <c r="AK78" s="60" t="s">
        <v>4636</v>
      </c>
      <c r="AL78" s="60"/>
      <c r="AM78" s="141">
        <f t="shared" si="3"/>
        <v>8220.9799408089439</v>
      </c>
    </row>
    <row r="79" spans="1:39" ht="39" hidden="1" customHeight="1">
      <c r="A79" s="196">
        <v>26703053</v>
      </c>
      <c r="C79" s="317">
        <v>44469</v>
      </c>
      <c r="D79" t="s">
        <v>5074</v>
      </c>
      <c r="E79" t="s">
        <v>5075</v>
      </c>
      <c r="F79" s="269">
        <v>4149088</v>
      </c>
      <c r="G79" s="94">
        <v>1050000</v>
      </c>
      <c r="I79" t="s">
        <v>37</v>
      </c>
      <c r="J79" t="s">
        <v>5076</v>
      </c>
      <c r="K79" t="s">
        <v>5077</v>
      </c>
      <c r="L79" s="96" t="s">
        <v>5078</v>
      </c>
      <c r="M79" s="245" t="s">
        <v>5079</v>
      </c>
      <c r="N79" s="63">
        <v>26.61</v>
      </c>
      <c r="O79" s="43" t="s">
        <v>36</v>
      </c>
      <c r="P79" t="s">
        <v>35</v>
      </c>
      <c r="Q79" s="436">
        <v>2</v>
      </c>
      <c r="R79" t="s">
        <v>4669</v>
      </c>
      <c r="S79">
        <v>25.8</v>
      </c>
      <c r="U79">
        <f>Table3[[#This Row],[Superficie cultivée (ha)]]</f>
        <v>25.8</v>
      </c>
      <c r="AM79" s="1">
        <f t="shared" si="3"/>
        <v>39458.850056369789</v>
      </c>
    </row>
    <row r="80" spans="1:39" ht="39" hidden="1" customHeight="1">
      <c r="A80" s="187">
        <v>27375663</v>
      </c>
      <c r="B80" s="43" t="s">
        <v>4652</v>
      </c>
      <c r="C80" s="51">
        <v>44469</v>
      </c>
      <c r="D80" s="37" t="s">
        <v>5080</v>
      </c>
      <c r="E80" s="37" t="s">
        <v>5081</v>
      </c>
      <c r="F80" s="45">
        <v>6402084</v>
      </c>
      <c r="G80" s="16">
        <v>80000</v>
      </c>
      <c r="H80" s="16" t="s">
        <v>4652</v>
      </c>
      <c r="I80" s="43" t="s">
        <v>39</v>
      </c>
      <c r="J80" s="43" t="s">
        <v>5082</v>
      </c>
      <c r="K80" s="43" t="s">
        <v>5083</v>
      </c>
      <c r="L80" s="25" t="s">
        <v>4652</v>
      </c>
      <c r="M80" s="26" t="s">
        <v>4652</v>
      </c>
      <c r="N80" s="46" t="s">
        <v>5084</v>
      </c>
      <c r="O80" s="43" t="s">
        <v>36</v>
      </c>
      <c r="P80" s="47" t="s">
        <v>4652</v>
      </c>
      <c r="Q80" s="267" t="s">
        <v>5085</v>
      </c>
      <c r="R80" s="47" t="s">
        <v>4652</v>
      </c>
      <c r="S80" s="43">
        <v>35.1</v>
      </c>
      <c r="T80" s="43" t="s">
        <v>4652</v>
      </c>
      <c r="U80" s="43">
        <v>0</v>
      </c>
      <c r="V80" s="43" t="s">
        <v>4652</v>
      </c>
      <c r="W80" s="43"/>
      <c r="X80" s="16" t="s">
        <v>4652</v>
      </c>
      <c r="Y80" s="46">
        <v>0</v>
      </c>
      <c r="Z80" s="46"/>
      <c r="AA80" s="102"/>
      <c r="AB80" s="43"/>
      <c r="AC80" s="87"/>
      <c r="AD80" s="16"/>
      <c r="AE80" s="103"/>
      <c r="AF80" s="46"/>
      <c r="AG80" s="16">
        <v>0</v>
      </c>
      <c r="AH80" s="43">
        <v>0</v>
      </c>
      <c r="AI80" s="43"/>
      <c r="AJ80" s="43"/>
      <c r="AK80" s="37"/>
      <c r="AL80" s="47" t="s">
        <v>5086</v>
      </c>
      <c r="AM80" s="49">
        <f>Table3[[#This Row],[Prixdevente($)]]/Table3[[#This Row],[Superficie cultivée (ha)]]</f>
        <v>2279.202279202279</v>
      </c>
    </row>
    <row r="81" spans="1:41" ht="39" hidden="1" customHeight="1">
      <c r="A81" s="187">
        <v>26711833</v>
      </c>
      <c r="B81" s="43"/>
      <c r="C81" s="51">
        <v>44473</v>
      </c>
      <c r="D81" s="37"/>
      <c r="E81" s="37"/>
      <c r="F81" s="45">
        <v>4765940</v>
      </c>
      <c r="G81" s="1">
        <v>21500</v>
      </c>
      <c r="H81" s="1"/>
      <c r="I81" s="43" t="s">
        <v>53</v>
      </c>
      <c r="J81" s="43" t="s">
        <v>5013</v>
      </c>
      <c r="K81" s="43" t="s">
        <v>5014</v>
      </c>
      <c r="L81" s="4">
        <v>47.539847000000002</v>
      </c>
      <c r="M81" s="7">
        <v>-68.907983000000002</v>
      </c>
      <c r="N81" s="46">
        <v>9.7100000000000009</v>
      </c>
      <c r="O81" s="43" t="s">
        <v>5015</v>
      </c>
      <c r="P81" s="47" t="s">
        <v>361</v>
      </c>
      <c r="Q81" s="267">
        <v>4</v>
      </c>
      <c r="R81" s="47" t="s">
        <v>5016</v>
      </c>
      <c r="S81" s="43">
        <v>6.5</v>
      </c>
      <c r="T81" s="43" t="s">
        <v>5087</v>
      </c>
      <c r="U81" s="43"/>
      <c r="V81" s="43"/>
      <c r="W81" s="43"/>
      <c r="X81" s="1"/>
      <c r="Y81" s="46">
        <v>3</v>
      </c>
      <c r="Z81" s="46"/>
      <c r="AA81" s="2"/>
      <c r="AB81" s="43"/>
      <c r="AC81" s="87"/>
      <c r="AD81" s="1"/>
      <c r="AE81" s="3"/>
      <c r="AF81" s="46"/>
      <c r="AG81" s="1"/>
      <c r="AH81" s="43"/>
      <c r="AI81" s="43"/>
      <c r="AJ81" s="43"/>
      <c r="AK81" s="37"/>
      <c r="AL81" s="47"/>
      <c r="AM81" s="1">
        <f t="shared" ref="AM81:AM111" si="4">G81/N81</f>
        <v>2214.2121524201852</v>
      </c>
      <c r="AO81">
        <f>(AM155-Table3[[#This Row],[Taux unitaire global ($/ha)]])/Table3[[#This Row],[Taux unitaire global ($/ha)]]</f>
        <v>20.756374290423</v>
      </c>
    </row>
    <row r="82" spans="1:41" ht="39" hidden="1" customHeight="1">
      <c r="A82" s="196">
        <v>26743901</v>
      </c>
      <c r="C82" s="317">
        <v>44487</v>
      </c>
      <c r="D82" t="s">
        <v>5088</v>
      </c>
      <c r="E82" t="s">
        <v>5089</v>
      </c>
      <c r="F82" t="s">
        <v>5090</v>
      </c>
      <c r="G82" s="94">
        <v>1550000</v>
      </c>
      <c r="I82" t="s">
        <v>4917</v>
      </c>
      <c r="J82" t="s">
        <v>5091</v>
      </c>
      <c r="K82" t="s">
        <v>5092</v>
      </c>
      <c r="L82" s="96" t="s">
        <v>5093</v>
      </c>
      <c r="M82" s="245" t="s">
        <v>5094</v>
      </c>
      <c r="N82" s="63">
        <f>16.27+12.95+13.96</f>
        <v>43.18</v>
      </c>
      <c r="O82" s="43" t="s">
        <v>36</v>
      </c>
      <c r="P82" t="s">
        <v>35</v>
      </c>
      <c r="Q82" s="436">
        <v>2</v>
      </c>
      <c r="R82" t="s">
        <v>4669</v>
      </c>
      <c r="S82">
        <f>18+5.4+9</f>
        <v>32.4</v>
      </c>
      <c r="Y82" s="63">
        <v>8</v>
      </c>
      <c r="AK82" t="s">
        <v>5095</v>
      </c>
      <c r="AM82" s="1">
        <f t="shared" si="4"/>
        <v>35896.248263084759</v>
      </c>
    </row>
    <row r="83" spans="1:41" ht="39" hidden="1" customHeight="1">
      <c r="A83" s="194">
        <v>26751495</v>
      </c>
      <c r="B83" s="139"/>
      <c r="C83" s="148">
        <v>44489</v>
      </c>
      <c r="D83" s="60" t="s">
        <v>5096</v>
      </c>
      <c r="E83" s="60" t="s">
        <v>5097</v>
      </c>
      <c r="F83" s="140" t="s">
        <v>5098</v>
      </c>
      <c r="G83" s="141">
        <v>1935738</v>
      </c>
      <c r="H83" s="141"/>
      <c r="I83" s="139" t="s">
        <v>4733</v>
      </c>
      <c r="J83" s="139" t="s">
        <v>5099</v>
      </c>
      <c r="K83" s="139" t="s">
        <v>5100</v>
      </c>
      <c r="L83" s="142" t="s">
        <v>5101</v>
      </c>
      <c r="M83" s="143" t="s">
        <v>5102</v>
      </c>
      <c r="N83" s="144">
        <v>52.52</v>
      </c>
      <c r="O83" s="139" t="s">
        <v>18</v>
      </c>
      <c r="P83" s="60" t="s">
        <v>206</v>
      </c>
      <c r="Q83" s="437">
        <v>3</v>
      </c>
      <c r="R83" s="60" t="s">
        <v>4595</v>
      </c>
      <c r="S83" s="139">
        <v>51</v>
      </c>
      <c r="T83" s="139" t="s">
        <v>5103</v>
      </c>
      <c r="U83" s="139">
        <v>51</v>
      </c>
      <c r="V83" s="139" t="s">
        <v>4628</v>
      </c>
      <c r="W83" s="139"/>
      <c r="X83" s="141"/>
      <c r="Y83" s="144">
        <v>0</v>
      </c>
      <c r="Z83" s="144"/>
      <c r="AA83" s="145"/>
      <c r="AB83" s="139"/>
      <c r="AC83" s="146"/>
      <c r="AD83" s="141"/>
      <c r="AE83" s="158"/>
      <c r="AF83" s="144"/>
      <c r="AG83" s="141"/>
      <c r="AH83" s="139"/>
      <c r="AI83" s="139"/>
      <c r="AJ83" s="139"/>
      <c r="AK83" s="60" t="s">
        <v>5104</v>
      </c>
      <c r="AL83" s="60"/>
      <c r="AM83" s="141">
        <f t="shared" si="4"/>
        <v>36857.159177456204</v>
      </c>
    </row>
    <row r="84" spans="1:41" ht="39" hidden="1" customHeight="1">
      <c r="A84" s="500">
        <v>27026715</v>
      </c>
      <c r="B84" s="386"/>
      <c r="C84" s="363">
        <v>44490</v>
      </c>
      <c r="D84" s="392" t="s">
        <v>5105</v>
      </c>
      <c r="E84" s="392" t="s">
        <v>5106</v>
      </c>
      <c r="F84" s="386">
        <v>5743134</v>
      </c>
      <c r="G84" s="501">
        <v>1500000</v>
      </c>
      <c r="H84" s="501"/>
      <c r="I84" s="386" t="s">
        <v>747</v>
      </c>
      <c r="J84" s="386" t="s">
        <v>929</v>
      </c>
      <c r="K84" s="502" t="s">
        <v>5107</v>
      </c>
      <c r="L84" s="474" t="s">
        <v>5108</v>
      </c>
      <c r="M84" s="474" t="s">
        <v>5109</v>
      </c>
      <c r="N84" s="475">
        <v>55.53</v>
      </c>
      <c r="O84" s="502" t="s">
        <v>18</v>
      </c>
      <c r="P84" s="503" t="s">
        <v>206</v>
      </c>
      <c r="Q84" s="504">
        <v>4</v>
      </c>
      <c r="R84" s="392" t="s">
        <v>4595</v>
      </c>
      <c r="S84" s="386">
        <v>43.1</v>
      </c>
      <c r="T84" s="386" t="s">
        <v>4596</v>
      </c>
      <c r="U84" s="386">
        <f>Terre!$S45</f>
        <v>0</v>
      </c>
      <c r="V84" s="386" t="s">
        <v>4837</v>
      </c>
      <c r="W84" s="386"/>
      <c r="X84" s="501"/>
      <c r="Y84" s="475">
        <v>10.7</v>
      </c>
      <c r="Z84" s="475"/>
      <c r="AA84" s="505"/>
      <c r="AB84" s="386"/>
      <c r="AC84" s="506"/>
      <c r="AD84" s="501"/>
      <c r="AE84" s="507"/>
      <c r="AF84" s="475"/>
      <c r="AG84" s="501"/>
      <c r="AH84" s="386"/>
      <c r="AI84" s="386"/>
      <c r="AJ84" s="386"/>
      <c r="AK84" s="392" t="s">
        <v>4636</v>
      </c>
      <c r="AL84" s="392"/>
      <c r="AM84" s="501">
        <f t="shared" si="4"/>
        <v>27012.425715829282</v>
      </c>
    </row>
    <row r="85" spans="1:41" ht="39" hidden="1" customHeight="1">
      <c r="A85" s="196">
        <v>26782656</v>
      </c>
      <c r="C85" s="317">
        <v>44501</v>
      </c>
      <c r="D85" t="s">
        <v>5110</v>
      </c>
      <c r="E85" t="s">
        <v>5111</v>
      </c>
      <c r="F85" t="s">
        <v>5112</v>
      </c>
      <c r="G85" s="62">
        <v>460000</v>
      </c>
      <c r="H85" s="62"/>
      <c r="I85" t="s">
        <v>4917</v>
      </c>
      <c r="J85" t="s">
        <v>5113</v>
      </c>
      <c r="L85" s="288" t="s">
        <v>5114</v>
      </c>
      <c r="M85" s="289" t="s">
        <v>5115</v>
      </c>
      <c r="N85" s="63">
        <f>9.46+1.81</f>
        <v>11.270000000000001</v>
      </c>
      <c r="O85" s="43" t="s">
        <v>36</v>
      </c>
      <c r="P85" t="s">
        <v>35</v>
      </c>
      <c r="Q85" s="436">
        <v>2</v>
      </c>
      <c r="R85" t="s">
        <v>4669</v>
      </c>
      <c r="S85">
        <v>10.6</v>
      </c>
      <c r="U85">
        <v>9</v>
      </c>
      <c r="X85" s="62"/>
      <c r="AA85" s="64"/>
      <c r="AD85" s="62"/>
      <c r="AE85" s="62"/>
      <c r="AG85" s="62"/>
      <c r="AK85" t="s">
        <v>5116</v>
      </c>
      <c r="AM85" s="16">
        <f t="shared" si="4"/>
        <v>40816.326530612241</v>
      </c>
    </row>
    <row r="86" spans="1:41" ht="39" hidden="1" customHeight="1">
      <c r="A86" s="194">
        <v>26792696</v>
      </c>
      <c r="B86" s="139"/>
      <c r="C86" s="148">
        <v>44504</v>
      </c>
      <c r="D86" s="60" t="s">
        <v>5117</v>
      </c>
      <c r="E86" s="60" t="s">
        <v>5118</v>
      </c>
      <c r="F86" s="140">
        <v>3259618</v>
      </c>
      <c r="G86" s="141">
        <v>100000</v>
      </c>
      <c r="H86" s="141"/>
      <c r="I86" s="386" t="s">
        <v>16</v>
      </c>
      <c r="J86" s="386" t="s">
        <v>5119</v>
      </c>
      <c r="K86" s="139" t="s">
        <v>5120</v>
      </c>
      <c r="L86" s="142" t="s">
        <v>5121</v>
      </c>
      <c r="M86" s="143" t="s">
        <v>5122</v>
      </c>
      <c r="N86" s="144">
        <v>5.83</v>
      </c>
      <c r="O86" s="386" t="s">
        <v>36</v>
      </c>
      <c r="P86" s="392" t="s">
        <v>206</v>
      </c>
      <c r="Q86" s="437">
        <v>3</v>
      </c>
      <c r="R86" s="60" t="s">
        <v>4669</v>
      </c>
      <c r="S86" s="139">
        <f>3.3+1.5</f>
        <v>4.8</v>
      </c>
      <c r="T86" s="386" t="s">
        <v>4596</v>
      </c>
      <c r="U86" s="139">
        <v>0</v>
      </c>
      <c r="V86" s="139" t="s">
        <v>5029</v>
      </c>
      <c r="W86" s="139"/>
      <c r="X86" s="141"/>
      <c r="Y86" s="144">
        <v>0.6</v>
      </c>
      <c r="Z86" s="144"/>
      <c r="AA86" s="145"/>
      <c r="AB86" s="139"/>
      <c r="AC86" s="146"/>
      <c r="AD86" s="141"/>
      <c r="AE86" s="158"/>
      <c r="AF86" s="144"/>
      <c r="AG86" s="141"/>
      <c r="AH86" s="139"/>
      <c r="AI86" s="139"/>
      <c r="AJ86" s="139"/>
      <c r="AK86" s="392" t="s">
        <v>5123</v>
      </c>
      <c r="AL86" s="60"/>
      <c r="AM86" s="141">
        <f t="shared" si="4"/>
        <v>17152.658662092625</v>
      </c>
    </row>
    <row r="87" spans="1:41" ht="39" hidden="1" customHeight="1">
      <c r="A87" s="194">
        <v>27604910</v>
      </c>
      <c r="B87" s="139"/>
      <c r="C87" s="148">
        <v>44504</v>
      </c>
      <c r="D87" s="60" t="s">
        <v>5124</v>
      </c>
      <c r="E87" s="60" t="s">
        <v>5125</v>
      </c>
      <c r="F87" s="139" t="s">
        <v>5126</v>
      </c>
      <c r="G87" s="141">
        <v>675000</v>
      </c>
      <c r="H87" s="141"/>
      <c r="I87" s="139" t="s">
        <v>149</v>
      </c>
      <c r="J87" s="139" t="s">
        <v>5127</v>
      </c>
      <c r="K87" s="139" t="s">
        <v>5128</v>
      </c>
      <c r="L87" s="142" t="s">
        <v>5129</v>
      </c>
      <c r="M87" s="142" t="s">
        <v>5130</v>
      </c>
      <c r="N87" s="144">
        <f>31.66+0.83</f>
        <v>32.49</v>
      </c>
      <c r="O87" s="139" t="s">
        <v>18</v>
      </c>
      <c r="P87" s="60" t="s">
        <v>206</v>
      </c>
      <c r="Q87" s="437">
        <v>3</v>
      </c>
      <c r="R87" s="60" t="s">
        <v>155</v>
      </c>
      <c r="S87" s="139">
        <f>0.6+6.5+6.4+4.6+4.4</f>
        <v>22.5</v>
      </c>
      <c r="T87" s="139" t="s">
        <v>4596</v>
      </c>
      <c r="U87" s="139">
        <f>Terre!$S63</f>
        <v>45.599999999999994</v>
      </c>
      <c r="V87" s="139" t="s">
        <v>4837</v>
      </c>
      <c r="W87" s="139"/>
      <c r="X87" s="141"/>
      <c r="Y87" s="144">
        <f>0.2+9.7</f>
        <v>9.8999999999999986</v>
      </c>
      <c r="Z87" s="144"/>
      <c r="AA87" s="145"/>
      <c r="AB87" s="139"/>
      <c r="AC87" s="146"/>
      <c r="AD87" s="141"/>
      <c r="AE87" s="158"/>
      <c r="AF87" s="144"/>
      <c r="AG87" s="141"/>
      <c r="AH87" s="139"/>
      <c r="AI87" s="139"/>
      <c r="AJ87" s="139"/>
      <c r="AK87" s="60" t="s">
        <v>5131</v>
      </c>
      <c r="AL87" s="60"/>
      <c r="AM87" s="141">
        <f t="shared" si="4"/>
        <v>20775.623268698058</v>
      </c>
    </row>
    <row r="88" spans="1:41" ht="39" hidden="1" customHeight="1">
      <c r="A88" s="196">
        <v>26821704</v>
      </c>
      <c r="C88" s="317">
        <v>44516</v>
      </c>
      <c r="D88" t="s">
        <v>5132</v>
      </c>
      <c r="E88" t="s">
        <v>5133</v>
      </c>
      <c r="F88" t="s">
        <v>5134</v>
      </c>
      <c r="G88" s="94">
        <v>1275789</v>
      </c>
      <c r="I88" t="s">
        <v>37</v>
      </c>
      <c r="J88" t="s">
        <v>5135</v>
      </c>
      <c r="K88" t="s">
        <v>5136</v>
      </c>
      <c r="L88" s="96" t="s">
        <v>5137</v>
      </c>
      <c r="M88" s="245" t="s">
        <v>5138</v>
      </c>
      <c r="N88" s="63">
        <f>27.93+2.66</f>
        <v>30.59</v>
      </c>
      <c r="O88" s="43" t="s">
        <v>36</v>
      </c>
      <c r="P88" t="s">
        <v>35</v>
      </c>
      <c r="Q88" s="436" t="s">
        <v>4722</v>
      </c>
      <c r="R88" t="s">
        <v>4669</v>
      </c>
      <c r="S88">
        <v>22</v>
      </c>
      <c r="U88">
        <f>Table3[[#This Row],[Superficie cultivée (ha)]]-2.2</f>
        <v>19.8</v>
      </c>
      <c r="Y88" s="63">
        <v>6.7</v>
      </c>
      <c r="AK88" t="s">
        <v>5139</v>
      </c>
      <c r="AM88" s="1">
        <f t="shared" si="4"/>
        <v>41706.080418437399</v>
      </c>
    </row>
    <row r="89" spans="1:41" ht="39" customHeight="1">
      <c r="A89" s="187">
        <v>26832418</v>
      </c>
      <c r="B89" s="43"/>
      <c r="C89" s="51">
        <v>44519</v>
      </c>
      <c r="D89" s="37" t="s">
        <v>5140</v>
      </c>
      <c r="E89" s="37" t="s">
        <v>5141</v>
      </c>
      <c r="F89" s="45">
        <v>6429811</v>
      </c>
      <c r="G89" s="16" t="s">
        <v>5142</v>
      </c>
      <c r="H89" s="16"/>
      <c r="I89" s="43"/>
      <c r="J89" s="43" t="s">
        <v>4656</v>
      </c>
      <c r="K89" s="43" t="s">
        <v>5143</v>
      </c>
      <c r="L89" s="25"/>
      <c r="M89" s="26"/>
      <c r="N89" s="46"/>
      <c r="O89" s="43"/>
      <c r="P89" s="47"/>
      <c r="Q89" s="267"/>
      <c r="R89" s="47"/>
      <c r="S89" s="43"/>
      <c r="T89" s="43"/>
      <c r="U89" s="43"/>
      <c r="V89" s="43"/>
      <c r="W89" s="43"/>
      <c r="X89" s="16"/>
      <c r="Y89" s="46"/>
      <c r="Z89" s="46"/>
      <c r="AA89" s="102"/>
      <c r="AB89" s="43"/>
      <c r="AC89" s="87"/>
      <c r="AD89" s="16"/>
      <c r="AE89" s="103"/>
      <c r="AF89" s="46"/>
      <c r="AG89" s="16"/>
      <c r="AH89" s="43"/>
      <c r="AI89" s="43"/>
      <c r="AJ89" s="43"/>
      <c r="AK89" s="37"/>
      <c r="AL89" s="47"/>
      <c r="AM89" s="74" t="e">
        <f t="shared" si="4"/>
        <v>#VALUE!</v>
      </c>
    </row>
    <row r="90" spans="1:41" ht="39" customHeight="1">
      <c r="A90" s="187">
        <v>26832418</v>
      </c>
      <c r="B90" s="43"/>
      <c r="C90" s="51">
        <v>44519</v>
      </c>
      <c r="D90" s="37" t="s">
        <v>5140</v>
      </c>
      <c r="E90" s="37" t="s">
        <v>5141</v>
      </c>
      <c r="F90" s="45">
        <v>6429810</v>
      </c>
      <c r="G90" s="16" t="s">
        <v>5142</v>
      </c>
      <c r="H90" s="16"/>
      <c r="I90" s="43"/>
      <c r="J90" s="43" t="s">
        <v>4656</v>
      </c>
      <c r="K90" s="43" t="s">
        <v>5143</v>
      </c>
      <c r="L90" s="25"/>
      <c r="M90" s="26"/>
      <c r="N90" s="46"/>
      <c r="O90" s="43"/>
      <c r="P90" s="47"/>
      <c r="Q90" s="267"/>
      <c r="R90" s="47"/>
      <c r="S90" s="43"/>
      <c r="T90" s="43"/>
      <c r="U90" s="43"/>
      <c r="V90" s="43"/>
      <c r="W90" s="43"/>
      <c r="X90" s="16"/>
      <c r="Y90" s="46"/>
      <c r="Z90" s="46"/>
      <c r="AA90" s="102"/>
      <c r="AB90" s="43"/>
      <c r="AC90" s="87"/>
      <c r="AD90" s="16"/>
      <c r="AE90" s="103"/>
      <c r="AF90" s="46"/>
      <c r="AG90" s="16"/>
      <c r="AH90" s="43"/>
      <c r="AI90" s="43"/>
      <c r="AJ90" s="43"/>
      <c r="AK90" s="37"/>
      <c r="AL90" s="47"/>
      <c r="AM90" s="74" t="e">
        <f t="shared" si="4"/>
        <v>#VALUE!</v>
      </c>
    </row>
    <row r="91" spans="1:41" ht="72" hidden="1" customHeight="1">
      <c r="A91" s="187">
        <v>26836786</v>
      </c>
      <c r="B91" s="43"/>
      <c r="C91" s="51">
        <v>44523</v>
      </c>
      <c r="D91" s="37" t="s">
        <v>5144</v>
      </c>
      <c r="E91" s="37" t="s">
        <v>5145</v>
      </c>
      <c r="F91" s="45">
        <v>4589867</v>
      </c>
      <c r="G91" s="16">
        <v>580000</v>
      </c>
      <c r="H91" s="16"/>
      <c r="I91" s="43"/>
      <c r="J91" s="43" t="s">
        <v>5059</v>
      </c>
      <c r="K91" s="43" t="s">
        <v>5146</v>
      </c>
      <c r="L91" s="25"/>
      <c r="M91" s="26"/>
      <c r="N91" s="46">
        <v>14.74</v>
      </c>
      <c r="O91" s="43" t="s">
        <v>5147</v>
      </c>
      <c r="P91" s="47"/>
      <c r="Q91" s="267" t="s">
        <v>5148</v>
      </c>
      <c r="R91" s="47"/>
      <c r="S91" s="43">
        <v>5.4</v>
      </c>
      <c r="T91" s="43"/>
      <c r="U91" s="43">
        <v>0</v>
      </c>
      <c r="V91" s="43" t="s">
        <v>5149</v>
      </c>
      <c r="W91" s="43"/>
      <c r="X91" s="16"/>
      <c r="Y91" s="46">
        <v>9.34</v>
      </c>
      <c r="Z91" s="46"/>
      <c r="AA91" s="102"/>
      <c r="AB91" s="43"/>
      <c r="AC91" s="87"/>
      <c r="AD91" s="16"/>
      <c r="AE91" s="103"/>
      <c r="AF91" s="46"/>
      <c r="AG91" s="16"/>
      <c r="AH91" s="43"/>
      <c r="AI91" s="43"/>
      <c r="AJ91" s="43" t="s">
        <v>5150</v>
      </c>
      <c r="AK91" s="37">
        <v>0</v>
      </c>
      <c r="AL91" s="47"/>
      <c r="AM91" s="74">
        <f t="shared" si="4"/>
        <v>39348.710990502033</v>
      </c>
    </row>
    <row r="92" spans="1:41" ht="79.5" customHeight="1">
      <c r="A92" s="187">
        <v>27028838</v>
      </c>
      <c r="B92" s="43"/>
      <c r="C92" s="51">
        <v>44532</v>
      </c>
      <c r="D92" s="37" t="s">
        <v>5151</v>
      </c>
      <c r="E92" s="37" t="s">
        <v>5152</v>
      </c>
      <c r="F92" s="45">
        <v>4516571</v>
      </c>
      <c r="G92" s="16" t="s">
        <v>5153</v>
      </c>
      <c r="H92" s="16"/>
      <c r="I92" s="43"/>
      <c r="J92" s="43" t="s">
        <v>5154</v>
      </c>
      <c r="K92" s="43">
        <v>0</v>
      </c>
      <c r="L92" s="25"/>
      <c r="M92" s="26"/>
      <c r="N92" s="46"/>
      <c r="O92" s="43"/>
      <c r="P92" s="47"/>
      <c r="Q92" s="267"/>
      <c r="R92" s="47"/>
      <c r="S92" s="43"/>
      <c r="T92" s="43"/>
      <c r="U92" s="43"/>
      <c r="V92" s="43"/>
      <c r="W92" s="43"/>
      <c r="X92" s="16"/>
      <c r="Y92" s="46"/>
      <c r="Z92" s="46"/>
      <c r="AA92" s="102"/>
      <c r="AB92" s="43"/>
      <c r="AC92" s="87"/>
      <c r="AD92" s="16"/>
      <c r="AE92" s="103"/>
      <c r="AF92" s="46"/>
      <c r="AG92" s="16"/>
      <c r="AH92" s="43"/>
      <c r="AI92" s="43"/>
      <c r="AJ92" s="43" t="s">
        <v>5155</v>
      </c>
      <c r="AK92" s="37"/>
      <c r="AL92" s="47"/>
      <c r="AM92" s="74" t="e">
        <f t="shared" si="4"/>
        <v>#VALUE!</v>
      </c>
    </row>
    <row r="93" spans="1:41" ht="39" hidden="1" customHeight="1">
      <c r="A93" s="194">
        <v>26868217</v>
      </c>
      <c r="B93" s="139"/>
      <c r="C93" s="148">
        <v>44533</v>
      </c>
      <c r="D93" s="60" t="s">
        <v>5156</v>
      </c>
      <c r="E93" s="60" t="s">
        <v>5157</v>
      </c>
      <c r="F93" s="140">
        <v>3475163</v>
      </c>
      <c r="G93" s="150">
        <v>150000</v>
      </c>
      <c r="H93" s="150"/>
      <c r="I93" s="139" t="s">
        <v>29</v>
      </c>
      <c r="J93" s="139" t="s">
        <v>5158</v>
      </c>
      <c r="K93" s="139" t="s">
        <v>5159</v>
      </c>
      <c r="L93" s="151" t="s">
        <v>5160</v>
      </c>
      <c r="M93" s="155" t="s">
        <v>5161</v>
      </c>
      <c r="N93" s="144">
        <v>12.87</v>
      </c>
      <c r="O93" s="139" t="s">
        <v>36</v>
      </c>
      <c r="P93" s="60" t="s">
        <v>2643</v>
      </c>
      <c r="Q93" s="437">
        <v>3</v>
      </c>
      <c r="R93" s="60" t="s">
        <v>155</v>
      </c>
      <c r="S93" s="139">
        <f>1.7+3.7+2.7+1.8</f>
        <v>9.9000000000000021</v>
      </c>
      <c r="T93" s="139" t="s">
        <v>4596</v>
      </c>
      <c r="U93" s="139">
        <v>0</v>
      </c>
      <c r="V93" s="139" t="s">
        <v>5029</v>
      </c>
      <c r="W93" s="139"/>
      <c r="X93" s="150"/>
      <c r="Y93" s="144"/>
      <c r="Z93" s="144"/>
      <c r="AA93" s="152"/>
      <c r="AB93" s="139"/>
      <c r="AC93" s="146"/>
      <c r="AD93" s="150"/>
      <c r="AE93" s="159"/>
      <c r="AF93" s="144"/>
      <c r="AG93" s="150"/>
      <c r="AH93" s="139"/>
      <c r="AI93" s="139"/>
      <c r="AJ93" s="139"/>
      <c r="AK93" s="60"/>
      <c r="AL93" s="60"/>
      <c r="AM93" s="150">
        <f t="shared" si="4"/>
        <v>11655.011655011656</v>
      </c>
    </row>
    <row r="94" spans="1:41" ht="39" hidden="1" customHeight="1">
      <c r="A94" s="194">
        <v>27096308</v>
      </c>
      <c r="B94" s="139"/>
      <c r="C94" s="148">
        <v>44540</v>
      </c>
      <c r="D94" s="60" t="s">
        <v>5162</v>
      </c>
      <c r="E94" s="60" t="s">
        <v>5163</v>
      </c>
      <c r="F94" s="139">
        <v>3590851</v>
      </c>
      <c r="G94" s="150">
        <v>1000000</v>
      </c>
      <c r="H94" s="150"/>
      <c r="I94" s="139" t="s">
        <v>321</v>
      </c>
      <c r="J94" s="139" t="s">
        <v>5164</v>
      </c>
      <c r="K94" s="139" t="s">
        <v>5165</v>
      </c>
      <c r="L94" s="151" t="s">
        <v>5166</v>
      </c>
      <c r="M94" s="151" t="s">
        <v>5167</v>
      </c>
      <c r="N94" s="144">
        <v>40.93</v>
      </c>
      <c r="O94" s="139" t="s">
        <v>18</v>
      </c>
      <c r="P94" s="60" t="s">
        <v>206</v>
      </c>
      <c r="Q94" s="437">
        <v>2</v>
      </c>
      <c r="R94" s="60" t="s">
        <v>155</v>
      </c>
      <c r="S94" s="139">
        <f>6.1+5.5+5+7+5.7+3.8+7</f>
        <v>40.1</v>
      </c>
      <c r="T94" s="139" t="s">
        <v>4596</v>
      </c>
      <c r="U94" s="139"/>
      <c r="V94" s="139"/>
      <c r="W94" s="139"/>
      <c r="X94" s="150"/>
      <c r="Y94" s="144"/>
      <c r="Z94" s="144"/>
      <c r="AA94" s="152"/>
      <c r="AB94" s="139"/>
      <c r="AC94" s="146"/>
      <c r="AD94" s="150"/>
      <c r="AE94" s="159"/>
      <c r="AF94" s="144"/>
      <c r="AG94" s="150"/>
      <c r="AH94" s="139"/>
      <c r="AI94" s="139"/>
      <c r="AJ94" s="139"/>
      <c r="AK94" s="60" t="s">
        <v>5168</v>
      </c>
      <c r="AL94" s="60"/>
      <c r="AM94" s="150">
        <f t="shared" si="4"/>
        <v>24431.956999755679</v>
      </c>
    </row>
    <row r="95" spans="1:41" ht="39" hidden="1" customHeight="1">
      <c r="A95" s="196">
        <v>26889712</v>
      </c>
      <c r="C95" s="317">
        <v>44545</v>
      </c>
      <c r="D95" t="s">
        <v>5169</v>
      </c>
      <c r="E95" t="s">
        <v>5170</v>
      </c>
      <c r="F95" s="269">
        <v>3078518</v>
      </c>
      <c r="G95" s="94">
        <v>1500000</v>
      </c>
      <c r="I95" t="s">
        <v>37</v>
      </c>
      <c r="J95" t="s">
        <v>5171</v>
      </c>
      <c r="K95" t="s">
        <v>5172</v>
      </c>
      <c r="N95" s="63">
        <v>16.059999999999999</v>
      </c>
      <c r="S95">
        <f>6.8+7</f>
        <v>13.8</v>
      </c>
      <c r="AC95" s="65" t="s">
        <v>4926</v>
      </c>
      <c r="AM95" s="1">
        <f t="shared" si="4"/>
        <v>93399.750933997522</v>
      </c>
    </row>
    <row r="96" spans="1:41" ht="45" hidden="1">
      <c r="A96" s="194">
        <v>26940266</v>
      </c>
      <c r="B96" s="139"/>
      <c r="C96" s="148">
        <v>44546</v>
      </c>
      <c r="D96" s="60" t="s">
        <v>5173</v>
      </c>
      <c r="E96" s="60" t="s">
        <v>5174</v>
      </c>
      <c r="F96" s="140" t="s">
        <v>5175</v>
      </c>
      <c r="G96" s="141">
        <v>200000</v>
      </c>
      <c r="H96" s="141"/>
      <c r="I96" s="139" t="s">
        <v>654</v>
      </c>
      <c r="J96" s="139" t="s">
        <v>4143</v>
      </c>
      <c r="K96" s="139" t="s">
        <v>5176</v>
      </c>
      <c r="L96" s="142">
        <v>46.758035</v>
      </c>
      <c r="M96" s="142">
        <v>-71.652390999999994</v>
      </c>
      <c r="N96" s="144">
        <v>9.5500000000000007</v>
      </c>
      <c r="O96" s="139" t="s">
        <v>764</v>
      </c>
      <c r="P96" s="60" t="s">
        <v>206</v>
      </c>
      <c r="Q96" s="437">
        <v>3</v>
      </c>
      <c r="R96" s="60" t="s">
        <v>155</v>
      </c>
      <c r="S96" s="139">
        <v>8.4</v>
      </c>
      <c r="T96" s="139" t="s">
        <v>4596</v>
      </c>
      <c r="U96" s="139">
        <v>0</v>
      </c>
      <c r="V96" s="139" t="s">
        <v>4628</v>
      </c>
      <c r="W96" s="139"/>
      <c r="X96" s="141" t="s">
        <v>5177</v>
      </c>
      <c r="Y96" s="144">
        <v>1</v>
      </c>
      <c r="Z96" s="144"/>
      <c r="AA96" s="145"/>
      <c r="AB96" s="139"/>
      <c r="AC96" s="146"/>
      <c r="AD96" s="141"/>
      <c r="AE96" s="158"/>
      <c r="AF96" s="144"/>
      <c r="AG96" s="141"/>
      <c r="AH96" s="139"/>
      <c r="AI96" s="139"/>
      <c r="AJ96" s="139"/>
      <c r="AK96" s="60" t="s">
        <v>5178</v>
      </c>
      <c r="AL96" s="60"/>
      <c r="AM96" s="141">
        <f t="shared" si="4"/>
        <v>20942.408376963351</v>
      </c>
    </row>
    <row r="97" spans="1:39" ht="45" hidden="1">
      <c r="A97" s="196">
        <v>26908213</v>
      </c>
      <c r="C97" s="317">
        <v>44547</v>
      </c>
      <c r="D97" s="20" t="s">
        <v>5179</v>
      </c>
      <c r="E97" t="s">
        <v>5180</v>
      </c>
      <c r="F97" s="269">
        <v>6018035</v>
      </c>
      <c r="G97" s="94">
        <v>1228500</v>
      </c>
      <c r="I97" t="s">
        <v>4917</v>
      </c>
      <c r="J97" t="s">
        <v>5042</v>
      </c>
      <c r="K97" t="s">
        <v>5181</v>
      </c>
      <c r="L97" s="96" t="s">
        <v>5182</v>
      </c>
      <c r="M97" s="245" t="s">
        <v>5183</v>
      </c>
      <c r="N97" s="63">
        <v>33.15</v>
      </c>
      <c r="O97" s="43" t="s">
        <v>36</v>
      </c>
      <c r="P97" t="s">
        <v>35</v>
      </c>
      <c r="Q97" s="436">
        <v>2</v>
      </c>
      <c r="R97" t="s">
        <v>4669</v>
      </c>
      <c r="S97">
        <f>18.6+11.9-1+2.5</f>
        <v>32</v>
      </c>
      <c r="U97" s="63">
        <f>Table3[[#This Row],[Superficie totale (ha)]]</f>
        <v>33.15</v>
      </c>
      <c r="AL97" t="s">
        <v>5184</v>
      </c>
      <c r="AM97" s="1">
        <f t="shared" si="4"/>
        <v>37058.823529411769</v>
      </c>
    </row>
    <row r="98" spans="1:39" ht="60" hidden="1">
      <c r="A98" s="194">
        <v>27103157</v>
      </c>
      <c r="B98" s="139"/>
      <c r="C98" s="148">
        <v>44552</v>
      </c>
      <c r="D98" s="60" t="s">
        <v>5185</v>
      </c>
      <c r="E98" s="60" t="s">
        <v>5186</v>
      </c>
      <c r="F98" s="140" t="s">
        <v>5187</v>
      </c>
      <c r="G98" s="141">
        <v>400000</v>
      </c>
      <c r="H98" s="141"/>
      <c r="I98" s="139" t="s">
        <v>201</v>
      </c>
      <c r="J98" s="139" t="s">
        <v>202</v>
      </c>
      <c r="K98" s="139" t="s">
        <v>5188</v>
      </c>
      <c r="L98" s="142" t="s">
        <v>5189</v>
      </c>
      <c r="M98" s="143" t="s">
        <v>5190</v>
      </c>
      <c r="N98" s="144">
        <f>12.77+5.6+1.17</f>
        <v>19.54</v>
      </c>
      <c r="O98" s="139" t="s">
        <v>764</v>
      </c>
      <c r="P98" s="60" t="s">
        <v>206</v>
      </c>
      <c r="Q98" s="437" t="s">
        <v>4835</v>
      </c>
      <c r="R98" s="60" t="s">
        <v>4669</v>
      </c>
      <c r="S98" s="139">
        <f>8.5+5.4+3.9</f>
        <v>17.8</v>
      </c>
      <c r="T98" s="139" t="s">
        <v>4596</v>
      </c>
      <c r="U98" s="139">
        <v>0</v>
      </c>
      <c r="V98" s="139"/>
      <c r="W98" s="139"/>
      <c r="X98" s="141"/>
      <c r="Y98" s="144">
        <v>0.3</v>
      </c>
      <c r="Z98" s="144"/>
      <c r="AA98" s="145"/>
      <c r="AB98" s="139"/>
      <c r="AC98" s="146"/>
      <c r="AD98" s="141"/>
      <c r="AE98" s="158"/>
      <c r="AF98" s="144"/>
      <c r="AG98" s="141"/>
      <c r="AH98" s="139"/>
      <c r="AI98" s="139"/>
      <c r="AJ98" s="139"/>
      <c r="AK98" s="60" t="s">
        <v>5191</v>
      </c>
      <c r="AL98" s="60"/>
      <c r="AM98" s="141">
        <f t="shared" si="4"/>
        <v>20470.829068577277</v>
      </c>
    </row>
    <row r="99" spans="1:39" ht="60" hidden="1">
      <c r="A99" s="194">
        <v>26929475</v>
      </c>
      <c r="B99" s="139"/>
      <c r="C99" s="148">
        <v>44566</v>
      </c>
      <c r="D99" s="60" t="s">
        <v>5192</v>
      </c>
      <c r="E99" s="60" t="s">
        <v>5193</v>
      </c>
      <c r="F99" s="140">
        <v>3407933</v>
      </c>
      <c r="G99" s="141">
        <v>1500000</v>
      </c>
      <c r="H99" s="141"/>
      <c r="I99" s="139" t="s">
        <v>1075</v>
      </c>
      <c r="J99" s="139" t="s">
        <v>4713</v>
      </c>
      <c r="K99" s="139" t="s">
        <v>5194</v>
      </c>
      <c r="L99" s="142" t="s">
        <v>5195</v>
      </c>
      <c r="M99" s="143" t="s">
        <v>5196</v>
      </c>
      <c r="N99" s="144">
        <v>36.119999999999997</v>
      </c>
      <c r="O99" s="139" t="s">
        <v>18</v>
      </c>
      <c r="P99" s="60" t="s">
        <v>949</v>
      </c>
      <c r="Q99" s="439" t="s">
        <v>4856</v>
      </c>
      <c r="R99" s="60" t="s">
        <v>5197</v>
      </c>
      <c r="S99" s="139">
        <f>2.7+16.9+14.1</f>
        <v>33.699999999999996</v>
      </c>
      <c r="T99" s="139" t="s">
        <v>4596</v>
      </c>
      <c r="U99" s="139">
        <v>33.700000000000003</v>
      </c>
      <c r="V99" s="139" t="s">
        <v>4628</v>
      </c>
      <c r="W99" s="139"/>
      <c r="X99" s="141"/>
      <c r="Y99" s="144">
        <v>0</v>
      </c>
      <c r="Z99" s="144"/>
      <c r="AA99" s="145"/>
      <c r="AB99" s="139"/>
      <c r="AC99" s="146"/>
      <c r="AD99" s="141"/>
      <c r="AE99" s="158"/>
      <c r="AF99" s="144"/>
      <c r="AG99" s="141"/>
      <c r="AH99" s="139"/>
      <c r="AI99" s="139"/>
      <c r="AJ99" s="139"/>
      <c r="AK99" s="60" t="s">
        <v>126</v>
      </c>
      <c r="AL99" s="60"/>
      <c r="AM99" s="141">
        <f t="shared" si="4"/>
        <v>41528.239202657809</v>
      </c>
    </row>
    <row r="100" spans="1:39" ht="30" hidden="1">
      <c r="A100" s="194">
        <v>26934829</v>
      </c>
      <c r="B100" s="139"/>
      <c r="C100" s="148">
        <v>44567</v>
      </c>
      <c r="D100" s="60" t="s">
        <v>5198</v>
      </c>
      <c r="E100" s="60" t="s">
        <v>5199</v>
      </c>
      <c r="F100" s="140" t="s">
        <v>5200</v>
      </c>
      <c r="G100" s="141">
        <v>170000</v>
      </c>
      <c r="H100" s="141"/>
      <c r="I100" s="139" t="s">
        <v>321</v>
      </c>
      <c r="J100" s="139" t="s">
        <v>322</v>
      </c>
      <c r="K100" s="139" t="s">
        <v>5201</v>
      </c>
      <c r="L100" s="142" t="s">
        <v>5202</v>
      </c>
      <c r="M100" s="143" t="s">
        <v>5203</v>
      </c>
      <c r="N100" s="144">
        <v>25.31</v>
      </c>
      <c r="O100" s="139" t="s">
        <v>36</v>
      </c>
      <c r="P100" s="60" t="s">
        <v>206</v>
      </c>
      <c r="Q100" s="437">
        <v>4</v>
      </c>
      <c r="R100" s="60" t="s">
        <v>155</v>
      </c>
      <c r="S100" s="139">
        <v>6.5</v>
      </c>
      <c r="T100" s="147" t="s">
        <v>4596</v>
      </c>
      <c r="U100" s="139">
        <v>0</v>
      </c>
      <c r="V100" s="139" t="s">
        <v>5029</v>
      </c>
      <c r="W100" s="139"/>
      <c r="X100" s="141"/>
      <c r="Y100" s="144">
        <f>N100-S100</f>
        <v>18.809999999999999</v>
      </c>
      <c r="Z100" s="144"/>
      <c r="AA100" s="145"/>
      <c r="AB100" s="139"/>
      <c r="AC100" s="146"/>
      <c r="AD100" s="141"/>
      <c r="AE100" s="158"/>
      <c r="AF100" s="144"/>
      <c r="AG100" s="141"/>
      <c r="AH100" s="139"/>
      <c r="AI100" s="139"/>
      <c r="AJ100" s="139"/>
      <c r="AK100" s="60" t="s">
        <v>5204</v>
      </c>
      <c r="AL100" s="60"/>
      <c r="AM100" s="141">
        <f t="shared" si="4"/>
        <v>6716.7127617542474</v>
      </c>
    </row>
    <row r="101" spans="1:39" ht="38.25" hidden="1" customHeight="1">
      <c r="A101" s="194">
        <v>26942199</v>
      </c>
      <c r="B101" s="139"/>
      <c r="C101" s="148">
        <v>44573</v>
      </c>
      <c r="D101" s="60" t="s">
        <v>5205</v>
      </c>
      <c r="E101" s="60" t="s">
        <v>5206</v>
      </c>
      <c r="F101" s="140" t="s">
        <v>5207</v>
      </c>
      <c r="G101" s="141">
        <v>155000</v>
      </c>
      <c r="H101" s="141"/>
      <c r="I101" s="139" t="s">
        <v>201</v>
      </c>
      <c r="J101" s="139" t="s">
        <v>202</v>
      </c>
      <c r="K101" s="139" t="s">
        <v>5208</v>
      </c>
      <c r="L101" s="142" t="s">
        <v>5209</v>
      </c>
      <c r="M101" s="143" t="s">
        <v>5210</v>
      </c>
      <c r="N101" s="144">
        <f>4.39+4.16+0.8</f>
        <v>9.3500000000000014</v>
      </c>
      <c r="O101" s="139" t="s">
        <v>764</v>
      </c>
      <c r="P101" s="60" t="s">
        <v>206</v>
      </c>
      <c r="Q101" s="437">
        <v>2</v>
      </c>
      <c r="R101" s="60" t="s">
        <v>4669</v>
      </c>
      <c r="S101" s="139">
        <f>4.1+3.9</f>
        <v>8</v>
      </c>
      <c r="T101" s="139" t="s">
        <v>4596</v>
      </c>
      <c r="U101" s="139">
        <v>0</v>
      </c>
      <c r="V101" s="139"/>
      <c r="W101" s="139"/>
      <c r="X101" s="141"/>
      <c r="Y101" s="144"/>
      <c r="Z101" s="144"/>
      <c r="AA101" s="145"/>
      <c r="AB101" s="139"/>
      <c r="AC101" s="146"/>
      <c r="AD101" s="141"/>
      <c r="AE101" s="158"/>
      <c r="AF101" s="144"/>
      <c r="AG101" s="141"/>
      <c r="AH101" s="139"/>
      <c r="AI101" s="139"/>
      <c r="AJ101" s="139"/>
      <c r="AK101" s="60" t="s">
        <v>4636</v>
      </c>
      <c r="AL101" s="60"/>
      <c r="AM101" s="141">
        <f t="shared" si="4"/>
        <v>16577.54010695187</v>
      </c>
    </row>
    <row r="102" spans="1:39" ht="30" hidden="1">
      <c r="A102" s="194">
        <v>26941473</v>
      </c>
      <c r="B102" s="139"/>
      <c r="C102" s="148">
        <v>44573</v>
      </c>
      <c r="D102" s="60" t="s">
        <v>5211</v>
      </c>
      <c r="E102" s="60" t="s">
        <v>5212</v>
      </c>
      <c r="F102" s="140" t="s">
        <v>5213</v>
      </c>
      <c r="G102" s="141">
        <v>160000</v>
      </c>
      <c r="H102" s="141"/>
      <c r="I102" s="139" t="s">
        <v>321</v>
      </c>
      <c r="J102" s="139" t="s">
        <v>1942</v>
      </c>
      <c r="K102" s="139" t="s">
        <v>5214</v>
      </c>
      <c r="L102" s="142">
        <v>46.533394999999999</v>
      </c>
      <c r="M102" s="143">
        <v>-71.459325000000007</v>
      </c>
      <c r="N102" s="144">
        <v>33.67</v>
      </c>
      <c r="O102" s="139" t="s">
        <v>18</v>
      </c>
      <c r="P102" s="60" t="s">
        <v>35</v>
      </c>
      <c r="Q102" s="439">
        <v>3</v>
      </c>
      <c r="R102" s="60" t="s">
        <v>155</v>
      </c>
      <c r="S102" s="139">
        <v>9.6</v>
      </c>
      <c r="T102" s="139" t="s">
        <v>4596</v>
      </c>
      <c r="U102" s="139"/>
      <c r="V102" s="139"/>
      <c r="W102" s="139"/>
      <c r="X102" s="141"/>
      <c r="Y102" s="144">
        <v>24.07</v>
      </c>
      <c r="Z102" s="144"/>
      <c r="AA102" s="145"/>
      <c r="AB102" s="139"/>
      <c r="AC102" s="146"/>
      <c r="AD102" s="141"/>
      <c r="AE102" s="158"/>
      <c r="AF102" s="144"/>
      <c r="AG102" s="141"/>
      <c r="AH102" s="139"/>
      <c r="AI102" s="139"/>
      <c r="AJ102" s="139"/>
      <c r="AK102" s="60" t="s">
        <v>5215</v>
      </c>
      <c r="AL102" s="60"/>
      <c r="AM102" s="141">
        <f t="shared" si="4"/>
        <v>4752.0047520047519</v>
      </c>
    </row>
    <row r="103" spans="1:39" ht="30" hidden="1" customHeight="1">
      <c r="A103" s="187">
        <v>26949834</v>
      </c>
      <c r="B103" s="43"/>
      <c r="C103" s="51">
        <v>44575</v>
      </c>
      <c r="D103" s="37" t="s">
        <v>5216</v>
      </c>
      <c r="E103" s="37" t="s">
        <v>5217</v>
      </c>
      <c r="F103" s="47" t="s">
        <v>5218</v>
      </c>
      <c r="G103" s="1">
        <f>416000+1900000+20000</f>
        <v>2336000</v>
      </c>
      <c r="H103" s="1"/>
      <c r="I103" s="43" t="s">
        <v>4726</v>
      </c>
      <c r="J103" s="43" t="s">
        <v>5219</v>
      </c>
      <c r="K103" s="43" t="s">
        <v>5219</v>
      </c>
      <c r="L103" s="4" t="s">
        <v>5220</v>
      </c>
      <c r="M103" s="4" t="s">
        <v>5221</v>
      </c>
      <c r="N103" s="46">
        <f>11.61+32.02+14.47</f>
        <v>58.1</v>
      </c>
      <c r="O103" s="43" t="s">
        <v>18</v>
      </c>
      <c r="P103" s="47" t="s">
        <v>206</v>
      </c>
      <c r="Q103" s="442">
        <v>2</v>
      </c>
      <c r="R103" s="47" t="s">
        <v>4669</v>
      </c>
      <c r="S103" s="43">
        <f>24+3.2+4.1+3.4+2.6+2.7+1.6+0.9+0.8+3.2+2+1.8</f>
        <v>50.3</v>
      </c>
      <c r="T103" s="43" t="s">
        <v>4596</v>
      </c>
      <c r="U103" s="43">
        <f>Terre!$S80-11.61</f>
        <v>23.490000000000002</v>
      </c>
      <c r="V103" s="43" t="s">
        <v>4837</v>
      </c>
      <c r="W103" s="43"/>
      <c r="X103" s="1"/>
      <c r="Y103" s="46">
        <f>2.1+1.5</f>
        <v>3.6</v>
      </c>
      <c r="Z103" s="46"/>
      <c r="AA103" s="2"/>
      <c r="AB103" s="43"/>
      <c r="AC103" s="87"/>
      <c r="AD103" s="1"/>
      <c r="AE103" s="3"/>
      <c r="AF103" s="46" t="s">
        <v>5222</v>
      </c>
      <c r="AG103" s="1">
        <v>31900</v>
      </c>
      <c r="AH103" s="43" t="s">
        <v>5223</v>
      </c>
      <c r="AI103" s="43"/>
      <c r="AJ103" s="43"/>
      <c r="AK103" s="37" t="s">
        <v>5224</v>
      </c>
      <c r="AL103" s="47"/>
      <c r="AM103" s="1">
        <f t="shared" si="4"/>
        <v>40206.540447504303</v>
      </c>
    </row>
    <row r="104" spans="1:39" s="66" customFormat="1" ht="30" hidden="1" customHeight="1">
      <c r="A104" s="187">
        <v>28245214</v>
      </c>
      <c r="B104" s="43"/>
      <c r="C104" s="51">
        <v>44579</v>
      </c>
      <c r="D104" s="37" t="s">
        <v>5225</v>
      </c>
      <c r="E104" s="37" t="s">
        <v>5226</v>
      </c>
      <c r="F104" s="45">
        <v>6579860</v>
      </c>
      <c r="G104" s="16">
        <v>400000</v>
      </c>
      <c r="H104" s="16"/>
      <c r="I104" s="43"/>
      <c r="J104" s="43" t="s">
        <v>5227</v>
      </c>
      <c r="K104" s="43" t="s">
        <v>5228</v>
      </c>
      <c r="L104" s="25"/>
      <c r="M104" s="26"/>
      <c r="N104" s="46">
        <v>7.8</v>
      </c>
      <c r="O104" s="43">
        <v>0</v>
      </c>
      <c r="P104" s="47"/>
      <c r="Q104" s="267" t="s">
        <v>5229</v>
      </c>
      <c r="R104" s="47"/>
      <c r="S104" s="43">
        <v>7.4099999999999993</v>
      </c>
      <c r="T104" s="43"/>
      <c r="U104" s="43" t="s">
        <v>71</v>
      </c>
      <c r="V104" s="43" t="s">
        <v>5230</v>
      </c>
      <c r="W104" s="43"/>
      <c r="X104" s="16"/>
      <c r="Y104" s="46">
        <v>0</v>
      </c>
      <c r="Z104" s="46"/>
      <c r="AA104" s="102"/>
      <c r="AB104" s="43"/>
      <c r="AC104" s="87"/>
      <c r="AD104" s="16"/>
      <c r="AE104" s="103"/>
      <c r="AF104" s="46"/>
      <c r="AG104" s="16"/>
      <c r="AH104" s="43"/>
      <c r="AI104" s="43"/>
      <c r="AJ104" s="43"/>
      <c r="AK104" s="37"/>
      <c r="AL104" s="47"/>
      <c r="AM104" s="74">
        <f t="shared" si="4"/>
        <v>51282.051282051281</v>
      </c>
    </row>
    <row r="105" spans="1:39" s="66" customFormat="1" ht="30" hidden="1" customHeight="1">
      <c r="A105" s="373">
        <v>26968639</v>
      </c>
      <c r="B105" s="43"/>
      <c r="C105" s="51">
        <v>44581</v>
      </c>
      <c r="D105" s="37" t="s">
        <v>5231</v>
      </c>
      <c r="E105" s="37" t="s">
        <v>5232</v>
      </c>
      <c r="F105" s="34">
        <v>5171450</v>
      </c>
      <c r="G105" s="16">
        <v>30000</v>
      </c>
      <c r="H105" s="16"/>
      <c r="I105" s="43" t="s">
        <v>602</v>
      </c>
      <c r="J105" s="43" t="s">
        <v>5233</v>
      </c>
      <c r="K105" s="43" t="s">
        <v>5233</v>
      </c>
      <c r="L105" s="25" t="s">
        <v>5234</v>
      </c>
      <c r="M105" s="25" t="s">
        <v>5235</v>
      </c>
      <c r="N105" s="46">
        <v>4.78</v>
      </c>
      <c r="O105" s="43" t="s">
        <v>18</v>
      </c>
      <c r="P105" s="47" t="s">
        <v>206</v>
      </c>
      <c r="Q105" s="443">
        <v>4</v>
      </c>
      <c r="R105" s="61" t="s">
        <v>4669</v>
      </c>
      <c r="S105" s="46"/>
      <c r="T105" s="43" t="s">
        <v>4596</v>
      </c>
      <c r="U105" s="43"/>
      <c r="V105" s="43"/>
      <c r="W105" s="43"/>
      <c r="X105" s="16"/>
      <c r="Y105" s="46"/>
      <c r="Z105" s="46"/>
      <c r="AA105" s="102"/>
      <c r="AB105" s="43"/>
      <c r="AC105" s="87"/>
      <c r="AD105" s="16"/>
      <c r="AE105" s="103"/>
      <c r="AF105" s="46" t="s">
        <v>5236</v>
      </c>
      <c r="AG105" s="16"/>
      <c r="AH105" s="43"/>
      <c r="AI105" s="43"/>
      <c r="AJ105" s="43"/>
      <c r="AK105" s="37" t="s">
        <v>5237</v>
      </c>
      <c r="AL105" s="47"/>
      <c r="AM105" s="16">
        <f t="shared" si="4"/>
        <v>6276.1506276150621</v>
      </c>
    </row>
    <row r="106" spans="1:39" s="77" customFormat="1" ht="30" customHeight="1">
      <c r="A106" s="187">
        <v>26967990</v>
      </c>
      <c r="B106" s="43"/>
      <c r="C106" s="51">
        <v>44585</v>
      </c>
      <c r="D106" s="37" t="s">
        <v>5238</v>
      </c>
      <c r="E106" s="37" t="s">
        <v>5239</v>
      </c>
      <c r="F106" s="45">
        <v>3499691</v>
      </c>
      <c r="G106" s="16" t="s">
        <v>5240</v>
      </c>
      <c r="H106" s="16"/>
      <c r="I106" s="43" t="s">
        <v>4911</v>
      </c>
      <c r="J106" s="43" t="s">
        <v>5241</v>
      </c>
      <c r="K106" s="43" t="s">
        <v>5242</v>
      </c>
      <c r="L106" s="25"/>
      <c r="M106" s="26"/>
      <c r="N106" s="46"/>
      <c r="O106" s="43"/>
      <c r="P106" s="47"/>
      <c r="Q106" s="267"/>
      <c r="R106" s="47"/>
      <c r="S106" s="43"/>
      <c r="T106" s="43"/>
      <c r="U106" s="43"/>
      <c r="V106" s="43"/>
      <c r="W106" s="43"/>
      <c r="X106" s="16"/>
      <c r="Y106" s="46"/>
      <c r="Z106" s="46"/>
      <c r="AA106" s="102"/>
      <c r="AB106" s="43"/>
      <c r="AC106" s="87"/>
      <c r="AD106" s="16"/>
      <c r="AE106" s="103"/>
      <c r="AF106" s="46"/>
      <c r="AG106" s="16"/>
      <c r="AH106" s="43"/>
      <c r="AI106" s="43"/>
      <c r="AJ106" s="43" t="s">
        <v>5243</v>
      </c>
      <c r="AK106" s="37"/>
      <c r="AL106" s="47"/>
      <c r="AM106" s="74" t="e">
        <f t="shared" si="4"/>
        <v>#VALUE!</v>
      </c>
    </row>
    <row r="107" spans="1:39" s="66" customFormat="1" ht="30" hidden="1" customHeight="1">
      <c r="A107" s="187">
        <v>26969076</v>
      </c>
      <c r="B107" s="43"/>
      <c r="C107" s="51">
        <v>44586</v>
      </c>
      <c r="D107" s="37" t="s">
        <v>5244</v>
      </c>
      <c r="E107" s="37" t="s">
        <v>5245</v>
      </c>
      <c r="F107" s="45">
        <v>1959935</v>
      </c>
      <c r="G107" s="16">
        <v>900000</v>
      </c>
      <c r="H107" s="16"/>
      <c r="I107" s="43" t="s">
        <v>48</v>
      </c>
      <c r="J107" s="43" t="s">
        <v>4981</v>
      </c>
      <c r="K107" s="43" t="s">
        <v>5246</v>
      </c>
      <c r="L107" s="25" t="s">
        <v>5247</v>
      </c>
      <c r="M107" s="26" t="s">
        <v>5248</v>
      </c>
      <c r="N107" s="46">
        <v>21.89</v>
      </c>
      <c r="O107" s="43" t="s">
        <v>18</v>
      </c>
      <c r="P107" s="47" t="s">
        <v>35</v>
      </c>
      <c r="Q107" s="267" t="s">
        <v>5249</v>
      </c>
      <c r="R107" s="47" t="s">
        <v>5250</v>
      </c>
      <c r="S107" s="43">
        <v>21.2</v>
      </c>
      <c r="T107" s="43" t="s">
        <v>4828</v>
      </c>
      <c r="U107" s="43">
        <v>21.2</v>
      </c>
      <c r="V107" s="43" t="s">
        <v>4628</v>
      </c>
      <c r="W107" s="43"/>
      <c r="X107" s="16"/>
      <c r="Y107" s="46">
        <v>0</v>
      </c>
      <c r="Z107" s="46"/>
      <c r="AA107" s="102"/>
      <c r="AB107" s="43"/>
      <c r="AC107" s="87"/>
      <c r="AD107" s="16"/>
      <c r="AE107" s="103"/>
      <c r="AF107" s="46"/>
      <c r="AG107" s="16"/>
      <c r="AH107" s="43"/>
      <c r="AI107" s="43"/>
      <c r="AJ107" s="43"/>
      <c r="AK107" s="37" t="s">
        <v>5237</v>
      </c>
      <c r="AL107" s="47"/>
      <c r="AM107" s="1">
        <f t="shared" si="4"/>
        <v>41114.664230242117</v>
      </c>
    </row>
    <row r="108" spans="1:39" s="66" customFormat="1" ht="30" customHeight="1">
      <c r="A108" s="187">
        <v>26971465</v>
      </c>
      <c r="B108" s="43"/>
      <c r="C108" s="51">
        <v>44586</v>
      </c>
      <c r="D108" s="37" t="s">
        <v>5251</v>
      </c>
      <c r="E108" s="37" t="s">
        <v>5252</v>
      </c>
      <c r="F108" s="45" t="s">
        <v>5253</v>
      </c>
      <c r="G108" s="16">
        <v>1500000</v>
      </c>
      <c r="H108" s="16"/>
      <c r="I108" s="43"/>
      <c r="J108" s="43" t="s">
        <v>1648</v>
      </c>
      <c r="K108" s="43" t="s">
        <v>5254</v>
      </c>
      <c r="L108" s="25"/>
      <c r="M108" s="26"/>
      <c r="N108" s="46"/>
      <c r="O108" s="43" t="s">
        <v>5255</v>
      </c>
      <c r="P108" s="47"/>
      <c r="Q108" s="267" t="s">
        <v>5256</v>
      </c>
      <c r="R108" s="47"/>
      <c r="S108" s="43">
        <v>17.7</v>
      </c>
      <c r="T108" s="43"/>
      <c r="U108" s="43"/>
      <c r="V108" s="43"/>
      <c r="W108" s="43"/>
      <c r="X108" s="16"/>
      <c r="Y108" s="46">
        <v>0</v>
      </c>
      <c r="Z108" s="46"/>
      <c r="AA108" s="102"/>
      <c r="AB108" s="43"/>
      <c r="AC108" s="87"/>
      <c r="AD108" s="16"/>
      <c r="AE108" s="103"/>
      <c r="AF108" s="46"/>
      <c r="AG108" s="16"/>
      <c r="AH108" s="43"/>
      <c r="AI108" s="43"/>
      <c r="AJ108" s="43"/>
      <c r="AK108" s="37"/>
      <c r="AL108" s="47"/>
      <c r="AM108" s="74" t="e">
        <f t="shared" si="4"/>
        <v>#DIV/0!</v>
      </c>
    </row>
    <row r="109" spans="1:39" s="66" customFormat="1" ht="30" customHeight="1">
      <c r="A109" s="187">
        <v>26988810</v>
      </c>
      <c r="B109" s="43"/>
      <c r="C109" s="51">
        <v>44589</v>
      </c>
      <c r="D109" s="37" t="s">
        <v>5257</v>
      </c>
      <c r="E109" s="37" t="s">
        <v>5258</v>
      </c>
      <c r="F109" s="45" t="s">
        <v>5259</v>
      </c>
      <c r="G109" s="16" t="s">
        <v>5260</v>
      </c>
      <c r="H109" s="16"/>
      <c r="I109" s="43" t="s">
        <v>4911</v>
      </c>
      <c r="J109" s="43" t="s">
        <v>5261</v>
      </c>
      <c r="K109" s="43" t="s">
        <v>5262</v>
      </c>
      <c r="L109" s="25"/>
      <c r="M109" s="26"/>
      <c r="N109" s="46"/>
      <c r="O109" s="43"/>
      <c r="P109" s="47"/>
      <c r="Q109" s="267"/>
      <c r="R109" s="47"/>
      <c r="S109" s="43"/>
      <c r="T109" s="43"/>
      <c r="U109" s="43"/>
      <c r="V109" s="43"/>
      <c r="W109" s="43"/>
      <c r="X109" s="16"/>
      <c r="Y109" s="46"/>
      <c r="Z109" s="46"/>
      <c r="AA109" s="102"/>
      <c r="AB109" s="43"/>
      <c r="AC109" s="87"/>
      <c r="AD109" s="16"/>
      <c r="AE109" s="103"/>
      <c r="AF109" s="46"/>
      <c r="AG109" s="16"/>
      <c r="AH109" s="43"/>
      <c r="AI109" s="43"/>
      <c r="AJ109" s="43" t="s">
        <v>5155</v>
      </c>
      <c r="AK109" s="37"/>
      <c r="AL109" s="47"/>
      <c r="AM109" s="74" t="e">
        <f t="shared" si="4"/>
        <v>#VALUE!</v>
      </c>
    </row>
    <row r="110" spans="1:39" s="66" customFormat="1" ht="30" customHeight="1">
      <c r="A110" s="187">
        <v>27130075</v>
      </c>
      <c r="B110" s="43"/>
      <c r="C110" s="51">
        <v>44590</v>
      </c>
      <c r="D110" s="37" t="s">
        <v>5263</v>
      </c>
      <c r="E110" s="37" t="s">
        <v>5264</v>
      </c>
      <c r="F110" s="45" t="s">
        <v>5265</v>
      </c>
      <c r="G110" s="16">
        <v>4000000</v>
      </c>
      <c r="H110" s="16"/>
      <c r="I110" s="43"/>
      <c r="J110" s="43" t="s">
        <v>5266</v>
      </c>
      <c r="K110" s="43"/>
      <c r="L110" s="25"/>
      <c r="M110" s="26"/>
      <c r="N110" s="46"/>
      <c r="O110" s="43"/>
      <c r="P110" s="47"/>
      <c r="Q110" s="267"/>
      <c r="R110" s="47"/>
      <c r="S110" s="43"/>
      <c r="T110" s="43"/>
      <c r="U110" s="43"/>
      <c r="V110" s="43"/>
      <c r="W110" s="43"/>
      <c r="X110" s="16"/>
      <c r="Y110" s="46"/>
      <c r="Z110" s="46"/>
      <c r="AA110" s="102"/>
      <c r="AB110" s="43"/>
      <c r="AC110" s="87"/>
      <c r="AD110" s="16"/>
      <c r="AE110" s="103"/>
      <c r="AF110" s="46"/>
      <c r="AG110" s="16"/>
      <c r="AH110" s="43"/>
      <c r="AI110" s="43"/>
      <c r="AJ110" s="43"/>
      <c r="AK110" s="37"/>
      <c r="AL110" s="47"/>
      <c r="AM110" s="74" t="e">
        <f t="shared" si="4"/>
        <v>#DIV/0!</v>
      </c>
    </row>
    <row r="111" spans="1:39" s="66" customFormat="1" ht="30" hidden="1" customHeight="1">
      <c r="A111" s="187">
        <v>26983652</v>
      </c>
      <c r="B111" s="43"/>
      <c r="C111" s="51">
        <v>44592</v>
      </c>
      <c r="D111" s="37" t="s">
        <v>5267</v>
      </c>
      <c r="E111" s="37" t="s">
        <v>5268</v>
      </c>
      <c r="F111" s="45">
        <v>4794194</v>
      </c>
      <c r="G111" s="16">
        <v>48000</v>
      </c>
      <c r="H111" s="16"/>
      <c r="I111" s="43" t="s">
        <v>29</v>
      </c>
      <c r="J111" s="43" t="s">
        <v>5158</v>
      </c>
      <c r="K111" s="43" t="s">
        <v>5269</v>
      </c>
      <c r="L111" s="25" t="s">
        <v>5270</v>
      </c>
      <c r="M111" s="26" t="s">
        <v>5271</v>
      </c>
      <c r="N111" s="46">
        <v>4.71</v>
      </c>
      <c r="O111" s="43" t="s">
        <v>36</v>
      </c>
      <c r="P111" s="47" t="s">
        <v>206</v>
      </c>
      <c r="Q111" s="442">
        <v>2</v>
      </c>
      <c r="R111" s="47" t="s">
        <v>4669</v>
      </c>
      <c r="S111" s="43">
        <v>4.3</v>
      </c>
      <c r="T111" s="43" t="s">
        <v>4596</v>
      </c>
      <c r="U111" s="43">
        <v>0</v>
      </c>
      <c r="V111" s="43" t="s">
        <v>5029</v>
      </c>
      <c r="W111" s="43"/>
      <c r="X111" s="16"/>
      <c r="Y111" s="46"/>
      <c r="Z111" s="46"/>
      <c r="AA111" s="102"/>
      <c r="AB111" s="43"/>
      <c r="AC111" s="87"/>
      <c r="AD111" s="16"/>
      <c r="AE111" s="103"/>
      <c r="AF111" s="46"/>
      <c r="AG111" s="16"/>
      <c r="AH111" s="43"/>
      <c r="AI111" s="43"/>
      <c r="AJ111" s="43"/>
      <c r="AK111" s="37" t="s">
        <v>5272</v>
      </c>
      <c r="AL111" s="47"/>
      <c r="AM111" s="16">
        <f t="shared" si="4"/>
        <v>10191.082802547771</v>
      </c>
    </row>
    <row r="112" spans="1:39" ht="39" hidden="1" customHeight="1">
      <c r="A112" s="187">
        <v>27003960</v>
      </c>
      <c r="B112" s="43" t="s">
        <v>4652</v>
      </c>
      <c r="C112" s="51">
        <v>44596</v>
      </c>
      <c r="D112" s="37" t="s">
        <v>5273</v>
      </c>
      <c r="E112" s="37" t="s">
        <v>5274</v>
      </c>
      <c r="F112" s="45" t="s">
        <v>5275</v>
      </c>
      <c r="G112" s="16">
        <v>832500</v>
      </c>
      <c r="H112" s="16" t="s">
        <v>4652</v>
      </c>
      <c r="I112" s="43" t="s">
        <v>4652</v>
      </c>
      <c r="J112" s="43" t="s">
        <v>5276</v>
      </c>
      <c r="K112" s="43" t="s">
        <v>5277</v>
      </c>
      <c r="L112" s="25" t="s">
        <v>4652</v>
      </c>
      <c r="M112" s="26" t="s">
        <v>4652</v>
      </c>
      <c r="N112" s="46" t="s">
        <v>5278</v>
      </c>
      <c r="O112" s="43" t="s">
        <v>36</v>
      </c>
      <c r="P112" s="47" t="s">
        <v>4652</v>
      </c>
      <c r="Q112" s="267" t="s">
        <v>5280</v>
      </c>
      <c r="R112" s="47" t="s">
        <v>4652</v>
      </c>
      <c r="S112" s="282">
        <v>18.8</v>
      </c>
      <c r="T112" s="43" t="s">
        <v>4652</v>
      </c>
      <c r="U112" s="43"/>
      <c r="V112" s="43" t="s">
        <v>4652</v>
      </c>
      <c r="W112" s="43"/>
      <c r="X112" s="16" t="s">
        <v>4652</v>
      </c>
      <c r="Y112" s="46">
        <v>0</v>
      </c>
      <c r="Z112" s="46"/>
      <c r="AA112" s="102"/>
      <c r="AB112" s="43"/>
      <c r="AC112" s="87"/>
      <c r="AD112" s="16"/>
      <c r="AE112" s="103"/>
      <c r="AF112" s="46"/>
      <c r="AG112" s="16" t="s">
        <v>4996</v>
      </c>
      <c r="AH112" s="43">
        <v>0</v>
      </c>
      <c r="AI112" s="43"/>
      <c r="AJ112" s="43"/>
      <c r="AK112" s="37"/>
      <c r="AL112" s="47" t="s">
        <v>5281</v>
      </c>
      <c r="AM112" s="49">
        <f>Table3[[#This Row],[Prixdevente($)]]/Table3[[#This Row],[Superficie cultivée (ha)]]</f>
        <v>44281.914893617017</v>
      </c>
    </row>
    <row r="113" spans="1:39" ht="39" hidden="1" customHeight="1">
      <c r="A113" s="187">
        <v>26997617</v>
      </c>
      <c r="B113" s="43" t="s">
        <v>4652</v>
      </c>
      <c r="C113" s="51">
        <v>44596</v>
      </c>
      <c r="D113" s="37" t="s">
        <v>5282</v>
      </c>
      <c r="E113" s="37" t="s">
        <v>5283</v>
      </c>
      <c r="F113" s="45" t="s">
        <v>5284</v>
      </c>
      <c r="G113" s="16">
        <v>120000</v>
      </c>
      <c r="H113" s="16" t="s">
        <v>4652</v>
      </c>
      <c r="I113" s="43" t="s">
        <v>39</v>
      </c>
      <c r="J113" s="43" t="s">
        <v>2446</v>
      </c>
      <c r="K113" s="43" t="s">
        <v>5285</v>
      </c>
      <c r="L113" s="25" t="s">
        <v>4652</v>
      </c>
      <c r="M113" s="26" t="s">
        <v>4652</v>
      </c>
      <c r="N113" s="46" t="s">
        <v>5286</v>
      </c>
      <c r="O113" s="43" t="s">
        <v>36</v>
      </c>
      <c r="P113" s="47" t="s">
        <v>4652</v>
      </c>
      <c r="Q113" s="267" t="s">
        <v>5287</v>
      </c>
      <c r="R113" s="47" t="s">
        <v>4652</v>
      </c>
      <c r="S113" s="43">
        <v>2.1</v>
      </c>
      <c r="T113" s="43" t="s">
        <v>4652</v>
      </c>
      <c r="U113" s="43">
        <v>0</v>
      </c>
      <c r="V113" s="43" t="s">
        <v>4652</v>
      </c>
      <c r="W113" s="43"/>
      <c r="X113" s="16" t="s">
        <v>4652</v>
      </c>
      <c r="Y113" s="46">
        <v>0</v>
      </c>
      <c r="Z113" s="46"/>
      <c r="AA113" s="102"/>
      <c r="AB113" s="43"/>
      <c r="AC113" s="87"/>
      <c r="AD113" s="16"/>
      <c r="AE113" s="103"/>
      <c r="AF113" s="46"/>
      <c r="AG113" s="16">
        <v>0</v>
      </c>
      <c r="AH113" s="43">
        <v>0</v>
      </c>
      <c r="AI113" s="43"/>
      <c r="AJ113" s="43"/>
      <c r="AK113" s="37"/>
      <c r="AL113" s="47">
        <v>0</v>
      </c>
      <c r="AM113" s="49">
        <f>Table3[[#This Row],[Prixdevente($)]]/Table3[[#This Row],[Superficie cultivée (ha)]]</f>
        <v>57142.857142857138</v>
      </c>
    </row>
    <row r="114" spans="1:39" ht="39" customHeight="1">
      <c r="A114" s="187">
        <v>27007632</v>
      </c>
      <c r="B114" s="43"/>
      <c r="C114" s="51">
        <v>44601</v>
      </c>
      <c r="D114" s="37" t="s">
        <v>5289</v>
      </c>
      <c r="E114" s="37" t="s">
        <v>5290</v>
      </c>
      <c r="F114" s="45">
        <v>6474049</v>
      </c>
      <c r="G114" s="16" t="s">
        <v>5291</v>
      </c>
      <c r="H114" s="16"/>
      <c r="I114" s="43"/>
      <c r="J114" s="43" t="s">
        <v>5154</v>
      </c>
      <c r="K114" s="43">
        <v>0</v>
      </c>
      <c r="L114" s="25"/>
      <c r="M114" s="26"/>
      <c r="N114" s="46"/>
      <c r="O114" s="43"/>
      <c r="P114" s="47"/>
      <c r="Q114" s="267"/>
      <c r="R114" s="47"/>
      <c r="S114" s="43"/>
      <c r="T114" s="43"/>
      <c r="U114" s="43"/>
      <c r="V114" s="43"/>
      <c r="W114" s="43"/>
      <c r="X114" s="16"/>
      <c r="Y114" s="46"/>
      <c r="Z114" s="46"/>
      <c r="AA114" s="102"/>
      <c r="AB114" s="43"/>
      <c r="AC114" s="87"/>
      <c r="AD114" s="16"/>
      <c r="AE114" s="103"/>
      <c r="AF114" s="46"/>
      <c r="AG114" s="16"/>
      <c r="AH114" s="43"/>
      <c r="AI114" s="43"/>
      <c r="AJ114" s="43"/>
      <c r="AK114" s="37"/>
      <c r="AL114" s="47"/>
      <c r="AM114" s="74" t="e">
        <f t="shared" ref="AM114:AM132" si="5">G114/N114</f>
        <v>#VALUE!</v>
      </c>
    </row>
    <row r="115" spans="1:39" ht="39" hidden="1" customHeight="1">
      <c r="A115" s="187">
        <v>27260531</v>
      </c>
      <c r="B115" s="43"/>
      <c r="C115" s="51">
        <v>44603</v>
      </c>
      <c r="D115" s="37" t="s">
        <v>5292</v>
      </c>
      <c r="E115" s="37" t="s">
        <v>5293</v>
      </c>
      <c r="F115" s="43">
        <v>3590810</v>
      </c>
      <c r="G115" s="1">
        <v>100000</v>
      </c>
      <c r="H115" s="1"/>
      <c r="I115" s="43" t="s">
        <v>321</v>
      </c>
      <c r="J115" s="43" t="s">
        <v>5164</v>
      </c>
      <c r="K115" s="43" t="s">
        <v>5294</v>
      </c>
      <c r="L115" s="47" t="s">
        <v>5295</v>
      </c>
      <c r="M115" s="4" t="s">
        <v>5296</v>
      </c>
      <c r="N115" s="46">
        <v>7.55</v>
      </c>
      <c r="O115" s="43" t="s">
        <v>36</v>
      </c>
      <c r="P115" s="47" t="s">
        <v>206</v>
      </c>
      <c r="Q115" s="442">
        <v>3</v>
      </c>
      <c r="R115" s="47" t="s">
        <v>5297</v>
      </c>
      <c r="S115" s="43">
        <v>7.3</v>
      </c>
      <c r="T115" s="43" t="s">
        <v>4596</v>
      </c>
      <c r="U115" s="43">
        <v>0</v>
      </c>
      <c r="V115" s="43" t="s">
        <v>4837</v>
      </c>
      <c r="W115" s="43"/>
      <c r="X115" s="1" t="s">
        <v>5279</v>
      </c>
      <c r="Y115" s="46"/>
      <c r="Z115" s="46"/>
      <c r="AA115" s="2"/>
      <c r="AB115" s="43"/>
      <c r="AC115" s="87"/>
      <c r="AD115" s="1"/>
      <c r="AE115" s="3"/>
      <c r="AF115" s="46"/>
      <c r="AG115" s="1"/>
      <c r="AH115" s="43"/>
      <c r="AI115" s="43"/>
      <c r="AJ115" s="43"/>
      <c r="AK115" s="37" t="s">
        <v>5298</v>
      </c>
      <c r="AL115" s="47"/>
      <c r="AM115" s="1">
        <f t="shared" si="5"/>
        <v>13245.033112582782</v>
      </c>
    </row>
    <row r="116" spans="1:39" ht="39" hidden="1" customHeight="1">
      <c r="A116" s="187">
        <v>28862329</v>
      </c>
      <c r="B116" s="43"/>
      <c r="C116" s="51">
        <v>44606</v>
      </c>
      <c r="D116" s="37" t="s">
        <v>5299</v>
      </c>
      <c r="E116" s="37" t="s">
        <v>5300</v>
      </c>
      <c r="F116" s="45" t="s">
        <v>5301</v>
      </c>
      <c r="G116" s="1">
        <v>186000</v>
      </c>
      <c r="H116" s="1"/>
      <c r="I116" s="43" t="s">
        <v>594</v>
      </c>
      <c r="J116" s="43" t="s">
        <v>5302</v>
      </c>
      <c r="K116" s="43"/>
      <c r="L116" s="7" t="s">
        <v>5303</v>
      </c>
      <c r="M116" s="7">
        <v>45.225116999999997</v>
      </c>
      <c r="N116" s="46">
        <v>10.210000000000001</v>
      </c>
      <c r="O116" s="43" t="s">
        <v>18</v>
      </c>
      <c r="P116" s="47" t="s">
        <v>206</v>
      </c>
      <c r="Q116" s="267" t="s">
        <v>4703</v>
      </c>
      <c r="R116" s="47" t="s">
        <v>155</v>
      </c>
      <c r="S116" s="43">
        <f>5.1+0.1+4.4</f>
        <v>9.6</v>
      </c>
      <c r="T116" s="43" t="s">
        <v>5037</v>
      </c>
      <c r="U116" s="43">
        <v>0</v>
      </c>
      <c r="V116" s="43" t="s">
        <v>4628</v>
      </c>
      <c r="W116" s="43"/>
      <c r="X116" s="1"/>
      <c r="Y116" s="46">
        <v>0</v>
      </c>
      <c r="Z116" s="46"/>
      <c r="AA116" s="2"/>
      <c r="AB116" s="43"/>
      <c r="AC116" s="87"/>
      <c r="AD116" s="1"/>
      <c r="AE116" s="3"/>
      <c r="AF116" s="46"/>
      <c r="AG116" s="1"/>
      <c r="AH116" s="43"/>
      <c r="AI116" s="43"/>
      <c r="AJ116" s="43"/>
      <c r="AK116" s="37" t="s">
        <v>5304</v>
      </c>
      <c r="AL116" s="47"/>
      <c r="AM116" s="1">
        <f t="shared" si="5"/>
        <v>18217.43388834476</v>
      </c>
    </row>
    <row r="117" spans="1:39" ht="39" hidden="1" customHeight="1">
      <c r="A117" s="187">
        <v>27024365</v>
      </c>
      <c r="B117" s="43"/>
      <c r="C117" s="51">
        <v>44608</v>
      </c>
      <c r="D117" s="37" t="s">
        <v>5305</v>
      </c>
      <c r="E117" s="37" t="s">
        <v>5306</v>
      </c>
      <c r="F117" s="43">
        <v>6468296</v>
      </c>
      <c r="G117" s="16">
        <v>90000</v>
      </c>
      <c r="H117" s="16"/>
      <c r="I117" s="43" t="s">
        <v>149</v>
      </c>
      <c r="J117" s="43" t="s">
        <v>1897</v>
      </c>
      <c r="K117" s="43" t="s">
        <v>1897</v>
      </c>
      <c r="L117" s="25" t="s">
        <v>5307</v>
      </c>
      <c r="M117" s="25" t="s">
        <v>5308</v>
      </c>
      <c r="N117" s="46">
        <v>2.56</v>
      </c>
      <c r="O117" s="5" t="s">
        <v>18</v>
      </c>
      <c r="P117" s="12" t="s">
        <v>206</v>
      </c>
      <c r="Q117" s="442">
        <v>3</v>
      </c>
      <c r="R117" s="47" t="s">
        <v>4946</v>
      </c>
      <c r="S117" s="46">
        <f>Terre!$N78</f>
        <v>30.41</v>
      </c>
      <c r="T117" s="43"/>
      <c r="U117" s="43"/>
      <c r="V117" s="43"/>
      <c r="W117" s="43"/>
      <c r="X117" s="16"/>
      <c r="Y117" s="46"/>
      <c r="Z117" s="46"/>
      <c r="AA117" s="102"/>
      <c r="AB117" s="43"/>
      <c r="AC117" s="87"/>
      <c r="AD117" s="16"/>
      <c r="AE117" s="103"/>
      <c r="AF117" s="46" t="s">
        <v>5309</v>
      </c>
      <c r="AG117" s="16"/>
      <c r="AH117" s="43"/>
      <c r="AI117" s="43"/>
      <c r="AJ117" s="43"/>
      <c r="AK117" s="37" t="s">
        <v>5304</v>
      </c>
      <c r="AL117" s="47"/>
      <c r="AM117" s="16">
        <f t="shared" si="5"/>
        <v>35156.25</v>
      </c>
    </row>
    <row r="118" spans="1:39" ht="39" hidden="1" customHeight="1">
      <c r="A118" s="187">
        <v>27658805</v>
      </c>
      <c r="B118" s="43"/>
      <c r="C118" s="51">
        <v>44609</v>
      </c>
      <c r="D118" s="37" t="s">
        <v>5310</v>
      </c>
      <c r="E118" s="37" t="s">
        <v>5311</v>
      </c>
      <c r="F118" s="45" t="s">
        <v>5312</v>
      </c>
      <c r="G118" s="1">
        <v>2086875</v>
      </c>
      <c r="H118" s="1"/>
      <c r="I118" s="43" t="s">
        <v>4733</v>
      </c>
      <c r="J118" s="43" t="s">
        <v>1769</v>
      </c>
      <c r="K118" s="43" t="s">
        <v>5313</v>
      </c>
      <c r="L118" s="4" t="s">
        <v>5314</v>
      </c>
      <c r="M118" s="7" t="s">
        <v>5315</v>
      </c>
      <c r="N118" s="46">
        <v>46.5</v>
      </c>
      <c r="O118" s="43" t="s">
        <v>18</v>
      </c>
      <c r="P118" s="47" t="s">
        <v>4702</v>
      </c>
      <c r="Q118" s="267" t="s">
        <v>4771</v>
      </c>
      <c r="R118" s="47" t="s">
        <v>4595</v>
      </c>
      <c r="S118" s="43">
        <f>41.7+3.5</f>
        <v>45.2</v>
      </c>
      <c r="T118" s="43" t="s">
        <v>4596</v>
      </c>
      <c r="U118" s="43">
        <v>0</v>
      </c>
      <c r="V118" s="43" t="s">
        <v>4628</v>
      </c>
      <c r="W118" s="43"/>
      <c r="X118" s="1"/>
      <c r="Y118" s="46">
        <v>0</v>
      </c>
      <c r="Z118" s="46"/>
      <c r="AA118" s="2"/>
      <c r="AB118" s="43"/>
      <c r="AC118" s="87"/>
      <c r="AD118" s="1"/>
      <c r="AE118" s="3"/>
      <c r="AF118" s="46"/>
      <c r="AG118" s="1"/>
      <c r="AH118" s="43"/>
      <c r="AI118" s="43"/>
      <c r="AJ118" s="43"/>
      <c r="AK118" s="37"/>
      <c r="AL118" s="47"/>
      <c r="AM118" s="1">
        <f t="shared" si="5"/>
        <v>44879.032258064515</v>
      </c>
    </row>
    <row r="119" spans="1:39" ht="39" hidden="1" customHeight="1">
      <c r="A119" s="187">
        <v>27028020</v>
      </c>
      <c r="B119" s="43"/>
      <c r="C119" s="51">
        <v>44609</v>
      </c>
      <c r="D119" s="37" t="s">
        <v>5316</v>
      </c>
      <c r="E119" s="37" t="s">
        <v>5317</v>
      </c>
      <c r="F119" s="43" t="s">
        <v>5318</v>
      </c>
      <c r="G119" s="1">
        <v>570000</v>
      </c>
      <c r="H119" s="1"/>
      <c r="I119" s="43" t="s">
        <v>149</v>
      </c>
      <c r="J119" s="43" t="s">
        <v>5127</v>
      </c>
      <c r="K119" s="43" t="s">
        <v>5319</v>
      </c>
      <c r="L119" s="4" t="s">
        <v>5320</v>
      </c>
      <c r="M119" s="4" t="s">
        <v>5321</v>
      </c>
      <c r="N119" s="46">
        <f>2.43+9.08+17.45+24.12</f>
        <v>53.08</v>
      </c>
      <c r="O119" s="5" t="s">
        <v>18</v>
      </c>
      <c r="P119" s="12" t="s">
        <v>206</v>
      </c>
      <c r="Q119" s="442">
        <v>2</v>
      </c>
      <c r="R119" s="47" t="s">
        <v>155</v>
      </c>
      <c r="S119" s="43">
        <f>3.7+0.5+0.7+0.5+2.5+5.8+4.3+2.8+5.7+0.9+0.7+0.5</f>
        <v>28.599999999999998</v>
      </c>
      <c r="T119" s="43" t="s">
        <v>4596</v>
      </c>
      <c r="U119" s="43">
        <f>0.5+0.5+2.5+5.8+4.3</f>
        <v>13.600000000000001</v>
      </c>
      <c r="V119" s="43" t="s">
        <v>4837</v>
      </c>
      <c r="W119" s="43"/>
      <c r="X119" s="1"/>
      <c r="Y119" s="46">
        <f>2+15.5+1.6+1.1</f>
        <v>20.200000000000003</v>
      </c>
      <c r="Z119" s="46"/>
      <c r="AA119" s="2"/>
      <c r="AB119" s="43"/>
      <c r="AC119" s="87"/>
      <c r="AD119" s="1"/>
      <c r="AE119" s="3"/>
      <c r="AF119" s="46"/>
      <c r="AG119" s="1"/>
      <c r="AH119" s="43"/>
      <c r="AI119" s="43"/>
      <c r="AJ119" s="43"/>
      <c r="AK119" s="37" t="s">
        <v>5304</v>
      </c>
      <c r="AL119" s="47"/>
      <c r="AM119" s="1">
        <f t="shared" si="5"/>
        <v>10738.507912584779</v>
      </c>
    </row>
    <row r="120" spans="1:39" ht="39" hidden="1" customHeight="1">
      <c r="A120" s="187">
        <v>27035648</v>
      </c>
      <c r="B120" s="43"/>
      <c r="C120" s="51">
        <v>44614</v>
      </c>
      <c r="D120" s="37" t="s">
        <v>5322</v>
      </c>
      <c r="E120" s="37" t="s">
        <v>5323</v>
      </c>
      <c r="F120" s="45" t="s">
        <v>5324</v>
      </c>
      <c r="G120" s="1">
        <v>606000</v>
      </c>
      <c r="H120" s="1"/>
      <c r="I120" s="43" t="s">
        <v>602</v>
      </c>
      <c r="J120" s="43" t="s">
        <v>903</v>
      </c>
      <c r="K120" s="43" t="s">
        <v>5325</v>
      </c>
      <c r="L120" s="4" t="s">
        <v>5326</v>
      </c>
      <c r="M120" s="7" t="s">
        <v>5327</v>
      </c>
      <c r="N120" s="46">
        <f>6.56+38.75+20.48</f>
        <v>65.790000000000006</v>
      </c>
      <c r="O120" s="43" t="s">
        <v>18</v>
      </c>
      <c r="P120" s="47" t="s">
        <v>206</v>
      </c>
      <c r="Q120" s="267" t="s">
        <v>4703</v>
      </c>
      <c r="R120" s="47" t="s">
        <v>4669</v>
      </c>
      <c r="S120" s="43">
        <f>3.2+4.7+12.7+19.7+19.7</f>
        <v>60</v>
      </c>
      <c r="T120" s="43" t="s">
        <v>4828</v>
      </c>
      <c r="U120" s="43">
        <v>0</v>
      </c>
      <c r="V120" s="43" t="s">
        <v>4628</v>
      </c>
      <c r="W120" s="43"/>
      <c r="X120" s="1"/>
      <c r="Y120" s="46">
        <v>3.1</v>
      </c>
      <c r="Z120" s="46"/>
      <c r="AA120" s="2"/>
      <c r="AB120" s="43"/>
      <c r="AC120" s="87"/>
      <c r="AD120" s="1"/>
      <c r="AE120" s="3"/>
      <c r="AF120" s="46"/>
      <c r="AG120" s="1"/>
      <c r="AH120" s="43"/>
      <c r="AI120" s="43"/>
      <c r="AJ120" s="43"/>
      <c r="AK120" s="37"/>
      <c r="AL120" s="47"/>
      <c r="AM120" s="1">
        <f t="shared" si="5"/>
        <v>9211.1263109895117</v>
      </c>
    </row>
    <row r="121" spans="1:39" ht="39" customHeight="1">
      <c r="A121" s="187">
        <v>27388781</v>
      </c>
      <c r="B121" s="43"/>
      <c r="C121" s="51">
        <v>44614</v>
      </c>
      <c r="D121" s="37" t="s">
        <v>5328</v>
      </c>
      <c r="E121" s="37" t="s">
        <v>5329</v>
      </c>
      <c r="F121" s="45" t="s">
        <v>5330</v>
      </c>
      <c r="G121" s="16" t="s">
        <v>5331</v>
      </c>
      <c r="H121" s="16"/>
      <c r="I121" s="43"/>
      <c r="J121" s="43" t="s">
        <v>5154</v>
      </c>
      <c r="K121" s="43" t="s">
        <v>5332</v>
      </c>
      <c r="L121" s="25"/>
      <c r="M121" s="26"/>
      <c r="N121" s="46"/>
      <c r="O121" s="43"/>
      <c r="P121" s="47"/>
      <c r="Q121" s="267"/>
      <c r="R121" s="47"/>
      <c r="S121" s="43"/>
      <c r="T121" s="43"/>
      <c r="U121" s="43"/>
      <c r="V121" s="43"/>
      <c r="W121" s="43"/>
      <c r="X121" s="16"/>
      <c r="Y121" s="46"/>
      <c r="Z121" s="46"/>
      <c r="AA121" s="102"/>
      <c r="AB121" s="43"/>
      <c r="AC121" s="87"/>
      <c r="AD121" s="16"/>
      <c r="AE121" s="103"/>
      <c r="AF121" s="46"/>
      <c r="AG121" s="16"/>
      <c r="AH121" s="43"/>
      <c r="AI121" s="43"/>
      <c r="AJ121" s="43" t="s">
        <v>5155</v>
      </c>
      <c r="AK121" s="37"/>
      <c r="AL121" s="47"/>
      <c r="AM121" s="74" t="e">
        <f t="shared" si="5"/>
        <v>#VALUE!</v>
      </c>
    </row>
    <row r="122" spans="1:39" ht="39" hidden="1" customHeight="1">
      <c r="A122" s="187">
        <v>29995454</v>
      </c>
      <c r="B122" s="43"/>
      <c r="C122" s="51">
        <v>44615</v>
      </c>
      <c r="D122" s="37" t="s">
        <v>5333</v>
      </c>
      <c r="E122" s="37" t="s">
        <v>5334</v>
      </c>
      <c r="F122" s="45" t="s">
        <v>5335</v>
      </c>
      <c r="G122" s="16">
        <v>1800000</v>
      </c>
      <c r="H122" s="16"/>
      <c r="I122" s="43" t="s">
        <v>1075</v>
      </c>
      <c r="J122" s="43" t="s">
        <v>38</v>
      </c>
      <c r="K122" s="43" t="s">
        <v>5336</v>
      </c>
      <c r="L122" s="25" t="s">
        <v>5337</v>
      </c>
      <c r="M122" s="26" t="s">
        <v>5338</v>
      </c>
      <c r="N122" s="46">
        <v>65.63</v>
      </c>
      <c r="O122" s="43" t="s">
        <v>18</v>
      </c>
      <c r="P122" s="47" t="s">
        <v>949</v>
      </c>
      <c r="Q122" s="267" t="s">
        <v>4771</v>
      </c>
      <c r="R122" s="47" t="s">
        <v>5016</v>
      </c>
      <c r="S122" s="43">
        <f>0.9+2+3.4+11.4+8.8+6.4+10.6+1.9+3.9</f>
        <v>49.3</v>
      </c>
      <c r="T122" s="43" t="s">
        <v>4596</v>
      </c>
      <c r="U122" s="43">
        <f>49.3-2.9</f>
        <v>46.4</v>
      </c>
      <c r="V122" s="43" t="s">
        <v>4628</v>
      </c>
      <c r="W122" s="43"/>
      <c r="X122" s="16"/>
      <c r="Y122" s="46">
        <f>6.82+3.7</f>
        <v>10.52</v>
      </c>
      <c r="Z122" s="46"/>
      <c r="AA122" s="102"/>
      <c r="AB122" s="43"/>
      <c r="AC122" s="87"/>
      <c r="AD122" s="16"/>
      <c r="AE122" s="103"/>
      <c r="AF122" s="46"/>
      <c r="AG122" s="16"/>
      <c r="AH122" s="43"/>
      <c r="AI122" s="43"/>
      <c r="AJ122" s="43"/>
      <c r="AK122" s="37" t="s">
        <v>5339</v>
      </c>
      <c r="AL122" s="47"/>
      <c r="AM122" s="1">
        <f t="shared" si="5"/>
        <v>27426.48179186348</v>
      </c>
    </row>
    <row r="123" spans="1:39" ht="39" hidden="1" customHeight="1">
      <c r="A123" s="196">
        <v>27042596</v>
      </c>
      <c r="C123" s="317">
        <v>44616</v>
      </c>
      <c r="D123" t="s">
        <v>5340</v>
      </c>
      <c r="E123" t="s">
        <v>5341</v>
      </c>
      <c r="F123" s="269" t="s">
        <v>5342</v>
      </c>
      <c r="G123" s="94">
        <v>1700000</v>
      </c>
      <c r="I123" t="s">
        <v>4917</v>
      </c>
      <c r="J123" t="s">
        <v>5091</v>
      </c>
      <c r="K123" t="s">
        <v>5343</v>
      </c>
      <c r="L123" s="96" t="s">
        <v>5344</v>
      </c>
      <c r="M123" s="245" t="s">
        <v>5345</v>
      </c>
      <c r="N123" s="63">
        <f>5.38+11.56+7.19+17.05</f>
        <v>41.180000000000007</v>
      </c>
      <c r="O123" s="43" t="s">
        <v>36</v>
      </c>
      <c r="P123" t="s">
        <v>35</v>
      </c>
      <c r="Q123" s="436">
        <v>2</v>
      </c>
      <c r="R123" t="s">
        <v>4669</v>
      </c>
      <c r="S123">
        <f>19+10.3+4.4+0.6</f>
        <v>34.300000000000004</v>
      </c>
      <c r="U123">
        <f>Table3[[#This Row],[Superficie cultivée (ha)]]-6.9-4.5</f>
        <v>22.900000000000006</v>
      </c>
      <c r="Y123" s="63">
        <v>0.6</v>
      </c>
      <c r="AK123" t="s">
        <v>5346</v>
      </c>
      <c r="AM123" s="1">
        <f t="shared" si="5"/>
        <v>41282.175813501693</v>
      </c>
    </row>
    <row r="124" spans="1:39" ht="39" hidden="1" customHeight="1">
      <c r="A124" s="187">
        <v>27048319</v>
      </c>
      <c r="B124" s="43"/>
      <c r="C124" s="51">
        <v>44616</v>
      </c>
      <c r="D124" s="37" t="s">
        <v>5347</v>
      </c>
      <c r="E124" s="37" t="s">
        <v>5348</v>
      </c>
      <c r="F124" s="43" t="s">
        <v>5349</v>
      </c>
      <c r="G124" s="16">
        <v>3546900</v>
      </c>
      <c r="H124" s="16"/>
      <c r="I124" s="43" t="s">
        <v>747</v>
      </c>
      <c r="J124" s="43" t="s">
        <v>1390</v>
      </c>
      <c r="K124" s="5" t="s">
        <v>5350</v>
      </c>
      <c r="L124" s="25" t="s">
        <v>5351</v>
      </c>
      <c r="M124" s="25" t="s">
        <v>5352</v>
      </c>
      <c r="N124" s="46">
        <f>45.15+19.86+5.86+10.57</f>
        <v>81.44</v>
      </c>
      <c r="O124" s="5" t="s">
        <v>18</v>
      </c>
      <c r="P124" s="12" t="s">
        <v>206</v>
      </c>
      <c r="Q124" s="442">
        <v>2</v>
      </c>
      <c r="R124" s="47" t="s">
        <v>4669</v>
      </c>
      <c r="S124" s="43">
        <f>13.5+7.3*2+8.3+6+18.9+2.9+2.6+10.4</f>
        <v>77.2</v>
      </c>
      <c r="T124" s="43" t="s">
        <v>4596</v>
      </c>
      <c r="U124" s="43">
        <f>Terre!$S29-2.9-2.6</f>
        <v>49.44</v>
      </c>
      <c r="V124" s="43" t="s">
        <v>4837</v>
      </c>
      <c r="W124" s="43"/>
      <c r="X124" s="16"/>
      <c r="Y124" s="46"/>
      <c r="Z124" s="46"/>
      <c r="AA124" s="102"/>
      <c r="AB124" s="43"/>
      <c r="AC124" s="87"/>
      <c r="AD124" s="16"/>
      <c r="AE124" s="103"/>
      <c r="AF124" s="46" t="s">
        <v>5353</v>
      </c>
      <c r="AG124" s="16">
        <v>420000</v>
      </c>
      <c r="AH124" s="43"/>
      <c r="AI124" s="43"/>
      <c r="AJ124" s="43"/>
      <c r="AK124" s="37" t="s">
        <v>5339</v>
      </c>
      <c r="AL124" s="47"/>
      <c r="AM124" s="1">
        <f t="shared" si="5"/>
        <v>43552.308447937132</v>
      </c>
    </row>
    <row r="125" spans="1:39" ht="39" hidden="1" customHeight="1">
      <c r="A125" s="187">
        <v>27047807</v>
      </c>
      <c r="B125" s="43"/>
      <c r="C125" s="51">
        <v>44617</v>
      </c>
      <c r="D125" s="37" t="s">
        <v>5354</v>
      </c>
      <c r="E125" s="37" t="s">
        <v>5355</v>
      </c>
      <c r="F125" s="43" t="s">
        <v>5356</v>
      </c>
      <c r="G125" s="1">
        <v>300000</v>
      </c>
      <c r="H125" s="1"/>
      <c r="I125" s="43" t="s">
        <v>602</v>
      </c>
      <c r="J125" s="43" t="s">
        <v>5357</v>
      </c>
      <c r="K125" s="43" t="s">
        <v>5358</v>
      </c>
      <c r="L125" s="4" t="s">
        <v>5359</v>
      </c>
      <c r="M125" s="4" t="s">
        <v>5360</v>
      </c>
      <c r="N125" s="46">
        <f>(69796.898+329753+3060.8)/10000+27.52</f>
        <v>67.781069799999997</v>
      </c>
      <c r="O125" s="43" t="s">
        <v>18</v>
      </c>
      <c r="P125" s="47" t="s">
        <v>206</v>
      </c>
      <c r="Q125" s="442">
        <v>4</v>
      </c>
      <c r="R125" s="47" t="s">
        <v>4669</v>
      </c>
      <c r="S125" s="43">
        <f>19.7+24.8</f>
        <v>44.5</v>
      </c>
      <c r="T125" s="43" t="s">
        <v>4596</v>
      </c>
      <c r="U125" s="43"/>
      <c r="V125" s="43"/>
      <c r="W125" s="43"/>
      <c r="X125" s="1"/>
      <c r="Y125" s="46">
        <f>15.46+7.82</f>
        <v>23.28</v>
      </c>
      <c r="Z125" s="46"/>
      <c r="AA125" s="2"/>
      <c r="AB125" s="43"/>
      <c r="AC125" s="87"/>
      <c r="AD125" s="1"/>
      <c r="AE125" s="3"/>
      <c r="AF125" s="46"/>
      <c r="AG125" s="1"/>
      <c r="AH125" s="43"/>
      <c r="AI125" s="43"/>
      <c r="AJ125" s="43"/>
      <c r="AK125" s="37" t="s">
        <v>5361</v>
      </c>
      <c r="AL125" s="47"/>
      <c r="AM125" s="1">
        <f t="shared" si="5"/>
        <v>4426.0145330429705</v>
      </c>
    </row>
    <row r="126" spans="1:39" ht="39" hidden="1" customHeight="1">
      <c r="A126" s="187">
        <v>27052042</v>
      </c>
      <c r="B126" s="43"/>
      <c r="C126" s="51">
        <v>44620</v>
      </c>
      <c r="D126" s="37" t="s">
        <v>5362</v>
      </c>
      <c r="E126" s="37" t="s">
        <v>5363</v>
      </c>
      <c r="F126" s="45" t="s">
        <v>5364</v>
      </c>
      <c r="G126" s="1">
        <v>2700000</v>
      </c>
      <c r="H126" s="1"/>
      <c r="I126" s="43" t="s">
        <v>4733</v>
      </c>
      <c r="J126" s="43" t="s">
        <v>1769</v>
      </c>
      <c r="K126" s="43" t="s">
        <v>5365</v>
      </c>
      <c r="L126" s="4" t="s">
        <v>5366</v>
      </c>
      <c r="M126" s="7" t="s">
        <v>5367</v>
      </c>
      <c r="N126" s="46">
        <v>78.39</v>
      </c>
      <c r="O126" s="43" t="s">
        <v>18</v>
      </c>
      <c r="P126" s="47" t="s">
        <v>206</v>
      </c>
      <c r="Q126" s="267" t="s">
        <v>4703</v>
      </c>
      <c r="R126" s="47" t="s">
        <v>4595</v>
      </c>
      <c r="S126" s="43">
        <f>7.1+19.1+17.6+9.5</f>
        <v>53.300000000000004</v>
      </c>
      <c r="T126" s="43" t="s">
        <v>4596</v>
      </c>
      <c r="U126" s="43">
        <f>53.3-2.6</f>
        <v>50.699999999999996</v>
      </c>
      <c r="V126" s="43" t="s">
        <v>4628</v>
      </c>
      <c r="W126" s="43"/>
      <c r="X126" s="1"/>
      <c r="Y126" s="46">
        <v>26.8</v>
      </c>
      <c r="Z126" s="46"/>
      <c r="AA126" s="2"/>
      <c r="AB126" s="43"/>
      <c r="AC126" s="87"/>
      <c r="AD126" s="1"/>
      <c r="AE126" s="3"/>
      <c r="AF126" s="46"/>
      <c r="AG126" s="1"/>
      <c r="AH126" s="43"/>
      <c r="AI126" s="43"/>
      <c r="AJ126" s="43"/>
      <c r="AK126" s="37" t="s">
        <v>5368</v>
      </c>
      <c r="AL126" s="47"/>
      <c r="AM126" s="49">
        <f t="shared" si="5"/>
        <v>34443.16877152698</v>
      </c>
    </row>
    <row r="127" spans="1:39" ht="39" hidden="1" customHeight="1">
      <c r="A127" s="187">
        <v>27050779</v>
      </c>
      <c r="B127" s="43"/>
      <c r="C127" s="51">
        <v>44620</v>
      </c>
      <c r="D127" s="266" t="s">
        <v>5369</v>
      </c>
      <c r="E127" s="266" t="s">
        <v>5370</v>
      </c>
      <c r="F127" s="45" t="s">
        <v>5371</v>
      </c>
      <c r="G127" s="1">
        <v>535000</v>
      </c>
      <c r="H127" s="1"/>
      <c r="I127" s="43" t="s">
        <v>537</v>
      </c>
      <c r="J127" s="43" t="s">
        <v>538</v>
      </c>
      <c r="K127" s="43"/>
      <c r="L127" s="4"/>
      <c r="M127" s="7"/>
      <c r="N127" s="46">
        <v>153.49</v>
      </c>
      <c r="O127" s="43" t="s">
        <v>18</v>
      </c>
      <c r="P127" s="37" t="s">
        <v>5372</v>
      </c>
      <c r="Q127" s="267">
        <v>3</v>
      </c>
      <c r="R127" s="47" t="s">
        <v>155</v>
      </c>
      <c r="S127" s="43">
        <v>43</v>
      </c>
      <c r="T127" s="43" t="s">
        <v>4596</v>
      </c>
      <c r="U127" s="43"/>
      <c r="V127" s="43"/>
      <c r="W127" s="43"/>
      <c r="X127" s="1"/>
      <c r="Y127" s="46">
        <v>105.49</v>
      </c>
      <c r="Z127" s="46"/>
      <c r="AA127" s="2"/>
      <c r="AB127" s="43"/>
      <c r="AC127" s="87"/>
      <c r="AD127" s="1"/>
      <c r="AE127" s="3"/>
      <c r="AF127" s="46"/>
      <c r="AG127" s="1"/>
      <c r="AH127" s="43"/>
      <c r="AI127" s="43"/>
      <c r="AJ127" s="43"/>
      <c r="AK127" s="37" t="s">
        <v>5373</v>
      </c>
      <c r="AL127" s="47"/>
      <c r="AM127" s="1">
        <f t="shared" si="5"/>
        <v>3485.5690924490191</v>
      </c>
    </row>
    <row r="128" spans="1:39" ht="39" hidden="1" customHeight="1">
      <c r="A128" s="187">
        <v>27069014</v>
      </c>
      <c r="B128" s="43"/>
      <c r="C128" s="51">
        <v>44629</v>
      </c>
      <c r="D128" s="37" t="s">
        <v>5374</v>
      </c>
      <c r="E128" s="37" t="s">
        <v>5375</v>
      </c>
      <c r="F128" s="43">
        <v>5884138</v>
      </c>
      <c r="G128" s="1">
        <v>340000</v>
      </c>
      <c r="H128" s="1"/>
      <c r="I128" s="43" t="s">
        <v>747</v>
      </c>
      <c r="J128" s="43" t="s">
        <v>748</v>
      </c>
      <c r="K128" s="43" t="s">
        <v>5376</v>
      </c>
      <c r="L128" s="4" t="s">
        <v>5377</v>
      </c>
      <c r="M128" s="4" t="s">
        <v>5378</v>
      </c>
      <c r="N128" s="46">
        <v>6.79</v>
      </c>
      <c r="O128" s="43" t="s">
        <v>18</v>
      </c>
      <c r="P128" s="47" t="s">
        <v>206</v>
      </c>
      <c r="Q128" s="442">
        <v>2</v>
      </c>
      <c r="R128" s="47" t="s">
        <v>4669</v>
      </c>
      <c r="S128" s="43">
        <v>6.4</v>
      </c>
      <c r="T128" s="43" t="s">
        <v>4596</v>
      </c>
      <c r="U128" s="43"/>
      <c r="V128" s="43"/>
      <c r="W128" s="43"/>
      <c r="X128" s="1"/>
      <c r="Y128" s="46"/>
      <c r="Z128" s="46"/>
      <c r="AA128" s="2"/>
      <c r="AB128" s="43"/>
      <c r="AC128" s="87"/>
      <c r="AD128" s="1"/>
      <c r="AE128" s="3"/>
      <c r="AF128" s="46"/>
      <c r="AG128" s="1"/>
      <c r="AH128" s="43"/>
      <c r="AI128" s="43"/>
      <c r="AJ128" s="43"/>
      <c r="AK128" s="37" t="s">
        <v>5379</v>
      </c>
      <c r="AL128" s="47"/>
      <c r="AM128" s="49">
        <f t="shared" si="5"/>
        <v>50073.637702503678</v>
      </c>
    </row>
    <row r="129" spans="1:39" ht="39" hidden="1" customHeight="1">
      <c r="A129" s="190">
        <v>27065932</v>
      </c>
      <c r="B129" s="43"/>
      <c r="C129" s="51">
        <v>44629</v>
      </c>
      <c r="D129" s="43" t="s">
        <v>5380</v>
      </c>
      <c r="E129" s="43" t="s">
        <v>5381</v>
      </c>
      <c r="F129" s="43" t="s">
        <v>5382</v>
      </c>
      <c r="G129" s="1">
        <v>255000</v>
      </c>
      <c r="H129" s="82"/>
      <c r="I129" s="43" t="s">
        <v>49</v>
      </c>
      <c r="J129" s="43" t="s">
        <v>5383</v>
      </c>
      <c r="K129" s="43" t="s">
        <v>5384</v>
      </c>
      <c r="L129" s="4" t="s">
        <v>5385</v>
      </c>
      <c r="M129" s="4" t="s">
        <v>5386</v>
      </c>
      <c r="N129" s="46">
        <v>31.18</v>
      </c>
      <c r="O129" s="43" t="s">
        <v>18</v>
      </c>
      <c r="P129" s="43" t="s">
        <v>154</v>
      </c>
      <c r="Q129" s="444">
        <v>4</v>
      </c>
      <c r="R129" s="43" t="s">
        <v>5387</v>
      </c>
      <c r="S129" s="43">
        <v>17</v>
      </c>
      <c r="T129" s="43" t="s">
        <v>5388</v>
      </c>
      <c r="U129" s="43"/>
      <c r="V129" s="43"/>
      <c r="W129" s="43"/>
      <c r="X129" s="1"/>
      <c r="Y129" s="46">
        <v>13.6</v>
      </c>
      <c r="Z129" s="180"/>
      <c r="AA129" s="2"/>
      <c r="AB129" s="43"/>
      <c r="AC129" s="87"/>
      <c r="AD129" s="1"/>
      <c r="AE129" s="1"/>
      <c r="AF129" s="46"/>
      <c r="AG129" s="1"/>
      <c r="AH129" s="43"/>
      <c r="AI129" s="43"/>
      <c r="AJ129" s="43"/>
      <c r="AK129" s="43" t="s">
        <v>5389</v>
      </c>
      <c r="AL129" s="43"/>
      <c r="AM129" s="1">
        <f t="shared" si="5"/>
        <v>8178.3194355356</v>
      </c>
    </row>
    <row r="130" spans="1:39" ht="39" hidden="1" customHeight="1">
      <c r="A130" s="195">
        <v>27077625</v>
      </c>
      <c r="C130" s="51">
        <v>44630</v>
      </c>
      <c r="D130" s="37" t="s">
        <v>5390</v>
      </c>
      <c r="E130" s="37" t="s">
        <v>5391</v>
      </c>
      <c r="F130" s="43" t="s">
        <v>5392</v>
      </c>
      <c r="G130" s="1">
        <v>102500</v>
      </c>
      <c r="H130" s="1"/>
      <c r="I130" s="43" t="s">
        <v>602</v>
      </c>
      <c r="J130" s="43" t="s">
        <v>5393</v>
      </c>
      <c r="K130" s="43" t="s">
        <v>5394</v>
      </c>
      <c r="L130" s="4" t="s">
        <v>5395</v>
      </c>
      <c r="M130" s="4" t="s">
        <v>5396</v>
      </c>
      <c r="N130" s="46">
        <v>28.8</v>
      </c>
      <c r="O130" s="43" t="s">
        <v>18</v>
      </c>
      <c r="P130" s="47" t="s">
        <v>206</v>
      </c>
      <c r="Q130" s="442">
        <v>4</v>
      </c>
      <c r="R130" s="47" t="s">
        <v>4801</v>
      </c>
      <c r="S130" s="43">
        <v>20.6</v>
      </c>
      <c r="T130" s="43" t="s">
        <v>4596</v>
      </c>
      <c r="U130" s="43"/>
      <c r="V130" s="43"/>
      <c r="W130" s="43"/>
      <c r="X130" s="1"/>
      <c r="Y130" s="46">
        <v>4.32</v>
      </c>
      <c r="Z130" s="46"/>
      <c r="AA130" s="2"/>
      <c r="AB130" s="43"/>
      <c r="AC130" s="87"/>
      <c r="AD130" s="1"/>
      <c r="AE130" s="3"/>
      <c r="AF130" s="46"/>
      <c r="AG130" s="1"/>
      <c r="AH130" s="43"/>
      <c r="AI130" s="43"/>
      <c r="AJ130" s="43"/>
      <c r="AK130" s="37"/>
      <c r="AL130" s="47"/>
      <c r="AM130" s="74">
        <f t="shared" si="5"/>
        <v>3559.0277777777778</v>
      </c>
    </row>
    <row r="131" spans="1:39" ht="39" hidden="1" customHeight="1">
      <c r="A131" s="187">
        <v>27162361</v>
      </c>
      <c r="B131" s="43"/>
      <c r="C131" s="51">
        <v>44633</v>
      </c>
      <c r="D131" s="37" t="s">
        <v>5397</v>
      </c>
      <c r="E131" s="37" t="s">
        <v>5398</v>
      </c>
      <c r="F131" s="45" t="s">
        <v>5399</v>
      </c>
      <c r="G131" s="1">
        <v>120000</v>
      </c>
      <c r="H131" s="1"/>
      <c r="I131" s="43" t="s">
        <v>170</v>
      </c>
      <c r="J131" s="43" t="s">
        <v>5400</v>
      </c>
      <c r="K131" s="43"/>
      <c r="L131" s="4">
        <v>49.047006000000003</v>
      </c>
      <c r="M131" s="7">
        <v>-68.420377999999999</v>
      </c>
      <c r="N131" s="46">
        <v>58.65</v>
      </c>
      <c r="O131" s="43" t="s">
        <v>18</v>
      </c>
      <c r="P131" s="47" t="s">
        <v>4739</v>
      </c>
      <c r="Q131" s="267">
        <v>4</v>
      </c>
      <c r="R131" s="47" t="s">
        <v>4669</v>
      </c>
      <c r="S131" s="43">
        <v>16.2</v>
      </c>
      <c r="T131" s="43" t="s">
        <v>5103</v>
      </c>
      <c r="U131" s="43">
        <v>0</v>
      </c>
      <c r="V131" s="43" t="s">
        <v>5029</v>
      </c>
      <c r="W131" s="43"/>
      <c r="X131" s="1"/>
      <c r="Y131" s="46">
        <v>42.45</v>
      </c>
      <c r="Z131" s="46"/>
      <c r="AA131" s="2"/>
      <c r="AB131" s="43"/>
      <c r="AC131" s="87"/>
      <c r="AD131" s="1"/>
      <c r="AE131" s="3"/>
      <c r="AF131" s="46"/>
      <c r="AG131" s="1"/>
      <c r="AH131" s="43"/>
      <c r="AI131" s="43"/>
      <c r="AJ131" s="43"/>
      <c r="AK131" s="37" t="s">
        <v>5401</v>
      </c>
      <c r="AL131" s="47"/>
      <c r="AM131" s="49">
        <f t="shared" si="5"/>
        <v>2046.0358056265984</v>
      </c>
    </row>
    <row r="132" spans="1:39" ht="39" customHeight="1">
      <c r="A132" s="187">
        <v>27084762</v>
      </c>
      <c r="B132" s="43"/>
      <c r="C132" s="51">
        <v>44635</v>
      </c>
      <c r="D132" s="37" t="s">
        <v>5402</v>
      </c>
      <c r="E132" s="37" t="s">
        <v>5403</v>
      </c>
      <c r="F132" s="45" t="s">
        <v>5404</v>
      </c>
      <c r="G132" s="16" t="s">
        <v>5405</v>
      </c>
      <c r="H132" s="16"/>
      <c r="I132" s="43"/>
      <c r="J132" s="43" t="s">
        <v>5154</v>
      </c>
      <c r="K132" s="43" t="s">
        <v>5406</v>
      </c>
      <c r="L132" s="25"/>
      <c r="M132" s="26"/>
      <c r="N132" s="46"/>
      <c r="O132" s="43"/>
      <c r="P132" s="47"/>
      <c r="Q132" s="267"/>
      <c r="R132" s="47"/>
      <c r="S132" s="43"/>
      <c r="T132" s="43"/>
      <c r="U132" s="43"/>
      <c r="V132" s="43"/>
      <c r="W132" s="43"/>
      <c r="X132" s="16"/>
      <c r="Y132" s="46"/>
      <c r="Z132" s="46"/>
      <c r="AA132" s="102"/>
      <c r="AB132" s="43"/>
      <c r="AC132" s="87"/>
      <c r="AD132" s="16"/>
      <c r="AE132" s="103"/>
      <c r="AF132" s="46"/>
      <c r="AG132" s="16"/>
      <c r="AH132" s="43"/>
      <c r="AI132" s="43"/>
      <c r="AJ132" s="43" t="s">
        <v>5407</v>
      </c>
      <c r="AK132" s="37"/>
      <c r="AL132" s="47"/>
      <c r="AM132" s="74" t="e">
        <f t="shared" si="5"/>
        <v>#VALUE!</v>
      </c>
    </row>
    <row r="133" spans="1:39" ht="39" hidden="1" customHeight="1">
      <c r="A133" s="187">
        <v>24199048</v>
      </c>
      <c r="B133" s="43" t="s">
        <v>4652</v>
      </c>
      <c r="C133" s="51">
        <v>44636</v>
      </c>
      <c r="D133" s="37" t="s">
        <v>5408</v>
      </c>
      <c r="E133" s="37" t="s">
        <v>5409</v>
      </c>
      <c r="F133" s="45">
        <v>4130667</v>
      </c>
      <c r="G133" s="1">
        <v>300000</v>
      </c>
      <c r="H133" s="1" t="s">
        <v>4652</v>
      </c>
      <c r="I133" s="43" t="s">
        <v>39</v>
      </c>
      <c r="J133" s="43" t="s">
        <v>5410</v>
      </c>
      <c r="K133" s="43" t="s">
        <v>5411</v>
      </c>
      <c r="L133" s="4" t="s">
        <v>4652</v>
      </c>
      <c r="M133" s="7" t="s">
        <v>4652</v>
      </c>
      <c r="N133" s="46" t="s">
        <v>5412</v>
      </c>
      <c r="O133" s="43" t="s">
        <v>36</v>
      </c>
      <c r="P133" s="47" t="s">
        <v>4652</v>
      </c>
      <c r="Q133" s="267" t="s">
        <v>5287</v>
      </c>
      <c r="R133" s="47" t="s">
        <v>4652</v>
      </c>
      <c r="S133" s="43">
        <v>5.0999999999999996</v>
      </c>
      <c r="T133" s="43" t="s">
        <v>4652</v>
      </c>
      <c r="U133" s="43">
        <v>0</v>
      </c>
      <c r="V133" s="43" t="s">
        <v>4652</v>
      </c>
      <c r="W133" s="43"/>
      <c r="X133" s="1" t="s">
        <v>4652</v>
      </c>
      <c r="Y133" s="46" t="s">
        <v>5413</v>
      </c>
      <c r="Z133" s="46"/>
      <c r="AA133" s="2"/>
      <c r="AB133" s="43"/>
      <c r="AC133" s="87"/>
      <c r="AD133" s="1"/>
      <c r="AE133" s="3"/>
      <c r="AF133" s="46"/>
      <c r="AG133" s="1">
        <v>0</v>
      </c>
      <c r="AH133" s="43">
        <v>0</v>
      </c>
      <c r="AI133" s="43"/>
      <c r="AJ133" s="43"/>
      <c r="AK133" s="37"/>
      <c r="AL133" s="47" t="s">
        <v>5414</v>
      </c>
      <c r="AM133" s="49">
        <f>Table3[[#This Row],[Prixdevente($)]]/Table3[[#This Row],[Superficie cultivée (ha)]]</f>
        <v>58823.529411764714</v>
      </c>
    </row>
    <row r="134" spans="1:39" ht="39" customHeight="1">
      <c r="A134" s="187">
        <v>27091667</v>
      </c>
      <c r="B134" s="43"/>
      <c r="C134" s="51">
        <v>44637</v>
      </c>
      <c r="D134" s="37" t="s">
        <v>5415</v>
      </c>
      <c r="E134" s="37" t="s">
        <v>5416</v>
      </c>
      <c r="F134" s="45" t="s">
        <v>5417</v>
      </c>
      <c r="G134" s="16" t="s">
        <v>5418</v>
      </c>
      <c r="H134" s="16"/>
      <c r="I134" s="43"/>
      <c r="J134" s="43" t="s">
        <v>5419</v>
      </c>
      <c r="K134" s="43">
        <v>0</v>
      </c>
      <c r="L134" s="25"/>
      <c r="M134" s="26"/>
      <c r="N134" s="46"/>
      <c r="O134" s="43"/>
      <c r="P134" s="47"/>
      <c r="Q134" s="267"/>
      <c r="R134" s="47"/>
      <c r="S134" s="43"/>
      <c r="T134" s="43"/>
      <c r="U134" s="43"/>
      <c r="V134" s="43"/>
      <c r="W134" s="43"/>
      <c r="X134" s="16"/>
      <c r="Y134" s="46"/>
      <c r="Z134" s="46"/>
      <c r="AA134" s="102"/>
      <c r="AB134" s="43"/>
      <c r="AC134" s="87"/>
      <c r="AD134" s="16"/>
      <c r="AE134" s="103"/>
      <c r="AF134" s="46"/>
      <c r="AG134" s="16"/>
      <c r="AH134" s="43"/>
      <c r="AI134" s="43"/>
      <c r="AJ134" s="43"/>
      <c r="AK134" s="37"/>
      <c r="AL134" s="47"/>
      <c r="AM134" s="74" t="e">
        <f t="shared" ref="AM134:AM155" si="6">G134/N134</f>
        <v>#VALUE!</v>
      </c>
    </row>
    <row r="135" spans="1:39" ht="39" hidden="1" customHeight="1">
      <c r="A135" s="187">
        <v>27097562</v>
      </c>
      <c r="B135" s="43"/>
      <c r="C135" s="51">
        <v>44641</v>
      </c>
      <c r="D135" s="37" t="s">
        <v>5420</v>
      </c>
      <c r="E135" s="37" t="s">
        <v>5421</v>
      </c>
      <c r="F135" s="45" t="s">
        <v>5422</v>
      </c>
      <c r="G135" s="1">
        <v>65000</v>
      </c>
      <c r="H135" s="1"/>
      <c r="I135" s="43" t="s">
        <v>5423</v>
      </c>
      <c r="J135" s="43" t="s">
        <v>282</v>
      </c>
      <c r="K135" s="43" t="s">
        <v>353</v>
      </c>
      <c r="L135" s="4" t="s">
        <v>5424</v>
      </c>
      <c r="M135" s="7" t="s">
        <v>5425</v>
      </c>
      <c r="N135" s="46">
        <v>29.85</v>
      </c>
      <c r="O135" s="43" t="s">
        <v>18</v>
      </c>
      <c r="P135" s="37" t="s">
        <v>5426</v>
      </c>
      <c r="Q135" s="442">
        <v>4</v>
      </c>
      <c r="R135" s="47" t="s">
        <v>4620</v>
      </c>
      <c r="S135" s="43">
        <v>13.4</v>
      </c>
      <c r="T135" s="43" t="s">
        <v>4596</v>
      </c>
      <c r="U135" s="43">
        <v>0</v>
      </c>
      <c r="V135" s="43" t="s">
        <v>4628</v>
      </c>
      <c r="W135" s="43"/>
      <c r="X135" s="1"/>
      <c r="Y135" s="46">
        <v>14.1</v>
      </c>
      <c r="Z135" s="46"/>
      <c r="AA135" s="2"/>
      <c r="AB135" s="43"/>
      <c r="AC135" s="87"/>
      <c r="AD135" s="1"/>
      <c r="AE135" s="3"/>
      <c r="AF135" s="46"/>
      <c r="AG135" s="1"/>
      <c r="AH135" s="43"/>
      <c r="AI135" s="43"/>
      <c r="AJ135" s="43"/>
      <c r="AK135" s="37" t="s">
        <v>5427</v>
      </c>
      <c r="AL135" s="47"/>
      <c r="AM135" s="74">
        <f t="shared" si="6"/>
        <v>2177.5544388609715</v>
      </c>
    </row>
    <row r="136" spans="1:39" ht="39" hidden="1" customHeight="1">
      <c r="A136" s="196">
        <v>27110932</v>
      </c>
      <c r="C136" s="317">
        <v>44645</v>
      </c>
      <c r="D136" t="s">
        <v>5428</v>
      </c>
      <c r="E136" t="s">
        <v>5429</v>
      </c>
      <c r="F136" t="s">
        <v>5430</v>
      </c>
      <c r="G136" s="94">
        <v>3000000</v>
      </c>
      <c r="I136" t="s">
        <v>4917</v>
      </c>
      <c r="J136" t="s">
        <v>5431</v>
      </c>
      <c r="K136" t="s">
        <v>5432</v>
      </c>
      <c r="L136" s="96" t="s">
        <v>5433</v>
      </c>
      <c r="M136" s="245" t="s">
        <v>5434</v>
      </c>
      <c r="N136" s="63">
        <f>8.86+9.28+11.91+16.07+6.67+9.38+6.41</f>
        <v>68.580000000000013</v>
      </c>
      <c r="O136" s="43" t="s">
        <v>36</v>
      </c>
      <c r="P136" t="s">
        <v>35</v>
      </c>
      <c r="Q136" s="436">
        <v>2</v>
      </c>
      <c r="R136" t="s">
        <v>4669</v>
      </c>
      <c r="S136">
        <f>49.4+17.7</f>
        <v>67.099999999999994</v>
      </c>
      <c r="U136">
        <f>27+6.6</f>
        <v>33.6</v>
      </c>
      <c r="AM136" s="1">
        <f t="shared" si="6"/>
        <v>43744.531933508304</v>
      </c>
    </row>
    <row r="137" spans="1:39" ht="39" hidden="1" customHeight="1">
      <c r="A137" s="227">
        <v>27308410</v>
      </c>
      <c r="B137" s="66"/>
      <c r="C137" s="320">
        <v>44648</v>
      </c>
      <c r="D137" s="68" t="s">
        <v>5435</v>
      </c>
      <c r="E137" s="68" t="s">
        <v>5436</v>
      </c>
      <c r="F137" s="67" t="s">
        <v>5437</v>
      </c>
      <c r="G137" s="59">
        <v>850000</v>
      </c>
      <c r="I137" s="67" t="s">
        <v>75</v>
      </c>
      <c r="J137" s="67" t="s">
        <v>1972</v>
      </c>
      <c r="K137" s="67" t="s">
        <v>5438</v>
      </c>
      <c r="L137" s="96" t="s">
        <v>5439</v>
      </c>
      <c r="M137" s="245" t="s">
        <v>5440</v>
      </c>
      <c r="N137" s="70">
        <f>13.61+25.14</f>
        <v>38.75</v>
      </c>
      <c r="O137" s="67" t="s">
        <v>36</v>
      </c>
      <c r="P137" s="71" t="s">
        <v>206</v>
      </c>
      <c r="Q137" s="430">
        <v>4</v>
      </c>
      <c r="R137" s="66" t="s">
        <v>4669</v>
      </c>
      <c r="S137" s="110">
        <v>24.1</v>
      </c>
      <c r="T137" s="67" t="s">
        <v>4596</v>
      </c>
      <c r="U137" s="66">
        <v>0</v>
      </c>
      <c r="V137" s="67" t="s">
        <v>5029</v>
      </c>
      <c r="W137" s="67"/>
      <c r="X137" s="94" t="s">
        <v>5441</v>
      </c>
      <c r="Y137" s="123">
        <v>14.65</v>
      </c>
      <c r="Z137" s="123"/>
      <c r="AB137" s="66"/>
      <c r="AC137" s="124"/>
      <c r="AF137" s="123"/>
      <c r="AH137" s="66"/>
      <c r="AI137" s="66"/>
      <c r="AJ137" s="66"/>
      <c r="AK137" s="37" t="s">
        <v>5442</v>
      </c>
      <c r="AL137" s="47"/>
      <c r="AM137" s="49">
        <f t="shared" si="6"/>
        <v>21935.483870967742</v>
      </c>
    </row>
    <row r="138" spans="1:39" ht="39" customHeight="1">
      <c r="A138" s="187">
        <v>27115228</v>
      </c>
      <c r="B138" s="43"/>
      <c r="C138" s="51">
        <v>44648</v>
      </c>
      <c r="D138" s="37" t="s">
        <v>5289</v>
      </c>
      <c r="E138" s="37" t="s">
        <v>5443</v>
      </c>
      <c r="F138" s="45">
        <v>6563187</v>
      </c>
      <c r="G138" s="16" t="s">
        <v>5444</v>
      </c>
      <c r="H138" s="16"/>
      <c r="I138" s="43"/>
      <c r="J138" s="43">
        <v>0</v>
      </c>
      <c r="K138" s="43">
        <v>0</v>
      </c>
      <c r="L138" s="25"/>
      <c r="M138" s="26"/>
      <c r="N138" s="46"/>
      <c r="O138" s="43"/>
      <c r="P138" s="47"/>
      <c r="Q138" s="267"/>
      <c r="R138" s="47"/>
      <c r="S138" s="43"/>
      <c r="T138" s="43"/>
      <c r="U138" s="43"/>
      <c r="V138" s="43"/>
      <c r="W138" s="43"/>
      <c r="X138" s="16"/>
      <c r="Y138" s="46"/>
      <c r="Z138" s="46"/>
      <c r="AA138" s="102"/>
      <c r="AB138" s="43"/>
      <c r="AC138" s="87"/>
      <c r="AD138" s="16"/>
      <c r="AE138" s="103"/>
      <c r="AF138" s="46"/>
      <c r="AG138" s="16"/>
      <c r="AH138" s="43"/>
      <c r="AI138" s="43"/>
      <c r="AJ138" s="43"/>
      <c r="AK138" s="37"/>
      <c r="AL138" s="47"/>
      <c r="AM138" s="74" t="e">
        <f t="shared" si="6"/>
        <v>#VALUE!</v>
      </c>
    </row>
    <row r="139" spans="1:39" ht="39" customHeight="1">
      <c r="A139" s="187">
        <v>27123060</v>
      </c>
      <c r="B139" s="43"/>
      <c r="C139" s="51">
        <v>44650</v>
      </c>
      <c r="D139" s="37" t="s">
        <v>5445</v>
      </c>
      <c r="E139" s="37" t="s">
        <v>5446</v>
      </c>
      <c r="F139" s="45">
        <v>3848850</v>
      </c>
      <c r="G139" s="16" t="s">
        <v>5447</v>
      </c>
      <c r="H139" s="16"/>
      <c r="I139" s="43"/>
      <c r="J139" s="43" t="s">
        <v>5419</v>
      </c>
      <c r="K139" s="43">
        <v>0</v>
      </c>
      <c r="L139" s="25"/>
      <c r="M139" s="26"/>
      <c r="N139" s="46"/>
      <c r="O139" s="43"/>
      <c r="P139" s="47"/>
      <c r="Q139" s="267"/>
      <c r="R139" s="47"/>
      <c r="S139" s="43"/>
      <c r="T139" s="43"/>
      <c r="U139" s="43"/>
      <c r="V139" s="43"/>
      <c r="W139" s="43"/>
      <c r="X139" s="16"/>
      <c r="Y139" s="46"/>
      <c r="Z139" s="46"/>
      <c r="AA139" s="102"/>
      <c r="AB139" s="43"/>
      <c r="AC139" s="87"/>
      <c r="AD139" s="16"/>
      <c r="AE139" s="103"/>
      <c r="AF139" s="46"/>
      <c r="AG139" s="16"/>
      <c r="AH139" s="43"/>
      <c r="AI139" s="43"/>
      <c r="AJ139" s="43"/>
      <c r="AK139" s="37"/>
      <c r="AL139" s="47"/>
      <c r="AM139" s="74" t="e">
        <f t="shared" si="6"/>
        <v>#VALUE!</v>
      </c>
    </row>
    <row r="140" spans="1:39" ht="39" hidden="1" customHeight="1">
      <c r="A140" s="187">
        <v>27228999</v>
      </c>
      <c r="B140" s="43">
        <v>15152762</v>
      </c>
      <c r="C140" s="51">
        <v>44664</v>
      </c>
      <c r="D140" s="37" t="s">
        <v>5448</v>
      </c>
      <c r="E140" s="37" t="s">
        <v>5449</v>
      </c>
      <c r="F140" s="43" t="s">
        <v>5450</v>
      </c>
      <c r="G140" s="1">
        <v>500000</v>
      </c>
      <c r="H140" s="1"/>
      <c r="I140" s="43" t="s">
        <v>258</v>
      </c>
      <c r="J140" s="43" t="s">
        <v>1241</v>
      </c>
      <c r="K140" s="43" t="s">
        <v>5451</v>
      </c>
      <c r="L140" s="4" t="s">
        <v>5452</v>
      </c>
      <c r="M140" s="4" t="s">
        <v>5453</v>
      </c>
      <c r="N140" s="46">
        <f>(185611.406+335706.188)/10000</f>
        <v>52.131759400000007</v>
      </c>
      <c r="O140" s="43" t="s">
        <v>5454</v>
      </c>
      <c r="P140" s="47" t="s">
        <v>384</v>
      </c>
      <c r="Q140" s="442">
        <v>4</v>
      </c>
      <c r="R140" s="47" t="s">
        <v>4669</v>
      </c>
      <c r="S140" s="43">
        <f>3.4+2.4+2.9+4.5</f>
        <v>13.2</v>
      </c>
      <c r="T140" s="43" t="s">
        <v>4596</v>
      </c>
      <c r="U140" s="43"/>
      <c r="V140" s="43"/>
      <c r="W140" s="43"/>
      <c r="X140" s="1"/>
      <c r="Y140" s="46">
        <f>Terre!$N39-Terre!$S39</f>
        <v>15.229999999999997</v>
      </c>
      <c r="Z140" s="46"/>
      <c r="AA140" s="2"/>
      <c r="AB140" s="43"/>
      <c r="AC140" s="87"/>
      <c r="AD140" s="1"/>
      <c r="AE140" s="3"/>
      <c r="AF140" s="46"/>
      <c r="AG140" s="1"/>
      <c r="AH140" s="43"/>
      <c r="AI140" s="43"/>
      <c r="AJ140" s="43"/>
      <c r="AK140" s="37" t="s">
        <v>5455</v>
      </c>
      <c r="AL140" s="47"/>
      <c r="AM140" s="74">
        <f t="shared" si="6"/>
        <v>9591.082398803519</v>
      </c>
    </row>
    <row r="141" spans="1:39" ht="39" customHeight="1">
      <c r="A141" s="187">
        <v>27295826</v>
      </c>
      <c r="B141" s="43"/>
      <c r="C141" s="51">
        <v>44669</v>
      </c>
      <c r="D141" s="37" t="s">
        <v>5456</v>
      </c>
      <c r="E141" s="37" t="s">
        <v>5457</v>
      </c>
      <c r="F141" s="45" t="s">
        <v>5458</v>
      </c>
      <c r="G141" s="16">
        <v>975000</v>
      </c>
      <c r="H141" s="16"/>
      <c r="I141" s="43"/>
      <c r="J141" s="43" t="s">
        <v>5266</v>
      </c>
      <c r="K141" s="43"/>
      <c r="L141" s="25"/>
      <c r="M141" s="26"/>
      <c r="N141" s="46"/>
      <c r="O141" s="43"/>
      <c r="P141" s="47"/>
      <c r="Q141" s="267"/>
      <c r="R141" s="47"/>
      <c r="S141" s="43"/>
      <c r="T141" s="43"/>
      <c r="U141" s="43"/>
      <c r="V141" s="43"/>
      <c r="W141" s="43"/>
      <c r="X141" s="16"/>
      <c r="Y141" s="46"/>
      <c r="Z141" s="46"/>
      <c r="AA141" s="102"/>
      <c r="AB141" s="43"/>
      <c r="AC141" s="87"/>
      <c r="AD141" s="16"/>
      <c r="AE141" s="103"/>
      <c r="AF141" s="46"/>
      <c r="AG141" s="16"/>
      <c r="AH141" s="43"/>
      <c r="AI141" s="43"/>
      <c r="AJ141" s="43" t="s">
        <v>5459</v>
      </c>
      <c r="AK141" s="37"/>
      <c r="AL141" s="47"/>
      <c r="AM141" s="74" t="e">
        <f t="shared" si="6"/>
        <v>#DIV/0!</v>
      </c>
    </row>
    <row r="142" spans="1:39" ht="39" customHeight="1">
      <c r="A142" s="187">
        <v>27171150</v>
      </c>
      <c r="B142" s="43"/>
      <c r="C142" s="51">
        <v>44671</v>
      </c>
      <c r="D142" s="37" t="s">
        <v>5460</v>
      </c>
      <c r="E142" s="37" t="s">
        <v>5461</v>
      </c>
      <c r="F142" s="45" t="s">
        <v>5462</v>
      </c>
      <c r="G142" s="16">
        <v>742500</v>
      </c>
      <c r="H142" s="16"/>
      <c r="I142" s="43"/>
      <c r="J142" s="43" t="s">
        <v>5463</v>
      </c>
      <c r="K142" s="43" t="s">
        <v>5464</v>
      </c>
      <c r="L142" s="25"/>
      <c r="M142" s="26"/>
      <c r="N142" s="46"/>
      <c r="O142" s="43"/>
      <c r="P142" s="47"/>
      <c r="Q142" s="267"/>
      <c r="R142" s="47"/>
      <c r="S142" s="43"/>
      <c r="T142" s="43"/>
      <c r="U142" s="43"/>
      <c r="V142" s="43"/>
      <c r="W142" s="43"/>
      <c r="X142" s="16"/>
      <c r="Y142" s="46"/>
      <c r="Z142" s="46"/>
      <c r="AA142" s="102"/>
      <c r="AB142" s="43"/>
      <c r="AC142" s="87"/>
      <c r="AD142" s="16"/>
      <c r="AE142" s="103"/>
      <c r="AF142" s="46"/>
      <c r="AG142" s="16"/>
      <c r="AH142" s="43"/>
      <c r="AI142" s="43"/>
      <c r="AJ142" s="43"/>
      <c r="AK142" s="37"/>
      <c r="AL142" s="47"/>
      <c r="AM142" s="74" t="e">
        <f t="shared" si="6"/>
        <v>#DIV/0!</v>
      </c>
    </row>
    <row r="143" spans="1:39" ht="39" hidden="1" customHeight="1">
      <c r="A143" s="191">
        <v>27174405</v>
      </c>
      <c r="B143" s="43"/>
      <c r="C143" s="51">
        <v>44672</v>
      </c>
      <c r="D143" s="37" t="s">
        <v>5465</v>
      </c>
      <c r="E143" s="37" t="s">
        <v>5466</v>
      </c>
      <c r="F143" s="34" t="s">
        <v>5467</v>
      </c>
      <c r="G143" s="126">
        <v>450000</v>
      </c>
      <c r="H143" s="126"/>
      <c r="I143" s="34" t="s">
        <v>4880</v>
      </c>
      <c r="J143" s="37" t="s">
        <v>4881</v>
      </c>
      <c r="K143" s="43" t="s">
        <v>5468</v>
      </c>
      <c r="L143" s="34" t="s">
        <v>5469</v>
      </c>
      <c r="M143" s="34" t="s">
        <v>5470</v>
      </c>
      <c r="N143" s="46">
        <f>21.02+15.17+12.85</f>
        <v>49.04</v>
      </c>
      <c r="O143" s="43" t="s">
        <v>18</v>
      </c>
      <c r="P143" s="47" t="s">
        <v>206</v>
      </c>
      <c r="Q143" s="445">
        <v>4</v>
      </c>
      <c r="R143" s="34" t="s">
        <v>4620</v>
      </c>
      <c r="S143" s="46">
        <f>3.4+1+4.7+7.9+7.3</f>
        <v>24.3</v>
      </c>
      <c r="T143" s="43" t="s">
        <v>4596</v>
      </c>
      <c r="U143" s="46"/>
      <c r="V143" s="43"/>
      <c r="W143" s="43"/>
      <c r="X143" s="43" t="s">
        <v>5279</v>
      </c>
      <c r="Y143" s="46">
        <v>24.74</v>
      </c>
      <c r="Z143" s="46"/>
      <c r="AA143" s="2"/>
      <c r="AB143" s="43"/>
      <c r="AC143" s="87"/>
      <c r="AD143" s="1"/>
      <c r="AE143" s="3"/>
      <c r="AF143" s="46"/>
      <c r="AG143" s="1"/>
      <c r="AH143" s="43"/>
      <c r="AI143" s="43"/>
      <c r="AJ143" s="43"/>
      <c r="AK143" s="37" t="s">
        <v>5471</v>
      </c>
      <c r="AL143" s="47"/>
      <c r="AM143" s="49">
        <f t="shared" si="6"/>
        <v>9176.1827079934756</v>
      </c>
    </row>
    <row r="144" spans="1:39" ht="39" customHeight="1">
      <c r="A144" s="187">
        <v>27179584</v>
      </c>
      <c r="B144" s="43"/>
      <c r="C144" s="51">
        <v>44673</v>
      </c>
      <c r="D144" s="37" t="s">
        <v>5472</v>
      </c>
      <c r="E144" s="37" t="s">
        <v>5473</v>
      </c>
      <c r="F144" s="45">
        <v>6470271</v>
      </c>
      <c r="G144" s="16" t="s">
        <v>5474</v>
      </c>
      <c r="H144" s="16"/>
      <c r="I144" s="43" t="s">
        <v>4911</v>
      </c>
      <c r="J144" s="43" t="s">
        <v>5261</v>
      </c>
      <c r="K144" s="43">
        <v>0</v>
      </c>
      <c r="L144" s="25"/>
      <c r="M144" s="26"/>
      <c r="N144" s="46"/>
      <c r="O144" s="43"/>
      <c r="P144" s="47"/>
      <c r="Q144" s="267"/>
      <c r="R144" s="47"/>
      <c r="S144" s="43"/>
      <c r="T144" s="43"/>
      <c r="U144" s="43"/>
      <c r="V144" s="43"/>
      <c r="W144" s="43"/>
      <c r="X144" s="16"/>
      <c r="Y144" s="46"/>
      <c r="Z144" s="46"/>
      <c r="AA144" s="102"/>
      <c r="AB144" s="43"/>
      <c r="AC144" s="87"/>
      <c r="AD144" s="16"/>
      <c r="AE144" s="103"/>
      <c r="AF144" s="46"/>
      <c r="AG144" s="16"/>
      <c r="AH144" s="43"/>
      <c r="AI144" s="43"/>
      <c r="AJ144" s="43"/>
      <c r="AK144" s="37"/>
      <c r="AL144" s="47"/>
      <c r="AM144" s="74" t="e">
        <f t="shared" si="6"/>
        <v>#VALUE!</v>
      </c>
    </row>
    <row r="145" spans="1:39" ht="39" hidden="1" customHeight="1">
      <c r="A145" s="196">
        <v>27186770</v>
      </c>
      <c r="C145" s="318">
        <v>44677</v>
      </c>
      <c r="D145" t="s">
        <v>5475</v>
      </c>
      <c r="E145" t="s">
        <v>5476</v>
      </c>
      <c r="F145" s="269">
        <v>2513098</v>
      </c>
      <c r="G145" s="93">
        <v>3240000</v>
      </c>
      <c r="N145" s="63">
        <v>8.42</v>
      </c>
      <c r="AM145" s="1">
        <f t="shared" si="6"/>
        <v>384798.09976247029</v>
      </c>
    </row>
    <row r="146" spans="1:39" ht="39" hidden="1" customHeight="1">
      <c r="A146" s="196">
        <v>27191388</v>
      </c>
      <c r="C146" s="317">
        <v>44678</v>
      </c>
      <c r="D146" t="s">
        <v>5477</v>
      </c>
      <c r="E146" t="s">
        <v>5476</v>
      </c>
      <c r="F146" s="269">
        <v>3386979</v>
      </c>
      <c r="G146" s="94">
        <v>3450000</v>
      </c>
      <c r="N146" s="63">
        <f>89511.9/10000</f>
        <v>8.9511899999999986</v>
      </c>
      <c r="AK146" t="s">
        <v>1328</v>
      </c>
      <c r="AM146" s="1">
        <f t="shared" si="6"/>
        <v>385423.61406695651</v>
      </c>
    </row>
    <row r="147" spans="1:39" ht="39" hidden="1" customHeight="1">
      <c r="A147" s="187">
        <v>27346580</v>
      </c>
      <c r="B147" s="43"/>
      <c r="C147" s="51">
        <v>44678</v>
      </c>
      <c r="D147" s="37" t="s">
        <v>5478</v>
      </c>
      <c r="E147" s="37" t="s">
        <v>5479</v>
      </c>
      <c r="F147" s="45" t="s">
        <v>5480</v>
      </c>
      <c r="G147" s="1">
        <v>450000</v>
      </c>
      <c r="H147" s="1"/>
      <c r="I147" s="43" t="s">
        <v>594</v>
      </c>
      <c r="J147" s="43" t="s">
        <v>5481</v>
      </c>
      <c r="K147" s="43" t="s">
        <v>5482</v>
      </c>
      <c r="L147" s="7" t="s">
        <v>5483</v>
      </c>
      <c r="M147" s="7" t="s">
        <v>5484</v>
      </c>
      <c r="N147" s="46">
        <v>10.039999999999999</v>
      </c>
      <c r="O147" s="43" t="s">
        <v>18</v>
      </c>
      <c r="P147" s="47" t="s">
        <v>206</v>
      </c>
      <c r="Q147" s="267" t="s">
        <v>4703</v>
      </c>
      <c r="R147" s="47" t="s">
        <v>5485</v>
      </c>
      <c r="S147" s="43">
        <f>2.6+6.6</f>
        <v>9.1999999999999993</v>
      </c>
      <c r="T147" s="43" t="s">
        <v>5037</v>
      </c>
      <c r="U147" s="43">
        <v>0</v>
      </c>
      <c r="V147" s="43" t="s">
        <v>4628</v>
      </c>
      <c r="W147" s="43"/>
      <c r="X147" s="1"/>
      <c r="Y147" s="46">
        <v>0</v>
      </c>
      <c r="Z147" s="46"/>
      <c r="AA147" s="2"/>
      <c r="AB147" s="43"/>
      <c r="AC147" s="87"/>
      <c r="AD147" s="1"/>
      <c r="AE147" s="3"/>
      <c r="AF147" s="46"/>
      <c r="AG147" s="1"/>
      <c r="AH147" s="43"/>
      <c r="AI147" s="43"/>
      <c r="AJ147" s="43"/>
      <c r="AK147" s="37" t="s">
        <v>5486</v>
      </c>
      <c r="AL147" s="47"/>
      <c r="AM147" s="74">
        <f t="shared" si="6"/>
        <v>44820.717131474106</v>
      </c>
    </row>
    <row r="148" spans="1:39" ht="39" hidden="1" customHeight="1">
      <c r="A148" s="196">
        <v>27209122</v>
      </c>
      <c r="C148" s="317">
        <v>44685</v>
      </c>
      <c r="D148" t="s">
        <v>5487</v>
      </c>
      <c r="E148" t="s">
        <v>5488</v>
      </c>
      <c r="F148">
        <v>6500402</v>
      </c>
      <c r="G148" s="94">
        <v>248000</v>
      </c>
      <c r="I148" t="s">
        <v>1629</v>
      </c>
      <c r="J148" t="s">
        <v>3523</v>
      </c>
      <c r="K148" t="s">
        <v>5489</v>
      </c>
      <c r="L148" s="96" t="s">
        <v>5490</v>
      </c>
      <c r="M148" s="245" t="s">
        <v>5491</v>
      </c>
      <c r="N148" s="63">
        <v>50.74</v>
      </c>
      <c r="O148" t="s">
        <v>5051</v>
      </c>
      <c r="P148" t="s">
        <v>154</v>
      </c>
      <c r="Q148" s="436">
        <v>5</v>
      </c>
      <c r="R148" t="s">
        <v>4760</v>
      </c>
      <c r="S148">
        <f>8.6+18.5+8.8+1.9+1+0.8+0.6</f>
        <v>40.200000000000003</v>
      </c>
      <c r="Y148" s="63">
        <f>1.3+0.4+4.9</f>
        <v>6.6000000000000005</v>
      </c>
      <c r="AM148" s="1">
        <f t="shared" si="6"/>
        <v>4887.6625936145056</v>
      </c>
    </row>
    <row r="149" spans="1:39" ht="39" hidden="1" customHeight="1">
      <c r="A149" s="187">
        <v>28595962</v>
      </c>
      <c r="B149" s="43"/>
      <c r="C149" s="51">
        <v>44688</v>
      </c>
      <c r="D149" s="37" t="s">
        <v>5492</v>
      </c>
      <c r="E149" s="37" t="s">
        <v>5493</v>
      </c>
      <c r="F149" s="45">
        <v>3587462</v>
      </c>
      <c r="G149" s="1">
        <v>128000</v>
      </c>
      <c r="H149" s="1"/>
      <c r="I149" s="43" t="s">
        <v>16</v>
      </c>
      <c r="J149" s="43" t="s">
        <v>1009</v>
      </c>
      <c r="K149" s="43" t="s">
        <v>5494</v>
      </c>
      <c r="L149" s="4" t="s">
        <v>5495</v>
      </c>
      <c r="M149" s="7" t="s">
        <v>5496</v>
      </c>
      <c r="N149" s="46">
        <v>15.47</v>
      </c>
      <c r="O149" s="43" t="s">
        <v>18</v>
      </c>
      <c r="P149" s="47" t="s">
        <v>949</v>
      </c>
      <c r="Q149" s="267">
        <v>4</v>
      </c>
      <c r="R149" s="47" t="s">
        <v>4604</v>
      </c>
      <c r="S149" s="43">
        <v>8.1</v>
      </c>
      <c r="T149" s="43" t="s">
        <v>4828</v>
      </c>
      <c r="U149" s="43">
        <v>8.1</v>
      </c>
      <c r="V149" s="43" t="s">
        <v>4628</v>
      </c>
      <c r="W149" s="43"/>
      <c r="X149" s="1"/>
      <c r="Y149" s="46">
        <v>7.25</v>
      </c>
      <c r="Z149" s="46"/>
      <c r="AA149" s="2"/>
      <c r="AB149" s="43"/>
      <c r="AC149" s="87"/>
      <c r="AD149" s="1"/>
      <c r="AE149" s="3"/>
      <c r="AF149" s="46"/>
      <c r="AG149" s="1"/>
      <c r="AH149" s="43"/>
      <c r="AI149" s="43"/>
      <c r="AJ149" s="43"/>
      <c r="AK149" s="37" t="s">
        <v>5497</v>
      </c>
      <c r="AL149" s="47"/>
      <c r="AM149" s="49">
        <f t="shared" si="6"/>
        <v>8274.0788623141561</v>
      </c>
    </row>
    <row r="150" spans="1:39" ht="39" hidden="1" customHeight="1">
      <c r="A150" s="196">
        <v>27248017</v>
      </c>
      <c r="C150" s="317">
        <v>44699</v>
      </c>
      <c r="D150" t="s">
        <v>5498</v>
      </c>
      <c r="E150" t="s">
        <v>5499</v>
      </c>
      <c r="F150" s="269">
        <v>2713207</v>
      </c>
      <c r="G150" s="94">
        <v>2679074</v>
      </c>
      <c r="I150" t="s">
        <v>4917</v>
      </c>
      <c r="J150" t="s">
        <v>5500</v>
      </c>
      <c r="K150" t="s">
        <v>5501</v>
      </c>
      <c r="L150" s="96" t="s">
        <v>5502</v>
      </c>
      <c r="M150" s="245" t="s">
        <v>5503</v>
      </c>
      <c r="N150" s="63">
        <f>457952.9/10000</f>
        <v>45.795290000000001</v>
      </c>
      <c r="O150" s="43" t="s">
        <v>36</v>
      </c>
      <c r="P150" t="s">
        <v>35</v>
      </c>
      <c r="Q150" s="436">
        <v>2</v>
      </c>
      <c r="R150" t="s">
        <v>4669</v>
      </c>
      <c r="S150">
        <f>17.2+25.6</f>
        <v>42.8</v>
      </c>
      <c r="AK150" t="s">
        <v>5504</v>
      </c>
      <c r="AM150" s="1">
        <f t="shared" si="6"/>
        <v>58501.0816614547</v>
      </c>
    </row>
    <row r="151" spans="1:39" ht="39" hidden="1" customHeight="1">
      <c r="A151" s="196">
        <v>27276986</v>
      </c>
      <c r="C151" s="317">
        <v>44711</v>
      </c>
      <c r="D151" t="s">
        <v>5505</v>
      </c>
      <c r="E151" t="s">
        <v>5506</v>
      </c>
      <c r="F151" s="269">
        <v>4012802</v>
      </c>
      <c r="G151" s="94">
        <v>155000</v>
      </c>
      <c r="I151" s="43" t="s">
        <v>5507</v>
      </c>
      <c r="J151" s="43" t="s">
        <v>2337</v>
      </c>
      <c r="K151" s="43" t="s">
        <v>5508</v>
      </c>
      <c r="L151" s="96" t="s">
        <v>5509</v>
      </c>
      <c r="M151" s="245" t="s">
        <v>5510</v>
      </c>
      <c r="N151" s="63">
        <v>9.66</v>
      </c>
      <c r="O151" s="43" t="s">
        <v>36</v>
      </c>
      <c r="P151" s="47" t="s">
        <v>206</v>
      </c>
      <c r="Q151" s="267">
        <v>2</v>
      </c>
      <c r="R151" s="47" t="s">
        <v>4669</v>
      </c>
      <c r="S151">
        <f>3.3+3.5+2.1</f>
        <v>8.9</v>
      </c>
      <c r="T151" s="139" t="s">
        <v>4596</v>
      </c>
      <c r="AM151" s="1">
        <f t="shared" si="6"/>
        <v>16045.548654244307</v>
      </c>
    </row>
    <row r="152" spans="1:39" ht="39" hidden="1" customHeight="1">
      <c r="A152" s="187">
        <v>27292287</v>
      </c>
      <c r="B152" s="43"/>
      <c r="C152" s="51">
        <v>44714</v>
      </c>
      <c r="D152" s="37" t="s">
        <v>5511</v>
      </c>
      <c r="E152" s="37" t="s">
        <v>5512</v>
      </c>
      <c r="F152" s="45" t="s">
        <v>5513</v>
      </c>
      <c r="G152" s="1">
        <v>1200000</v>
      </c>
      <c r="H152" s="1"/>
      <c r="I152" s="43" t="s">
        <v>594</v>
      </c>
      <c r="J152" s="43" t="s">
        <v>5514</v>
      </c>
      <c r="K152" s="43" t="s">
        <v>5515</v>
      </c>
      <c r="L152" s="7" t="s">
        <v>5516</v>
      </c>
      <c r="M152" s="7" t="s">
        <v>5517</v>
      </c>
      <c r="N152" s="46">
        <f>9.31+9.98</f>
        <v>19.29</v>
      </c>
      <c r="O152" s="43" t="s">
        <v>18</v>
      </c>
      <c r="P152" s="47" t="s">
        <v>206</v>
      </c>
      <c r="Q152" s="267" t="s">
        <v>4856</v>
      </c>
      <c r="R152" s="47" t="s">
        <v>4669</v>
      </c>
      <c r="S152" s="43">
        <f>7+3.3+3.7</f>
        <v>14</v>
      </c>
      <c r="T152" s="43" t="s">
        <v>4596</v>
      </c>
      <c r="U152" s="43">
        <f>9.31+9.98</f>
        <v>19.29</v>
      </c>
      <c r="V152" s="43" t="s">
        <v>5038</v>
      </c>
      <c r="W152" s="43"/>
      <c r="X152" s="1"/>
      <c r="Y152" s="46">
        <v>4</v>
      </c>
      <c r="Z152" s="46"/>
      <c r="AA152" s="2"/>
      <c r="AB152" s="43"/>
      <c r="AC152" s="87"/>
      <c r="AD152" s="1"/>
      <c r="AE152" s="3"/>
      <c r="AF152" s="46"/>
      <c r="AG152" s="1"/>
      <c r="AH152" s="43"/>
      <c r="AI152" s="43"/>
      <c r="AJ152" s="43"/>
      <c r="AK152" s="37" t="s">
        <v>5518</v>
      </c>
      <c r="AL152" s="47"/>
      <c r="AM152" s="74">
        <f t="shared" si="6"/>
        <v>62208.398133748058</v>
      </c>
    </row>
    <row r="153" spans="1:39" ht="39" customHeight="1">
      <c r="A153" s="187">
        <v>27335939</v>
      </c>
      <c r="B153" s="43"/>
      <c r="C153" s="51">
        <v>44728</v>
      </c>
      <c r="D153" s="37" t="s">
        <v>5519</v>
      </c>
      <c r="E153" s="37" t="s">
        <v>5520</v>
      </c>
      <c r="F153" s="45">
        <v>6474049</v>
      </c>
      <c r="G153" s="16" t="s">
        <v>5521</v>
      </c>
      <c r="H153" s="16"/>
      <c r="I153" s="43"/>
      <c r="J153" s="43" t="s">
        <v>5154</v>
      </c>
      <c r="K153" s="43">
        <v>0</v>
      </c>
      <c r="L153" s="25"/>
      <c r="M153" s="26"/>
      <c r="N153" s="46"/>
      <c r="O153" s="43"/>
      <c r="P153" s="47"/>
      <c r="Q153" s="267"/>
      <c r="R153" s="47"/>
      <c r="S153" s="43"/>
      <c r="T153" s="43"/>
      <c r="U153" s="43"/>
      <c r="V153" s="43"/>
      <c r="W153" s="43"/>
      <c r="X153" s="16"/>
      <c r="Y153" s="46"/>
      <c r="Z153" s="46"/>
      <c r="AA153" s="102"/>
      <c r="AB153" s="43"/>
      <c r="AC153" s="87"/>
      <c r="AD153" s="16"/>
      <c r="AE153" s="103"/>
      <c r="AF153" s="46"/>
      <c r="AG153" s="16"/>
      <c r="AH153" s="43"/>
      <c r="AI153" s="43"/>
      <c r="AJ153" s="43"/>
      <c r="AK153" s="37"/>
      <c r="AL153" s="47"/>
      <c r="AM153" s="74" t="e">
        <f t="shared" si="6"/>
        <v>#VALUE!</v>
      </c>
    </row>
    <row r="154" spans="1:39" ht="39" customHeight="1">
      <c r="A154" s="187">
        <v>27356793</v>
      </c>
      <c r="B154" s="43"/>
      <c r="C154" s="51">
        <v>44734</v>
      </c>
      <c r="D154" s="37" t="s">
        <v>5522</v>
      </c>
      <c r="E154" s="37" t="s">
        <v>5523</v>
      </c>
      <c r="F154" s="45" t="s">
        <v>5524</v>
      </c>
      <c r="G154" s="16">
        <v>630000</v>
      </c>
      <c r="H154" s="16"/>
      <c r="I154" s="43"/>
      <c r="J154" s="43" t="s">
        <v>5463</v>
      </c>
      <c r="K154" s="43" t="s">
        <v>5525</v>
      </c>
      <c r="L154" s="25"/>
      <c r="M154" s="26"/>
      <c r="N154" s="46"/>
      <c r="O154" s="43"/>
      <c r="P154" s="47"/>
      <c r="Q154" s="267"/>
      <c r="R154" s="47"/>
      <c r="S154" s="43"/>
      <c r="T154" s="43"/>
      <c r="U154" s="43"/>
      <c r="V154" s="43"/>
      <c r="W154" s="43"/>
      <c r="X154" s="16"/>
      <c r="Y154" s="46"/>
      <c r="Z154" s="46"/>
      <c r="AA154" s="102"/>
      <c r="AB154" s="43"/>
      <c r="AC154" s="87"/>
      <c r="AD154" s="16"/>
      <c r="AE154" s="103"/>
      <c r="AF154" s="46"/>
      <c r="AG154" s="16"/>
      <c r="AH154" s="43"/>
      <c r="AI154" s="43"/>
      <c r="AJ154" s="43"/>
      <c r="AK154" s="37"/>
      <c r="AL154" s="47"/>
      <c r="AM154" s="74" t="e">
        <f t="shared" si="6"/>
        <v>#DIV/0!</v>
      </c>
    </row>
    <row r="155" spans="1:39" ht="39" hidden="1" customHeight="1">
      <c r="A155" s="187">
        <v>27735083</v>
      </c>
      <c r="B155" s="43"/>
      <c r="C155" s="51">
        <v>44743</v>
      </c>
      <c r="D155" s="37" t="s">
        <v>5526</v>
      </c>
      <c r="E155" s="37" t="s">
        <v>5527</v>
      </c>
      <c r="F155" s="45">
        <v>3725573</v>
      </c>
      <c r="G155" s="16">
        <v>611800</v>
      </c>
      <c r="H155" s="16"/>
      <c r="I155" s="43"/>
      <c r="J155" s="43" t="s">
        <v>5171</v>
      </c>
      <c r="K155" s="43" t="s">
        <v>5528</v>
      </c>
      <c r="L155" s="25"/>
      <c r="M155" s="26"/>
      <c r="N155" s="46">
        <v>12.7</v>
      </c>
      <c r="O155" s="43" t="s">
        <v>4996</v>
      </c>
      <c r="P155" s="47"/>
      <c r="Q155" s="267" t="s">
        <v>5085</v>
      </c>
      <c r="R155" s="47"/>
      <c r="S155" s="43" t="e">
        <v>#REF!</v>
      </c>
      <c r="T155" s="43"/>
      <c r="U155" s="43">
        <v>0</v>
      </c>
      <c r="V155" s="43" t="s">
        <v>5529</v>
      </c>
      <c r="W155" s="43"/>
      <c r="X155" s="16"/>
      <c r="Y155" s="46">
        <v>0</v>
      </c>
      <c r="Z155" s="46"/>
      <c r="AA155" s="102"/>
      <c r="AB155" s="43"/>
      <c r="AC155" s="87"/>
      <c r="AD155" s="16"/>
      <c r="AE155" s="103"/>
      <c r="AF155" s="46"/>
      <c r="AG155" s="16"/>
      <c r="AH155" s="43"/>
      <c r="AI155" s="43"/>
      <c r="AJ155" s="43"/>
      <c r="AK155" s="37"/>
      <c r="AL155" s="47"/>
      <c r="AM155" s="74">
        <f t="shared" si="6"/>
        <v>48173.228346456694</v>
      </c>
    </row>
    <row r="156" spans="1:39" ht="39" hidden="1" customHeight="1">
      <c r="A156" s="187">
        <v>27735083</v>
      </c>
      <c r="B156" s="43" t="s">
        <v>4652</v>
      </c>
      <c r="C156" s="51">
        <v>44743</v>
      </c>
      <c r="D156" s="37" t="s">
        <v>5526</v>
      </c>
      <c r="E156" s="37" t="s">
        <v>5527</v>
      </c>
      <c r="F156" s="45" t="s">
        <v>5530</v>
      </c>
      <c r="G156" s="16">
        <v>611800</v>
      </c>
      <c r="H156" s="16" t="s">
        <v>4652</v>
      </c>
      <c r="I156" s="43" t="s">
        <v>4652</v>
      </c>
      <c r="J156" s="43" t="s">
        <v>5171</v>
      </c>
      <c r="K156" s="43" t="s">
        <v>5528</v>
      </c>
      <c r="L156" s="25" t="s">
        <v>4652</v>
      </c>
      <c r="M156" s="26" t="s">
        <v>4652</v>
      </c>
      <c r="N156" s="46" t="s">
        <v>5531</v>
      </c>
      <c r="O156" s="43" t="s">
        <v>36</v>
      </c>
      <c r="P156" s="47" t="s">
        <v>4652</v>
      </c>
      <c r="Q156" s="267" t="s">
        <v>5085</v>
      </c>
      <c r="R156" s="47" t="s">
        <v>4652</v>
      </c>
      <c r="S156" s="282">
        <v>11.1</v>
      </c>
      <c r="T156" s="43" t="s">
        <v>4652</v>
      </c>
      <c r="U156" s="43">
        <v>0</v>
      </c>
      <c r="V156" s="43" t="s">
        <v>4652</v>
      </c>
      <c r="W156" s="43"/>
      <c r="X156" s="16" t="s">
        <v>4652</v>
      </c>
      <c r="Y156" s="46">
        <v>0</v>
      </c>
      <c r="Z156" s="46"/>
      <c r="AA156" s="102"/>
      <c r="AB156" s="43"/>
      <c r="AC156" s="87"/>
      <c r="AD156" s="16"/>
      <c r="AE156" s="103"/>
      <c r="AF156" s="46"/>
      <c r="AG156" s="16" t="s">
        <v>4996</v>
      </c>
      <c r="AH156" s="43">
        <v>0</v>
      </c>
      <c r="AI156" s="43"/>
      <c r="AJ156" s="43"/>
      <c r="AK156" s="37"/>
      <c r="AL156" s="47" t="s">
        <v>4996</v>
      </c>
      <c r="AM156" s="49">
        <f>Table3[[#This Row],[Prixdevente($)]]/Table3[[#This Row],[Superficie cultivée (ha)]]</f>
        <v>55117.117117117115</v>
      </c>
    </row>
    <row r="157" spans="1:39" ht="39" hidden="1" customHeight="1">
      <c r="A157" s="187">
        <v>2738956</v>
      </c>
      <c r="B157" s="43"/>
      <c r="C157" s="51">
        <v>44747</v>
      </c>
      <c r="D157" s="37" t="s">
        <v>5532</v>
      </c>
      <c r="E157" s="37" t="s">
        <v>5533</v>
      </c>
      <c r="F157" s="45">
        <v>6211995</v>
      </c>
      <c r="G157" s="1">
        <v>70000</v>
      </c>
      <c r="H157" s="1"/>
      <c r="I157" s="43" t="s">
        <v>5423</v>
      </c>
      <c r="J157" s="43" t="s">
        <v>282</v>
      </c>
      <c r="K157" s="43" t="s">
        <v>353</v>
      </c>
      <c r="L157" s="4" t="s">
        <v>5534</v>
      </c>
      <c r="M157" s="7" t="s">
        <v>5535</v>
      </c>
      <c r="N157" s="46">
        <v>19.670000000000002</v>
      </c>
      <c r="O157" s="43" t="s">
        <v>18</v>
      </c>
      <c r="P157" s="37" t="s">
        <v>3732</v>
      </c>
      <c r="Q157" s="267">
        <v>4</v>
      </c>
      <c r="R157" s="47" t="s">
        <v>4620</v>
      </c>
      <c r="S157" s="43">
        <v>6.6</v>
      </c>
      <c r="T157" s="43" t="s">
        <v>5103</v>
      </c>
      <c r="U157" s="43">
        <v>0</v>
      </c>
      <c r="V157" s="43" t="s">
        <v>4628</v>
      </c>
      <c r="W157" s="43"/>
      <c r="X157" s="1"/>
      <c r="Y157" s="46">
        <v>11.6</v>
      </c>
      <c r="Z157" s="46"/>
      <c r="AA157" s="2"/>
      <c r="AB157" s="43"/>
      <c r="AC157" s="87"/>
      <c r="AD157" s="1"/>
      <c r="AE157" s="3"/>
      <c r="AF157" s="46"/>
      <c r="AG157" s="1"/>
      <c r="AH157" s="43"/>
      <c r="AI157" s="43"/>
      <c r="AJ157" s="43"/>
      <c r="AK157" s="37" t="s">
        <v>5536</v>
      </c>
      <c r="AL157" s="47"/>
      <c r="AM157" s="49">
        <f t="shared" ref="AM157:AM178" si="7">G157/N157</f>
        <v>3558.718861209964</v>
      </c>
    </row>
    <row r="158" spans="1:39" ht="39" hidden="1" customHeight="1">
      <c r="A158" s="187">
        <v>27408086</v>
      </c>
      <c r="B158" s="43"/>
      <c r="C158" s="51">
        <v>44753</v>
      </c>
      <c r="D158" s="37" t="s">
        <v>5537</v>
      </c>
      <c r="E158" s="37" t="s">
        <v>5538</v>
      </c>
      <c r="F158" s="43" t="s">
        <v>5539</v>
      </c>
      <c r="G158" s="1">
        <v>113006.25</v>
      </c>
      <c r="H158" s="1"/>
      <c r="I158" s="43" t="s">
        <v>747</v>
      </c>
      <c r="J158" s="43" t="s">
        <v>929</v>
      </c>
      <c r="K158" s="43" t="s">
        <v>5540</v>
      </c>
      <c r="L158" s="4" t="s">
        <v>5541</v>
      </c>
      <c r="M158" s="4" t="s">
        <v>5542</v>
      </c>
      <c r="N158" s="46">
        <f>0.24+2.4+1.98+2.36</f>
        <v>6.9799999999999986</v>
      </c>
      <c r="O158" s="43" t="s">
        <v>18</v>
      </c>
      <c r="P158" s="47" t="s">
        <v>206</v>
      </c>
      <c r="Q158" s="442">
        <v>3</v>
      </c>
      <c r="R158" s="47" t="s">
        <v>4595</v>
      </c>
      <c r="S158" s="43">
        <f>0.24+2+0.9+1.4</f>
        <v>4.54</v>
      </c>
      <c r="T158" s="43" t="s">
        <v>4836</v>
      </c>
      <c r="U158" s="43"/>
      <c r="V158" s="43"/>
      <c r="W158" s="43"/>
      <c r="X158" s="1"/>
      <c r="Y158" s="46">
        <f>1.1+0.9</f>
        <v>2</v>
      </c>
      <c r="Z158" s="46"/>
      <c r="AA158" s="2"/>
      <c r="AB158" s="43"/>
      <c r="AC158" s="87"/>
      <c r="AD158" s="1"/>
      <c r="AE158" s="3"/>
      <c r="AF158" s="46"/>
      <c r="AG158" s="1"/>
      <c r="AH158" s="43"/>
      <c r="AI158" s="43"/>
      <c r="AJ158" s="43"/>
      <c r="AK158" s="37" t="s">
        <v>5543</v>
      </c>
      <c r="AL158" s="47"/>
      <c r="AM158" s="74">
        <f t="shared" si="7"/>
        <v>16190.007163323786</v>
      </c>
    </row>
    <row r="159" spans="1:39" ht="39" hidden="1" customHeight="1">
      <c r="A159" s="194">
        <v>27434540</v>
      </c>
      <c r="B159" s="139"/>
      <c r="C159" s="148">
        <v>44761</v>
      </c>
      <c r="D159" s="60" t="s">
        <v>5544</v>
      </c>
      <c r="E159" s="60" t="s">
        <v>5545</v>
      </c>
      <c r="F159" s="140">
        <v>3.8386694090737399E+20</v>
      </c>
      <c r="G159" s="141">
        <v>650000</v>
      </c>
      <c r="H159" s="141"/>
      <c r="I159" s="139" t="s">
        <v>321</v>
      </c>
      <c r="J159" s="139" t="s">
        <v>890</v>
      </c>
      <c r="K159" s="139" t="s">
        <v>5546</v>
      </c>
      <c r="L159" s="142">
        <v>46.429001999999997</v>
      </c>
      <c r="M159" s="143">
        <v>-71.368572</v>
      </c>
      <c r="N159" s="144">
        <v>87.94</v>
      </c>
      <c r="O159" s="139" t="s">
        <v>18</v>
      </c>
      <c r="P159" s="60" t="s">
        <v>154</v>
      </c>
      <c r="Q159" s="439">
        <v>4</v>
      </c>
      <c r="R159" s="60" t="s">
        <v>4801</v>
      </c>
      <c r="S159" s="139">
        <v>17</v>
      </c>
      <c r="T159" s="139" t="s">
        <v>4596</v>
      </c>
      <c r="U159" s="139"/>
      <c r="V159" s="139"/>
      <c r="W159" s="139"/>
      <c r="X159" s="141"/>
      <c r="Y159" s="144">
        <v>70.94</v>
      </c>
      <c r="Z159" s="144"/>
      <c r="AA159" s="145"/>
      <c r="AB159" s="139"/>
      <c r="AC159" s="146"/>
      <c r="AD159" s="141"/>
      <c r="AE159" s="158"/>
      <c r="AF159" s="144"/>
      <c r="AG159" s="141"/>
      <c r="AH159" s="139"/>
      <c r="AI159" s="139"/>
      <c r="AJ159" s="139"/>
      <c r="AK159" s="60" t="s">
        <v>5547</v>
      </c>
      <c r="AL159" s="60"/>
      <c r="AM159" s="141">
        <f t="shared" si="7"/>
        <v>7391.4032294746421</v>
      </c>
    </row>
    <row r="160" spans="1:39" ht="39" hidden="1" customHeight="1">
      <c r="A160" s="187">
        <v>27439015</v>
      </c>
      <c r="B160" s="43"/>
      <c r="C160" s="51">
        <v>44763</v>
      </c>
      <c r="D160" s="37" t="s">
        <v>5548</v>
      </c>
      <c r="E160" s="37" t="s">
        <v>5549</v>
      </c>
      <c r="F160" s="45" t="s">
        <v>5550</v>
      </c>
      <c r="G160" s="1">
        <v>1000000</v>
      </c>
      <c r="H160" s="1"/>
      <c r="I160" s="43" t="s">
        <v>48</v>
      </c>
      <c r="J160" s="43" t="s">
        <v>1367</v>
      </c>
      <c r="K160" s="43" t="s">
        <v>1368</v>
      </c>
      <c r="L160" s="4" t="s">
        <v>5551</v>
      </c>
      <c r="M160" s="7" t="s">
        <v>5552</v>
      </c>
      <c r="N160" s="46">
        <v>21.22</v>
      </c>
      <c r="O160" s="43" t="s">
        <v>18</v>
      </c>
      <c r="P160" s="47" t="s">
        <v>206</v>
      </c>
      <c r="Q160" s="267">
        <v>2</v>
      </c>
      <c r="R160" s="47" t="s">
        <v>4669</v>
      </c>
      <c r="S160" s="43">
        <v>19.5</v>
      </c>
      <c r="T160" s="43" t="s">
        <v>4596</v>
      </c>
      <c r="U160" s="43"/>
      <c r="V160" s="43"/>
      <c r="W160" s="43"/>
      <c r="X160" s="1"/>
      <c r="Y160" s="46">
        <v>0</v>
      </c>
      <c r="Z160" s="46"/>
      <c r="AA160" s="2"/>
      <c r="AB160" s="43"/>
      <c r="AC160" s="87"/>
      <c r="AD160" s="1"/>
      <c r="AE160" s="3"/>
      <c r="AF160" s="46"/>
      <c r="AG160" s="1"/>
      <c r="AH160" s="43"/>
      <c r="AI160" s="43"/>
      <c r="AJ160" s="43"/>
      <c r="AK160" s="37" t="s">
        <v>5553</v>
      </c>
      <c r="AL160" s="47"/>
      <c r="AM160" s="49">
        <f t="shared" si="7"/>
        <v>47125.3534401508</v>
      </c>
    </row>
    <row r="161" spans="1:41" ht="39" customHeight="1">
      <c r="A161" s="187">
        <v>27453875</v>
      </c>
      <c r="B161" s="43"/>
      <c r="C161" s="51">
        <v>44769</v>
      </c>
      <c r="D161" s="37" t="s">
        <v>5554</v>
      </c>
      <c r="E161" s="37" t="s">
        <v>5555</v>
      </c>
      <c r="F161" s="45">
        <v>6469749</v>
      </c>
      <c r="G161" s="16" t="s">
        <v>5556</v>
      </c>
      <c r="H161" s="16"/>
      <c r="I161" s="43"/>
      <c r="J161" s="43" t="s">
        <v>5154</v>
      </c>
      <c r="K161" s="43">
        <v>0</v>
      </c>
      <c r="L161" s="25"/>
      <c r="M161" s="26"/>
      <c r="N161" s="46"/>
      <c r="O161" s="43"/>
      <c r="P161" s="47"/>
      <c r="Q161" s="267"/>
      <c r="R161" s="47"/>
      <c r="S161" s="43"/>
      <c r="T161" s="43"/>
      <c r="U161" s="43"/>
      <c r="V161" s="43"/>
      <c r="W161" s="43"/>
      <c r="X161" s="16"/>
      <c r="Y161" s="46"/>
      <c r="Z161" s="46"/>
      <c r="AA161" s="102"/>
      <c r="AB161" s="43"/>
      <c r="AC161" s="87"/>
      <c r="AD161" s="16"/>
      <c r="AE161" s="103"/>
      <c r="AF161" s="46"/>
      <c r="AG161" s="16"/>
      <c r="AH161" s="43"/>
      <c r="AI161" s="43"/>
      <c r="AJ161" s="43" t="s">
        <v>5557</v>
      </c>
      <c r="AK161" s="37"/>
      <c r="AL161" s="47"/>
      <c r="AM161" s="74" t="e">
        <f t="shared" si="7"/>
        <v>#VALUE!</v>
      </c>
    </row>
    <row r="162" spans="1:41" ht="39" customHeight="1">
      <c r="A162" s="187">
        <v>27456873</v>
      </c>
      <c r="B162" s="43"/>
      <c r="C162" s="51">
        <v>44769</v>
      </c>
      <c r="D162" s="37" t="s">
        <v>5558</v>
      </c>
      <c r="E162" s="37" t="s">
        <v>5559</v>
      </c>
      <c r="F162" s="45">
        <v>6505079</v>
      </c>
      <c r="G162" s="16" t="s">
        <v>5560</v>
      </c>
      <c r="H162" s="16"/>
      <c r="I162" s="43"/>
      <c r="J162" s="43" t="s">
        <v>5561</v>
      </c>
      <c r="K162" s="43">
        <v>0</v>
      </c>
      <c r="L162" s="25"/>
      <c r="M162" s="26"/>
      <c r="N162" s="46"/>
      <c r="O162" s="43"/>
      <c r="P162" s="47"/>
      <c r="Q162" s="267"/>
      <c r="R162" s="47"/>
      <c r="S162" s="43"/>
      <c r="T162" s="43"/>
      <c r="U162" s="43"/>
      <c r="V162" s="43"/>
      <c r="W162" s="43"/>
      <c r="X162" s="16"/>
      <c r="Y162" s="46"/>
      <c r="Z162" s="46"/>
      <c r="AA162" s="102"/>
      <c r="AB162" s="43"/>
      <c r="AC162" s="87"/>
      <c r="AD162" s="16"/>
      <c r="AE162" s="103"/>
      <c r="AF162" s="46"/>
      <c r="AG162" s="16"/>
      <c r="AH162" s="43"/>
      <c r="AI162" s="43"/>
      <c r="AJ162" s="43" t="s">
        <v>5562</v>
      </c>
      <c r="AK162" s="37"/>
      <c r="AL162" s="47"/>
      <c r="AM162" s="74" t="e">
        <f t="shared" si="7"/>
        <v>#VALUE!</v>
      </c>
    </row>
    <row r="163" spans="1:41" ht="39" hidden="1" customHeight="1">
      <c r="A163" s="226">
        <v>27797544</v>
      </c>
      <c r="B163" s="66"/>
      <c r="C163" s="320">
        <v>44786</v>
      </c>
      <c r="D163" s="68" t="s">
        <v>5563</v>
      </c>
      <c r="E163" s="68" t="s">
        <v>5564</v>
      </c>
      <c r="F163" s="69">
        <v>5617589</v>
      </c>
      <c r="G163" s="59">
        <v>125000</v>
      </c>
      <c r="I163" s="67" t="s">
        <v>75</v>
      </c>
      <c r="J163" s="67" t="s">
        <v>5565</v>
      </c>
      <c r="K163" s="67" t="s">
        <v>5566</v>
      </c>
      <c r="L163" s="96" t="s">
        <v>5567</v>
      </c>
      <c r="M163" s="245" t="s">
        <v>5568</v>
      </c>
      <c r="N163" s="70">
        <v>11.61</v>
      </c>
      <c r="O163" s="67" t="s">
        <v>36</v>
      </c>
      <c r="P163" s="71" t="s">
        <v>206</v>
      </c>
      <c r="Q163" s="430">
        <v>3</v>
      </c>
      <c r="R163" s="66" t="s">
        <v>155</v>
      </c>
      <c r="S163" s="28">
        <f>8.6+1.5</f>
        <v>10.1</v>
      </c>
      <c r="T163" s="67" t="s">
        <v>4596</v>
      </c>
      <c r="U163" s="66">
        <v>0</v>
      </c>
      <c r="V163" s="67" t="s">
        <v>5029</v>
      </c>
      <c r="W163" s="67"/>
      <c r="X163" s="94" t="s">
        <v>5569</v>
      </c>
      <c r="Y163" s="123">
        <v>0.83</v>
      </c>
      <c r="Z163" s="123"/>
      <c r="AB163" s="66"/>
      <c r="AC163" s="124"/>
      <c r="AF163" s="123"/>
      <c r="AH163" s="66"/>
      <c r="AI163" s="66"/>
      <c r="AJ163" s="66"/>
      <c r="AK163" s="37"/>
      <c r="AL163" s="47"/>
      <c r="AM163" s="74">
        <f t="shared" si="7"/>
        <v>10766.580534022394</v>
      </c>
    </row>
    <row r="164" spans="1:41" ht="39" hidden="1" customHeight="1">
      <c r="A164" s="187">
        <v>27637937</v>
      </c>
      <c r="B164" s="43"/>
      <c r="C164" s="51">
        <v>44788</v>
      </c>
      <c r="D164" s="37" t="s">
        <v>5570</v>
      </c>
      <c r="E164" s="37" t="s">
        <v>5571</v>
      </c>
      <c r="F164" s="45" t="s">
        <v>5572</v>
      </c>
      <c r="G164" s="16">
        <v>228000</v>
      </c>
      <c r="H164" s="16"/>
      <c r="I164" s="43" t="s">
        <v>4880</v>
      </c>
      <c r="J164" s="43" t="s">
        <v>5573</v>
      </c>
      <c r="K164" s="43" t="s">
        <v>5574</v>
      </c>
      <c r="L164" s="25">
        <v>46.539827000000002</v>
      </c>
      <c r="M164" s="25">
        <v>-71.044137000000006</v>
      </c>
      <c r="N164" s="46">
        <v>11.92</v>
      </c>
      <c r="O164" s="43" t="s">
        <v>18</v>
      </c>
      <c r="P164" s="47" t="s">
        <v>206</v>
      </c>
      <c r="Q164" s="442">
        <v>3</v>
      </c>
      <c r="R164" s="47" t="s">
        <v>155</v>
      </c>
      <c r="S164" s="43">
        <v>8.5</v>
      </c>
      <c r="T164" s="43" t="s">
        <v>4596</v>
      </c>
      <c r="U164" s="43" t="s">
        <v>18</v>
      </c>
      <c r="V164" s="43" t="s">
        <v>5029</v>
      </c>
      <c r="W164" s="43"/>
      <c r="X164" s="16" t="s">
        <v>5575</v>
      </c>
      <c r="Y164" s="46">
        <v>3.42</v>
      </c>
      <c r="Z164" s="46"/>
      <c r="AA164" s="102"/>
      <c r="AB164" s="43"/>
      <c r="AC164" s="87"/>
      <c r="AD164" s="16"/>
      <c r="AE164" s="103"/>
      <c r="AF164" s="46"/>
      <c r="AG164" s="16"/>
      <c r="AH164" s="43"/>
      <c r="AI164" s="43"/>
      <c r="AJ164" s="43"/>
      <c r="AK164" s="37" t="s">
        <v>5576</v>
      </c>
      <c r="AL164" s="47"/>
      <c r="AM164" s="49">
        <f t="shared" si="7"/>
        <v>19127.516778523492</v>
      </c>
    </row>
    <row r="165" spans="1:41" ht="39" hidden="1" customHeight="1">
      <c r="A165" s="187">
        <v>27614347</v>
      </c>
      <c r="B165" s="43"/>
      <c r="C165" s="51">
        <v>44800</v>
      </c>
      <c r="D165" s="37" t="s">
        <v>5577</v>
      </c>
      <c r="E165" s="37" t="s">
        <v>5578</v>
      </c>
      <c r="F165" s="45" t="s">
        <v>5579</v>
      </c>
      <c r="G165" s="1">
        <v>400000</v>
      </c>
      <c r="H165" s="1"/>
      <c r="I165" s="43" t="s">
        <v>654</v>
      </c>
      <c r="J165" s="43" t="s">
        <v>883</v>
      </c>
      <c r="K165" s="43" t="s">
        <v>5580</v>
      </c>
      <c r="L165" s="4" t="s">
        <v>5581</v>
      </c>
      <c r="M165" s="7" t="s">
        <v>5582</v>
      </c>
      <c r="N165" s="46">
        <v>27.97</v>
      </c>
      <c r="O165" s="43" t="s">
        <v>18</v>
      </c>
      <c r="P165" s="47" t="s">
        <v>206</v>
      </c>
      <c r="Q165" s="442">
        <v>4</v>
      </c>
      <c r="R165" s="47" t="s">
        <v>5583</v>
      </c>
      <c r="S165" s="43">
        <v>15.8</v>
      </c>
      <c r="T165" s="43" t="s">
        <v>4596</v>
      </c>
      <c r="U165" s="43"/>
      <c r="V165" s="43"/>
      <c r="W165" s="43"/>
      <c r="X165" s="1"/>
      <c r="Y165" s="46">
        <v>9.17</v>
      </c>
      <c r="Z165" s="46"/>
      <c r="AA165" s="2"/>
      <c r="AB165" s="43"/>
      <c r="AC165" s="87"/>
      <c r="AD165" s="1"/>
      <c r="AE165" s="3"/>
      <c r="AF165" s="46"/>
      <c r="AG165" s="1"/>
      <c r="AH165" s="43"/>
      <c r="AI165" s="43"/>
      <c r="AJ165" s="43"/>
      <c r="AK165" s="37"/>
      <c r="AL165" s="47"/>
      <c r="AM165" s="74">
        <f t="shared" si="7"/>
        <v>14301.036825169826</v>
      </c>
    </row>
    <row r="166" spans="1:41" ht="39" customHeight="1">
      <c r="A166" s="187">
        <v>27525112</v>
      </c>
      <c r="B166" s="43"/>
      <c r="C166" s="51">
        <v>44803</v>
      </c>
      <c r="D166" s="37" t="s">
        <v>5584</v>
      </c>
      <c r="E166" s="37" t="s">
        <v>5585</v>
      </c>
      <c r="F166" s="45" t="s">
        <v>5586</v>
      </c>
      <c r="G166" s="16" t="s">
        <v>5587</v>
      </c>
      <c r="H166" s="16"/>
      <c r="I166" s="43" t="s">
        <v>4911</v>
      </c>
      <c r="J166" s="43" t="s">
        <v>4912</v>
      </c>
      <c r="K166" s="43">
        <v>0</v>
      </c>
      <c r="L166" s="25"/>
      <c r="M166" s="26"/>
      <c r="N166" s="46"/>
      <c r="O166" s="43"/>
      <c r="P166" s="47"/>
      <c r="Q166" s="267"/>
      <c r="R166" s="47"/>
      <c r="S166" s="43"/>
      <c r="T166" s="43"/>
      <c r="U166" s="43"/>
      <c r="V166" s="43"/>
      <c r="W166" s="43"/>
      <c r="X166" s="16"/>
      <c r="Y166" s="46"/>
      <c r="Z166" s="46"/>
      <c r="AA166" s="102"/>
      <c r="AB166" s="43"/>
      <c r="AC166" s="87"/>
      <c r="AD166" s="16"/>
      <c r="AE166" s="103"/>
      <c r="AF166" s="46"/>
      <c r="AG166" s="16"/>
      <c r="AH166" s="43"/>
      <c r="AI166" s="43"/>
      <c r="AJ166" s="43" t="s">
        <v>5588</v>
      </c>
      <c r="AK166" s="37"/>
      <c r="AL166" s="47"/>
      <c r="AM166" s="74" t="e">
        <f t="shared" si="7"/>
        <v>#VALUE!</v>
      </c>
    </row>
    <row r="167" spans="1:41" ht="39" hidden="1" customHeight="1">
      <c r="A167" s="187">
        <v>27650994</v>
      </c>
      <c r="C167" s="321">
        <v>44805</v>
      </c>
      <c r="D167" s="37" t="s">
        <v>5589</v>
      </c>
      <c r="E167" s="37" t="s">
        <v>5590</v>
      </c>
      <c r="F167" s="45" t="s">
        <v>5591</v>
      </c>
      <c r="G167" s="94">
        <v>160000</v>
      </c>
      <c r="I167" s="43" t="s">
        <v>4880</v>
      </c>
      <c r="J167" s="43" t="s">
        <v>5573</v>
      </c>
      <c r="K167" s="43" t="s">
        <v>5574</v>
      </c>
      <c r="L167" s="96">
        <v>46.563676999999998</v>
      </c>
      <c r="M167" s="96">
        <v>-70.992703000000006</v>
      </c>
      <c r="N167" s="127">
        <v>6.55</v>
      </c>
      <c r="O167" s="43" t="s">
        <v>36</v>
      </c>
      <c r="P167" s="47" t="s">
        <v>4739</v>
      </c>
      <c r="Q167" s="442">
        <v>4</v>
      </c>
      <c r="R167" s="47" t="s">
        <v>155</v>
      </c>
      <c r="S167" s="43">
        <v>6.5</v>
      </c>
      <c r="T167" s="43" t="s">
        <v>5103</v>
      </c>
      <c r="U167" s="43" t="s">
        <v>5592</v>
      </c>
      <c r="V167" s="43" t="s">
        <v>5029</v>
      </c>
      <c r="W167" s="43"/>
      <c r="X167" s="94" t="s">
        <v>5593</v>
      </c>
      <c r="Y167" s="63">
        <v>0</v>
      </c>
      <c r="AK167" s="37" t="s">
        <v>5594</v>
      </c>
      <c r="AL167" s="47"/>
      <c r="AM167" s="49">
        <f t="shared" si="7"/>
        <v>24427.480916030534</v>
      </c>
    </row>
    <row r="168" spans="1:41" ht="39" customHeight="1">
      <c r="A168" s="187">
        <v>27556982</v>
      </c>
      <c r="B168" s="43"/>
      <c r="C168" s="51">
        <v>44817</v>
      </c>
      <c r="D168" s="37" t="s">
        <v>5595</v>
      </c>
      <c r="E168" s="37" t="s">
        <v>5596</v>
      </c>
      <c r="F168" s="45">
        <v>2047664</v>
      </c>
      <c r="G168" s="16" t="s">
        <v>5597</v>
      </c>
      <c r="H168" s="16"/>
      <c r="I168" s="43" t="s">
        <v>4911</v>
      </c>
      <c r="J168" s="43" t="s">
        <v>4912</v>
      </c>
      <c r="K168" s="43" t="s">
        <v>5598</v>
      </c>
      <c r="L168" s="25"/>
      <c r="M168" s="26"/>
      <c r="N168" s="46"/>
      <c r="O168" s="43"/>
      <c r="P168" s="47"/>
      <c r="Q168" s="267"/>
      <c r="R168" s="47"/>
      <c r="S168" s="43"/>
      <c r="T168" s="43"/>
      <c r="U168" s="43"/>
      <c r="V168" s="43"/>
      <c r="W168" s="43"/>
      <c r="X168" s="16"/>
      <c r="Y168" s="46"/>
      <c r="Z168" s="46"/>
      <c r="AA168" s="102"/>
      <c r="AB168" s="43"/>
      <c r="AC168" s="87"/>
      <c r="AD168" s="16"/>
      <c r="AE168" s="103"/>
      <c r="AF168" s="46"/>
      <c r="AG168" s="16"/>
      <c r="AH168" s="43"/>
      <c r="AI168" s="43"/>
      <c r="AJ168" s="43" t="s">
        <v>5599</v>
      </c>
      <c r="AK168" s="37"/>
      <c r="AL168" s="47"/>
      <c r="AM168" s="74" t="e">
        <f t="shared" si="7"/>
        <v>#VALUE!</v>
      </c>
    </row>
    <row r="169" spans="1:41" ht="39" hidden="1" customHeight="1">
      <c r="A169" s="187">
        <v>27672257</v>
      </c>
      <c r="C169" s="321">
        <v>44824</v>
      </c>
      <c r="D169" s="37" t="s">
        <v>5570</v>
      </c>
      <c r="E169" s="37" t="s">
        <v>5600</v>
      </c>
      <c r="F169" s="45" t="s">
        <v>5601</v>
      </c>
      <c r="G169" s="94">
        <v>280000</v>
      </c>
      <c r="I169" s="43" t="s">
        <v>4880</v>
      </c>
      <c r="J169" s="43" t="s">
        <v>5573</v>
      </c>
      <c r="K169" s="43" t="s">
        <v>5574</v>
      </c>
      <c r="L169" s="96">
        <v>46.544794000000003</v>
      </c>
      <c r="M169" s="96">
        <v>-71.034712999999996</v>
      </c>
      <c r="N169" s="63">
        <v>10.76</v>
      </c>
      <c r="O169" s="43" t="s">
        <v>764</v>
      </c>
      <c r="P169" s="47" t="s">
        <v>4739</v>
      </c>
      <c r="Q169" s="442">
        <v>3</v>
      </c>
      <c r="R169" s="47" t="s">
        <v>155</v>
      </c>
      <c r="S169" s="43">
        <v>10</v>
      </c>
      <c r="T169" s="43" t="s">
        <v>4596</v>
      </c>
      <c r="U169" s="43" t="s">
        <v>36</v>
      </c>
      <c r="V169" s="43" t="s">
        <v>5029</v>
      </c>
      <c r="W169" s="43"/>
      <c r="X169" s="94" t="s">
        <v>5602</v>
      </c>
      <c r="Y169" s="63">
        <v>0</v>
      </c>
      <c r="AK169" s="37" t="s">
        <v>5603</v>
      </c>
      <c r="AL169" s="47"/>
      <c r="AM169" s="74">
        <f t="shared" si="7"/>
        <v>26022.304832713755</v>
      </c>
    </row>
    <row r="170" spans="1:41" ht="39" hidden="1" customHeight="1">
      <c r="A170" s="187">
        <v>27772801</v>
      </c>
      <c r="B170" s="43"/>
      <c r="C170" s="51">
        <v>44826</v>
      </c>
      <c r="D170" s="37" t="s">
        <v>5604</v>
      </c>
      <c r="E170" s="37" t="s">
        <v>5018</v>
      </c>
      <c r="F170" s="43">
        <v>6282258</v>
      </c>
      <c r="G170" s="1">
        <v>350000</v>
      </c>
      <c r="H170" s="1"/>
      <c r="I170" s="43" t="s">
        <v>149</v>
      </c>
      <c r="J170" s="43" t="s">
        <v>5020</v>
      </c>
      <c r="K170" s="43" t="s">
        <v>5021</v>
      </c>
      <c r="L170" s="4" t="s">
        <v>5605</v>
      </c>
      <c r="M170" s="4" t="s">
        <v>5606</v>
      </c>
      <c r="N170" s="46">
        <v>9.7100000000000009</v>
      </c>
      <c r="O170" s="5" t="s">
        <v>18</v>
      </c>
      <c r="P170" s="12" t="s">
        <v>206</v>
      </c>
      <c r="Q170" s="442">
        <v>3</v>
      </c>
      <c r="R170" s="47" t="s">
        <v>155</v>
      </c>
      <c r="S170" s="43">
        <v>7.8</v>
      </c>
      <c r="T170" s="43" t="s">
        <v>4596</v>
      </c>
      <c r="U170" s="43"/>
      <c r="V170" s="43"/>
      <c r="W170" s="43"/>
      <c r="X170" s="1"/>
      <c r="Y170" s="46">
        <v>1.2</v>
      </c>
      <c r="Z170" s="46"/>
      <c r="AA170" s="2"/>
      <c r="AB170" s="43"/>
      <c r="AC170" s="87"/>
      <c r="AD170" s="1"/>
      <c r="AE170" s="3"/>
      <c r="AF170" s="46"/>
      <c r="AG170" s="1"/>
      <c r="AH170" s="43"/>
      <c r="AI170" s="43"/>
      <c r="AJ170" s="43"/>
      <c r="AK170" s="37"/>
      <c r="AL170" s="47"/>
      <c r="AM170" s="49">
        <f t="shared" si="7"/>
        <v>36045.314109165804</v>
      </c>
    </row>
    <row r="171" spans="1:41" ht="39" hidden="1" customHeight="1">
      <c r="A171" s="187">
        <v>27585751</v>
      </c>
      <c r="B171" s="43"/>
      <c r="C171" s="51">
        <v>44830</v>
      </c>
      <c r="D171" s="37" t="s">
        <v>5607</v>
      </c>
      <c r="E171" s="37" t="s">
        <v>5608</v>
      </c>
      <c r="F171" s="45">
        <v>1673995</v>
      </c>
      <c r="G171" s="16">
        <v>1400000</v>
      </c>
      <c r="H171" s="16"/>
      <c r="I171" t="s">
        <v>4911</v>
      </c>
      <c r="J171" s="43" t="s">
        <v>1178</v>
      </c>
      <c r="K171" s="43" t="s">
        <v>5609</v>
      </c>
      <c r="L171" s="25"/>
      <c r="M171" s="26"/>
      <c r="N171" s="46">
        <v>10.75</v>
      </c>
      <c r="O171" s="43"/>
      <c r="P171" s="47"/>
      <c r="Q171" s="267" t="s">
        <v>5610</v>
      </c>
      <c r="R171" s="47"/>
      <c r="S171" s="43">
        <v>9.4</v>
      </c>
      <c r="T171" s="43"/>
      <c r="U171" s="43"/>
      <c r="V171" s="43"/>
      <c r="W171" s="43"/>
      <c r="X171" s="16"/>
      <c r="Y171" s="46">
        <v>1.3499999999999996</v>
      </c>
      <c r="Z171" s="46"/>
      <c r="AA171" s="102"/>
      <c r="AB171" s="43"/>
      <c r="AC171" s="87"/>
      <c r="AD171" s="16"/>
      <c r="AE171" s="103"/>
      <c r="AF171" s="46"/>
      <c r="AG171" s="16"/>
      <c r="AH171" s="43"/>
      <c r="AI171" s="43"/>
      <c r="AJ171" s="43" t="s">
        <v>5611</v>
      </c>
      <c r="AK171" s="37"/>
      <c r="AL171" s="47"/>
      <c r="AM171" s="74">
        <f t="shared" si="7"/>
        <v>130232.55813953489</v>
      </c>
    </row>
    <row r="172" spans="1:41" ht="39" hidden="1" customHeight="1">
      <c r="A172" s="187">
        <v>27584168</v>
      </c>
      <c r="B172" s="43"/>
      <c r="C172" s="51">
        <v>44830</v>
      </c>
      <c r="D172" s="37" t="s">
        <v>5612</v>
      </c>
      <c r="E172" s="37" t="s">
        <v>5613</v>
      </c>
      <c r="F172" s="45" t="s">
        <v>5614</v>
      </c>
      <c r="G172" s="1">
        <f>134000+35000</f>
        <v>169000</v>
      </c>
      <c r="H172" s="1"/>
      <c r="I172" s="43" t="s">
        <v>602</v>
      </c>
      <c r="J172" s="43" t="s">
        <v>5393</v>
      </c>
      <c r="K172" s="43" t="s">
        <v>5615</v>
      </c>
      <c r="L172" s="4" t="s">
        <v>5616</v>
      </c>
      <c r="M172" s="7" t="s">
        <v>5617</v>
      </c>
      <c r="N172" s="46">
        <f>1.19+14.08+10.76</f>
        <v>26.03</v>
      </c>
      <c r="O172" s="43" t="s">
        <v>18</v>
      </c>
      <c r="P172" s="47" t="s">
        <v>949</v>
      </c>
      <c r="Q172" s="267" t="s">
        <v>4771</v>
      </c>
      <c r="R172" s="47" t="s">
        <v>4801</v>
      </c>
      <c r="S172" s="43">
        <f>9.1+0.9+0.8+0.3</f>
        <v>11.100000000000001</v>
      </c>
      <c r="T172" s="43" t="s">
        <v>4828</v>
      </c>
      <c r="U172" s="43">
        <v>0</v>
      </c>
      <c r="V172" s="43" t="s">
        <v>4628</v>
      </c>
      <c r="W172" s="43"/>
      <c r="X172" s="1"/>
      <c r="Y172" s="46">
        <v>13.5</v>
      </c>
      <c r="Z172" s="46"/>
      <c r="AA172" s="2"/>
      <c r="AB172" s="43"/>
      <c r="AC172" s="87"/>
      <c r="AD172" s="1"/>
      <c r="AE172" s="3"/>
      <c r="AF172" s="46"/>
      <c r="AG172" s="1"/>
      <c r="AH172" s="43"/>
      <c r="AI172" s="43"/>
      <c r="AJ172" s="43"/>
      <c r="AK172" s="37"/>
      <c r="AL172" s="47"/>
      <c r="AM172" s="74">
        <f t="shared" si="7"/>
        <v>6492.5086438724547</v>
      </c>
    </row>
    <row r="173" spans="1:41" ht="39" customHeight="1">
      <c r="A173" s="187">
        <v>27588052</v>
      </c>
      <c r="B173" s="43"/>
      <c r="C173" s="51">
        <v>44831</v>
      </c>
      <c r="D173" s="37" t="s">
        <v>5618</v>
      </c>
      <c r="E173" s="37" t="s">
        <v>5584</v>
      </c>
      <c r="F173" s="45">
        <v>2047271</v>
      </c>
      <c r="G173" s="16" t="s">
        <v>5619</v>
      </c>
      <c r="H173" s="16"/>
      <c r="I173" s="43" t="s">
        <v>4911</v>
      </c>
      <c r="J173" s="43" t="s">
        <v>4912</v>
      </c>
      <c r="K173" s="43">
        <v>0</v>
      </c>
      <c r="L173" s="25"/>
      <c r="M173" s="26"/>
      <c r="N173" s="46"/>
      <c r="O173" s="43"/>
      <c r="P173" s="47"/>
      <c r="Q173" s="267"/>
      <c r="R173" s="47"/>
      <c r="S173" s="43"/>
      <c r="T173" s="43"/>
      <c r="U173" s="43"/>
      <c r="V173" s="43"/>
      <c r="W173" s="43"/>
      <c r="X173" s="16"/>
      <c r="Y173" s="46"/>
      <c r="Z173" s="46"/>
      <c r="AA173" s="102"/>
      <c r="AB173" s="43"/>
      <c r="AC173" s="87"/>
      <c r="AD173" s="16"/>
      <c r="AE173" s="103"/>
      <c r="AF173" s="46"/>
      <c r="AG173" s="16"/>
      <c r="AH173" s="43"/>
      <c r="AI173" s="43"/>
      <c r="AJ173" s="43" t="s">
        <v>5588</v>
      </c>
      <c r="AK173" s="37"/>
      <c r="AL173" s="47"/>
      <c r="AM173" s="74" t="e">
        <f t="shared" si="7"/>
        <v>#VALUE!</v>
      </c>
    </row>
    <row r="174" spans="1:41" ht="39" hidden="1" customHeight="1">
      <c r="A174" s="187">
        <v>27757141</v>
      </c>
      <c r="B174" s="43"/>
      <c r="C174" s="51">
        <v>44832</v>
      </c>
      <c r="D174" s="37" t="s">
        <v>5620</v>
      </c>
      <c r="E174" s="37" t="s">
        <v>5621</v>
      </c>
      <c r="F174" s="45" t="s">
        <v>5622</v>
      </c>
      <c r="G174" s="16">
        <v>1450000</v>
      </c>
      <c r="H174" s="16"/>
      <c r="I174" s="43" t="s">
        <v>4911</v>
      </c>
      <c r="J174" s="43" t="s">
        <v>5419</v>
      </c>
      <c r="K174" s="43" t="s">
        <v>5623</v>
      </c>
      <c r="L174" s="25"/>
      <c r="M174" s="26"/>
      <c r="N174" s="46">
        <v>22.619999999999997</v>
      </c>
      <c r="O174" s="43" t="s">
        <v>4996</v>
      </c>
      <c r="P174" s="47"/>
      <c r="Q174" s="267" t="s">
        <v>5624</v>
      </c>
      <c r="R174" s="47"/>
      <c r="S174" s="43">
        <v>20.3</v>
      </c>
      <c r="T174" s="43"/>
      <c r="U174" s="43">
        <v>20.3</v>
      </c>
      <c r="V174" s="43" t="s">
        <v>5288</v>
      </c>
      <c r="W174" s="43"/>
      <c r="X174" s="16"/>
      <c r="Y174" s="46">
        <v>2.3199999999999967</v>
      </c>
      <c r="Z174" s="46"/>
      <c r="AA174" s="102"/>
      <c r="AB174" s="43"/>
      <c r="AC174" s="87"/>
      <c r="AD174" s="16"/>
      <c r="AE174" s="103"/>
      <c r="AF174" s="46"/>
      <c r="AG174" s="16"/>
      <c r="AH174" s="43"/>
      <c r="AI174" s="43"/>
      <c r="AJ174" s="43" t="s">
        <v>5150</v>
      </c>
      <c r="AK174" s="37">
        <v>0</v>
      </c>
      <c r="AL174" s="47"/>
      <c r="AM174" s="74">
        <f t="shared" si="7"/>
        <v>64102.564102564109</v>
      </c>
    </row>
    <row r="175" spans="1:41" ht="39" customHeight="1">
      <c r="A175" s="187">
        <v>27613230</v>
      </c>
      <c r="B175" s="43"/>
      <c r="C175" s="51">
        <v>44840</v>
      </c>
      <c r="D175" s="37" t="s">
        <v>5625</v>
      </c>
      <c r="E175" s="37" t="s">
        <v>5626</v>
      </c>
      <c r="F175" s="45">
        <v>2799951</v>
      </c>
      <c r="G175" s="16">
        <v>2525000</v>
      </c>
      <c r="H175" s="16"/>
      <c r="I175" s="43"/>
      <c r="J175" s="43" t="s">
        <v>5627</v>
      </c>
      <c r="K175" s="43" t="s">
        <v>5628</v>
      </c>
      <c r="L175" s="25"/>
      <c r="M175" s="26"/>
      <c r="N175" s="46"/>
      <c r="O175" s="43"/>
      <c r="P175" s="47"/>
      <c r="Q175" s="267"/>
      <c r="R175" s="47"/>
      <c r="S175" s="43"/>
      <c r="T175" s="43"/>
      <c r="U175" s="43"/>
      <c r="V175" s="43"/>
      <c r="W175" s="43"/>
      <c r="X175" s="16"/>
      <c r="Y175" s="46"/>
      <c r="Z175" s="46"/>
      <c r="AA175" s="102"/>
      <c r="AB175" s="43"/>
      <c r="AC175" s="87"/>
      <c r="AD175" s="16"/>
      <c r="AE175" s="103"/>
      <c r="AF175" s="46"/>
      <c r="AG175" s="16"/>
      <c r="AH175" s="43"/>
      <c r="AI175" s="43"/>
      <c r="AJ175" s="43"/>
      <c r="AK175" s="37"/>
      <c r="AL175" s="47"/>
      <c r="AM175" s="74" t="e">
        <f t="shared" si="7"/>
        <v>#DIV/0!</v>
      </c>
      <c r="AO175">
        <f>(AM392-AM170)/AM170</f>
        <v>0.66220698051948057</v>
      </c>
    </row>
    <row r="176" spans="1:41" ht="39" hidden="1" customHeight="1">
      <c r="A176" s="187">
        <v>28162416</v>
      </c>
      <c r="B176" s="43"/>
      <c r="C176" s="51">
        <v>44856</v>
      </c>
      <c r="D176" s="37" t="s">
        <v>5629</v>
      </c>
      <c r="E176" s="37" t="s">
        <v>5630</v>
      </c>
      <c r="F176" s="43" t="s">
        <v>5631</v>
      </c>
      <c r="G176" s="1">
        <v>1321875</v>
      </c>
      <c r="H176" s="1"/>
      <c r="I176" s="43" t="s">
        <v>1075</v>
      </c>
      <c r="J176" s="43" t="s">
        <v>4903</v>
      </c>
      <c r="K176" s="5" t="s">
        <v>5632</v>
      </c>
      <c r="L176" s="4" t="s">
        <v>5633</v>
      </c>
      <c r="M176" s="4" t="s">
        <v>5634</v>
      </c>
      <c r="N176" s="46">
        <f>19.71+19.64</f>
        <v>39.35</v>
      </c>
      <c r="O176" s="5" t="s">
        <v>18</v>
      </c>
      <c r="P176" s="12" t="s">
        <v>206</v>
      </c>
      <c r="Q176" s="442" t="s">
        <v>4722</v>
      </c>
      <c r="R176" s="47" t="s">
        <v>4669</v>
      </c>
      <c r="S176" s="43">
        <f>6.3+12+6+6.3+0.7+0.6</f>
        <v>31.900000000000002</v>
      </c>
      <c r="T176" s="43" t="s">
        <v>4596</v>
      </c>
      <c r="U176" s="43">
        <f>Terre!$S50</f>
        <v>9.3000000000000007</v>
      </c>
      <c r="V176" s="43" t="s">
        <v>4837</v>
      </c>
      <c r="W176" s="43"/>
      <c r="X176" s="1"/>
      <c r="Y176" s="46">
        <v>5</v>
      </c>
      <c r="Z176" s="46"/>
      <c r="AA176" s="2"/>
      <c r="AB176" s="43"/>
      <c r="AC176" s="87"/>
      <c r="AD176" s="1"/>
      <c r="AE176" s="3"/>
      <c r="AF176" s="46" t="s">
        <v>5222</v>
      </c>
      <c r="AG176" s="1">
        <v>5000</v>
      </c>
      <c r="AH176" s="43" t="s">
        <v>4649</v>
      </c>
      <c r="AI176" s="43"/>
      <c r="AJ176" s="43"/>
      <c r="AK176" s="37"/>
      <c r="AL176" s="47"/>
      <c r="AM176" s="49">
        <f t="shared" si="7"/>
        <v>33592.757306226173</v>
      </c>
    </row>
    <row r="177" spans="1:39" ht="39" hidden="1" customHeight="1">
      <c r="A177" s="187">
        <v>27783164</v>
      </c>
      <c r="C177" s="321">
        <v>44858</v>
      </c>
      <c r="D177" s="37" t="s">
        <v>5635</v>
      </c>
      <c r="E177" s="37" t="s">
        <v>5636</v>
      </c>
      <c r="F177" s="45" t="s">
        <v>5637</v>
      </c>
      <c r="G177" s="94">
        <v>1400000</v>
      </c>
      <c r="I177" s="43" t="s">
        <v>4880</v>
      </c>
      <c r="J177" s="43" t="s">
        <v>1396</v>
      </c>
      <c r="K177" s="20" t="s">
        <v>5638</v>
      </c>
      <c r="L177" s="96">
        <v>46.528486999999998</v>
      </c>
      <c r="M177" s="96">
        <v>-71.064947000000004</v>
      </c>
      <c r="N177" s="127">
        <v>75.77</v>
      </c>
      <c r="O177" s="43" t="s">
        <v>18</v>
      </c>
      <c r="P177" s="47" t="s">
        <v>4702</v>
      </c>
      <c r="Q177" s="442">
        <v>3</v>
      </c>
      <c r="R177" s="47" t="s">
        <v>4669</v>
      </c>
      <c r="S177" s="43">
        <v>60</v>
      </c>
      <c r="T177" s="43" t="s">
        <v>4828</v>
      </c>
      <c r="U177" s="128">
        <v>24.05</v>
      </c>
      <c r="V177" s="43" t="s">
        <v>5029</v>
      </c>
      <c r="W177" s="43"/>
      <c r="X177" s="94" t="s">
        <v>5602</v>
      </c>
      <c r="Y177" s="63">
        <v>14.6</v>
      </c>
      <c r="AK177" s="37"/>
      <c r="AL177" s="47"/>
      <c r="AM177" s="74">
        <f t="shared" si="7"/>
        <v>18476.969776956579</v>
      </c>
    </row>
    <row r="178" spans="1:39" ht="39" hidden="1" customHeight="1">
      <c r="A178" s="187">
        <v>27657463</v>
      </c>
      <c r="C178" s="321">
        <v>44862</v>
      </c>
      <c r="D178" s="37" t="s">
        <v>5639</v>
      </c>
      <c r="E178" s="37" t="s">
        <v>5640</v>
      </c>
      <c r="F178" s="45" t="s">
        <v>5641</v>
      </c>
      <c r="G178" s="94">
        <v>725000</v>
      </c>
      <c r="I178" s="43" t="s">
        <v>4880</v>
      </c>
      <c r="J178" s="43" t="s">
        <v>1396</v>
      </c>
      <c r="K178" s="43" t="s">
        <v>5642</v>
      </c>
      <c r="L178" s="96">
        <v>46.470266000000002</v>
      </c>
      <c r="M178" s="96">
        <v>-71.077466000000001</v>
      </c>
      <c r="N178" s="127">
        <v>45.43</v>
      </c>
      <c r="O178" s="43" t="s">
        <v>36</v>
      </c>
      <c r="P178" s="47" t="s">
        <v>4702</v>
      </c>
      <c r="Q178" s="442">
        <v>5</v>
      </c>
      <c r="R178" s="47" t="s">
        <v>4620</v>
      </c>
      <c r="S178" s="43">
        <v>34.03</v>
      </c>
      <c r="T178" s="43" t="s">
        <v>4596</v>
      </c>
      <c r="U178" s="43">
        <v>6.3</v>
      </c>
      <c r="V178" s="43" t="s">
        <v>5029</v>
      </c>
      <c r="W178" s="43"/>
      <c r="X178" s="94" t="s">
        <v>5279</v>
      </c>
      <c r="Y178" s="63">
        <v>9.1999999999999993</v>
      </c>
      <c r="AK178" s="37"/>
      <c r="AL178" s="47" t="s">
        <v>5643</v>
      </c>
      <c r="AM178" s="49">
        <f t="shared" si="7"/>
        <v>15958.617653532909</v>
      </c>
    </row>
    <row r="179" spans="1:39" ht="39" hidden="1" customHeight="1">
      <c r="A179" s="187">
        <v>27662008</v>
      </c>
      <c r="B179" s="43" t="s">
        <v>4652</v>
      </c>
      <c r="C179" s="51">
        <v>44866</v>
      </c>
      <c r="D179" s="37" t="s">
        <v>5644</v>
      </c>
      <c r="E179" s="37" t="s">
        <v>5645</v>
      </c>
      <c r="F179" s="45" t="s">
        <v>5646</v>
      </c>
      <c r="G179" s="16">
        <v>500000</v>
      </c>
      <c r="H179" s="16" t="s">
        <v>4652</v>
      </c>
      <c r="I179" s="43" t="s">
        <v>39</v>
      </c>
      <c r="J179" s="43" t="s">
        <v>2446</v>
      </c>
      <c r="K179" s="43" t="s">
        <v>5647</v>
      </c>
      <c r="L179" s="25" t="s">
        <v>4652</v>
      </c>
      <c r="M179" s="26" t="s">
        <v>4652</v>
      </c>
      <c r="N179" s="46" t="s">
        <v>5648</v>
      </c>
      <c r="O179" s="43" t="s">
        <v>36</v>
      </c>
      <c r="P179" s="47" t="s">
        <v>4652</v>
      </c>
      <c r="Q179" s="267" t="s">
        <v>5649</v>
      </c>
      <c r="R179" s="47" t="s">
        <v>4652</v>
      </c>
      <c r="S179" s="43">
        <v>4.2</v>
      </c>
      <c r="T179" s="43" t="s">
        <v>4652</v>
      </c>
      <c r="U179" s="43" t="s">
        <v>5650</v>
      </c>
      <c r="V179" s="43" t="s">
        <v>4652</v>
      </c>
      <c r="W179" s="43"/>
      <c r="X179" s="16" t="s">
        <v>4652</v>
      </c>
      <c r="Y179" s="46" t="s">
        <v>5651</v>
      </c>
      <c r="Z179" s="46"/>
      <c r="AA179" s="102"/>
      <c r="AB179" s="43"/>
      <c r="AC179" s="87"/>
      <c r="AD179" s="16"/>
      <c r="AE179" s="103"/>
      <c r="AF179" s="46"/>
      <c r="AG179" s="16">
        <v>0</v>
      </c>
      <c r="AH179" s="43">
        <v>0</v>
      </c>
      <c r="AI179" s="43"/>
      <c r="AJ179" s="43"/>
      <c r="AK179" s="37"/>
      <c r="AL179" s="47">
        <v>0</v>
      </c>
      <c r="AM179" s="49">
        <f>Table3[[#This Row],[Prixdevente($)]]/Table3[[#This Row],[Superficie cultivée (ha)]]</f>
        <v>119047.61904761904</v>
      </c>
    </row>
    <row r="180" spans="1:39" ht="39" customHeight="1">
      <c r="A180" s="187">
        <v>27754056</v>
      </c>
      <c r="B180" s="43"/>
      <c r="C180" s="51">
        <v>44869</v>
      </c>
      <c r="D180" s="37" t="s">
        <v>5652</v>
      </c>
      <c r="E180" s="37" t="s">
        <v>5653</v>
      </c>
      <c r="F180" s="45" t="s">
        <v>5654</v>
      </c>
      <c r="G180" s="16" t="s">
        <v>5655</v>
      </c>
      <c r="H180" s="16"/>
      <c r="I180" s="43" t="s">
        <v>4911</v>
      </c>
      <c r="J180" s="43" t="s">
        <v>4912</v>
      </c>
      <c r="K180" s="43">
        <v>0</v>
      </c>
      <c r="L180" s="25"/>
      <c r="M180" s="26"/>
      <c r="N180" s="46"/>
      <c r="O180" s="43"/>
      <c r="P180" s="47"/>
      <c r="Q180" s="267"/>
      <c r="R180" s="47"/>
      <c r="S180" s="43"/>
      <c r="T180" s="43"/>
      <c r="U180" s="43"/>
      <c r="V180" s="43"/>
      <c r="W180" s="43"/>
      <c r="X180" s="16"/>
      <c r="Y180" s="46"/>
      <c r="Z180" s="46"/>
      <c r="AA180" s="102"/>
      <c r="AB180" s="43"/>
      <c r="AC180" s="87"/>
      <c r="AD180" s="16"/>
      <c r="AE180" s="103"/>
      <c r="AF180" s="46"/>
      <c r="AG180" s="16"/>
      <c r="AH180" s="43"/>
      <c r="AI180" s="43"/>
      <c r="AJ180" s="43" t="s">
        <v>5656</v>
      </c>
      <c r="AK180" s="37"/>
      <c r="AL180" s="47"/>
      <c r="AM180" s="74" t="e">
        <f t="shared" ref="AM180:AM216" si="8">G180/N180</f>
        <v>#VALUE!</v>
      </c>
    </row>
    <row r="181" spans="1:39" ht="39" customHeight="1">
      <c r="A181" s="187">
        <v>27681043</v>
      </c>
      <c r="B181" s="43"/>
      <c r="C181" s="51">
        <v>44874</v>
      </c>
      <c r="D181" s="37" t="s">
        <v>5657</v>
      </c>
      <c r="E181" s="37" t="s">
        <v>5658</v>
      </c>
      <c r="F181" s="45" t="s">
        <v>5659</v>
      </c>
      <c r="G181" s="16">
        <v>100000</v>
      </c>
      <c r="H181" s="16"/>
      <c r="I181" s="43"/>
      <c r="J181" s="43" t="s">
        <v>5463</v>
      </c>
      <c r="K181" s="43" t="s">
        <v>5228</v>
      </c>
      <c r="L181" s="25"/>
      <c r="M181" s="26"/>
      <c r="N181" s="46"/>
      <c r="O181" s="43"/>
      <c r="P181" s="47"/>
      <c r="Q181" s="267"/>
      <c r="R181" s="47"/>
      <c r="S181" s="43"/>
      <c r="T181" s="43"/>
      <c r="U181" s="43"/>
      <c r="V181" s="43"/>
      <c r="W181" s="43"/>
      <c r="X181" s="16"/>
      <c r="Y181" s="46"/>
      <c r="Z181" s="46"/>
      <c r="AA181" s="102"/>
      <c r="AB181" s="43"/>
      <c r="AC181" s="87"/>
      <c r="AD181" s="16"/>
      <c r="AE181" s="103"/>
      <c r="AF181" s="46"/>
      <c r="AG181" s="16"/>
      <c r="AH181" s="43"/>
      <c r="AI181" s="43"/>
      <c r="AJ181" s="43"/>
      <c r="AK181" s="37"/>
      <c r="AL181" s="47"/>
      <c r="AM181" s="74" t="e">
        <f t="shared" si="8"/>
        <v>#DIV/0!</v>
      </c>
    </row>
    <row r="182" spans="1:39" ht="39" hidden="1" customHeight="1">
      <c r="A182" s="190">
        <v>27876905</v>
      </c>
      <c r="B182" s="43"/>
      <c r="C182" s="51">
        <v>44876</v>
      </c>
      <c r="D182" s="43" t="s">
        <v>5660</v>
      </c>
      <c r="E182" s="43" t="s">
        <v>5661</v>
      </c>
      <c r="F182" s="45">
        <v>5256311</v>
      </c>
      <c r="G182" s="1">
        <v>240000</v>
      </c>
      <c r="H182" s="82"/>
      <c r="I182" s="43" t="s">
        <v>24</v>
      </c>
      <c r="J182" s="43" t="s">
        <v>5662</v>
      </c>
      <c r="K182" s="43" t="s">
        <v>5663</v>
      </c>
      <c r="L182" s="4" t="s">
        <v>5664</v>
      </c>
      <c r="M182" s="4" t="s">
        <v>5665</v>
      </c>
      <c r="N182" s="46">
        <v>25.29</v>
      </c>
      <c r="O182" s="43" t="s">
        <v>18</v>
      </c>
      <c r="P182" s="43" t="s">
        <v>384</v>
      </c>
      <c r="Q182" s="444">
        <v>4</v>
      </c>
      <c r="R182" s="43" t="s">
        <v>5387</v>
      </c>
      <c r="S182" s="43">
        <v>15.2</v>
      </c>
      <c r="T182" s="43" t="s">
        <v>5666</v>
      </c>
      <c r="U182" s="43"/>
      <c r="V182" s="43"/>
      <c r="W182" s="43"/>
      <c r="X182" s="1"/>
      <c r="Y182" s="46">
        <v>8.8000000000000007</v>
      </c>
      <c r="Z182" s="46"/>
      <c r="AA182" s="2"/>
      <c r="AB182" s="43"/>
      <c r="AC182" s="87"/>
      <c r="AD182" s="1"/>
      <c r="AE182" s="1"/>
      <c r="AF182" s="46"/>
      <c r="AG182" s="1"/>
      <c r="AH182" s="43"/>
      <c r="AI182" s="43"/>
      <c r="AJ182" s="43"/>
      <c r="AK182" s="43" t="s">
        <v>5667</v>
      </c>
      <c r="AL182" s="43"/>
      <c r="AM182" s="1">
        <f t="shared" si="8"/>
        <v>9489.916963226573</v>
      </c>
    </row>
    <row r="183" spans="1:39" ht="39" hidden="1" customHeight="1">
      <c r="A183" s="187">
        <v>27692703</v>
      </c>
      <c r="B183" s="43"/>
      <c r="C183" s="51">
        <v>44880</v>
      </c>
      <c r="D183" s="37" t="s">
        <v>5668</v>
      </c>
      <c r="E183" s="37" t="s">
        <v>5669</v>
      </c>
      <c r="F183" s="43" t="s">
        <v>5670</v>
      </c>
      <c r="G183" s="16">
        <v>500000</v>
      </c>
      <c r="H183" s="16"/>
      <c r="I183" s="43" t="s">
        <v>321</v>
      </c>
      <c r="J183" s="43" t="s">
        <v>5671</v>
      </c>
      <c r="K183" s="43" t="s">
        <v>5672</v>
      </c>
      <c r="L183" s="25" t="s">
        <v>5673</v>
      </c>
      <c r="M183" s="25" t="s">
        <v>5674</v>
      </c>
      <c r="N183" s="46">
        <f>7.72+21.38</f>
        <v>29.099999999999998</v>
      </c>
      <c r="O183" s="43" t="s">
        <v>36</v>
      </c>
      <c r="P183" s="47" t="s">
        <v>206</v>
      </c>
      <c r="Q183" s="442">
        <v>2</v>
      </c>
      <c r="R183" s="47" t="s">
        <v>4669</v>
      </c>
      <c r="S183" s="43">
        <f>0.6+9.2+10.3</f>
        <v>20.100000000000001</v>
      </c>
      <c r="T183" s="43" t="s">
        <v>4596</v>
      </c>
      <c r="U183" s="43"/>
      <c r="V183" s="43"/>
      <c r="W183" s="43"/>
      <c r="X183" s="16"/>
      <c r="Y183" s="46">
        <v>7.72</v>
      </c>
      <c r="Z183" s="46"/>
      <c r="AA183" s="102"/>
      <c r="AB183" s="43"/>
      <c r="AC183" s="87"/>
      <c r="AD183" s="16"/>
      <c r="AE183" s="103"/>
      <c r="AF183" s="46" t="s">
        <v>5675</v>
      </c>
      <c r="AG183" s="16"/>
      <c r="AH183" s="43"/>
      <c r="AI183" s="43"/>
      <c r="AJ183" s="43"/>
      <c r="AK183" s="37"/>
      <c r="AL183" s="47"/>
      <c r="AM183" s="74">
        <f t="shared" si="8"/>
        <v>17182.13058419244</v>
      </c>
    </row>
    <row r="184" spans="1:39" ht="39" hidden="1" customHeight="1">
      <c r="A184" s="227">
        <v>27777210</v>
      </c>
      <c r="B184" s="66"/>
      <c r="C184" s="320">
        <v>44893</v>
      </c>
      <c r="D184" s="68" t="s">
        <v>5676</v>
      </c>
      <c r="E184" s="68" t="s">
        <v>5677</v>
      </c>
      <c r="F184" s="67" t="s">
        <v>5678</v>
      </c>
      <c r="G184" s="52">
        <v>300000</v>
      </c>
      <c r="I184" s="67" t="s">
        <v>75</v>
      </c>
      <c r="J184" s="67" t="s">
        <v>585</v>
      </c>
      <c r="K184" s="67" t="s">
        <v>5679</v>
      </c>
      <c r="L184" s="96" t="s">
        <v>5680</v>
      </c>
      <c r="M184" s="245" t="s">
        <v>5681</v>
      </c>
      <c r="N184" s="70">
        <f>15.97+8.82</f>
        <v>24.79</v>
      </c>
      <c r="O184" s="67" t="s">
        <v>36</v>
      </c>
      <c r="P184" s="71" t="s">
        <v>206</v>
      </c>
      <c r="Q184" s="446">
        <v>3</v>
      </c>
      <c r="R184" s="71" t="s">
        <v>5682</v>
      </c>
      <c r="S184" s="28">
        <f>2.1*2+1.3+1.1</f>
        <v>6.6</v>
      </c>
      <c r="T184" s="67" t="s">
        <v>4596</v>
      </c>
      <c r="U184" s="66">
        <v>0</v>
      </c>
      <c r="V184" s="67" t="s">
        <v>5029</v>
      </c>
      <c r="W184" s="67"/>
      <c r="X184" s="94" t="s">
        <v>5030</v>
      </c>
      <c r="Y184" s="123">
        <v>18.190000000000001</v>
      </c>
      <c r="Z184" s="123"/>
      <c r="AB184" s="66"/>
      <c r="AC184" s="124"/>
      <c r="AF184" s="123"/>
      <c r="AH184" s="66"/>
      <c r="AI184" s="66"/>
      <c r="AJ184" s="66"/>
      <c r="AK184" s="37" t="s">
        <v>5683</v>
      </c>
      <c r="AL184" s="47"/>
      <c r="AM184" s="49">
        <f t="shared" si="8"/>
        <v>12101.653892698669</v>
      </c>
    </row>
    <row r="185" spans="1:39" ht="39" hidden="1" customHeight="1">
      <c r="A185" s="187">
        <v>27727336</v>
      </c>
      <c r="B185" s="43"/>
      <c r="C185" s="51">
        <v>44895</v>
      </c>
      <c r="D185" s="37" t="s">
        <v>5684</v>
      </c>
      <c r="E185" s="37" t="s">
        <v>5685</v>
      </c>
      <c r="F185" s="43" t="s">
        <v>5686</v>
      </c>
      <c r="G185" s="1">
        <v>600000</v>
      </c>
      <c r="H185" s="1"/>
      <c r="I185" s="43" t="s">
        <v>4726</v>
      </c>
      <c r="J185" s="43" t="s">
        <v>5687</v>
      </c>
      <c r="K185" s="43" t="s">
        <v>5688</v>
      </c>
      <c r="L185" s="4" t="s">
        <v>5689</v>
      </c>
      <c r="M185" s="4" t="s">
        <v>5690</v>
      </c>
      <c r="N185" s="46">
        <f>10.97+5.28</f>
        <v>16.25</v>
      </c>
      <c r="O185" s="43" t="s">
        <v>18</v>
      </c>
      <c r="P185" s="47" t="s">
        <v>206</v>
      </c>
      <c r="Q185" s="442">
        <v>2</v>
      </c>
      <c r="R185" s="47" t="s">
        <v>4669</v>
      </c>
      <c r="S185" s="43">
        <f>2.1+2.8+5.8+2.1</f>
        <v>12.799999999999999</v>
      </c>
      <c r="T185" s="43" t="s">
        <v>4596</v>
      </c>
      <c r="U185" s="43"/>
      <c r="V185" s="43"/>
      <c r="W185" s="43"/>
      <c r="X185" s="1"/>
      <c r="Y185" s="46">
        <v>2.2999999999999998</v>
      </c>
      <c r="Z185" s="46"/>
      <c r="AA185" s="2"/>
      <c r="AB185" s="43"/>
      <c r="AC185" s="87"/>
      <c r="AD185" s="1"/>
      <c r="AE185" s="3"/>
      <c r="AF185" s="46"/>
      <c r="AG185" s="1"/>
      <c r="AH185" s="43"/>
      <c r="AI185" s="43"/>
      <c r="AJ185" s="43"/>
      <c r="AK185" s="37"/>
      <c r="AL185" s="47" t="s">
        <v>5691</v>
      </c>
      <c r="AM185" s="74">
        <f t="shared" si="8"/>
        <v>36923.076923076922</v>
      </c>
    </row>
    <row r="186" spans="1:39" ht="39" hidden="1" customHeight="1">
      <c r="A186" s="187">
        <v>27728161</v>
      </c>
      <c r="B186" s="43"/>
      <c r="C186" s="51">
        <v>44896</v>
      </c>
      <c r="D186" s="37" t="s">
        <v>5692</v>
      </c>
      <c r="E186" s="37" t="s">
        <v>5693</v>
      </c>
      <c r="F186" s="43" t="s">
        <v>5694</v>
      </c>
      <c r="G186" s="16">
        <v>700000</v>
      </c>
      <c r="H186" s="16"/>
      <c r="I186" s="43" t="s">
        <v>4726</v>
      </c>
      <c r="J186" s="43" t="s">
        <v>5695</v>
      </c>
      <c r="K186" s="43" t="s">
        <v>5695</v>
      </c>
      <c r="L186" s="25" t="s">
        <v>5696</v>
      </c>
      <c r="M186" s="25" t="s">
        <v>5697</v>
      </c>
      <c r="N186" s="46">
        <f>4.09+7.08+8.96</f>
        <v>20.130000000000003</v>
      </c>
      <c r="O186" s="43" t="s">
        <v>18</v>
      </c>
      <c r="P186" s="47" t="s">
        <v>206</v>
      </c>
      <c r="Q186" s="442">
        <v>2</v>
      </c>
      <c r="R186" s="47" t="s">
        <v>4669</v>
      </c>
      <c r="S186" s="46">
        <f>Terre!$N84</f>
        <v>55.53</v>
      </c>
      <c r="T186" s="43"/>
      <c r="U186" s="46">
        <f>Terre!$S84</f>
        <v>43.1</v>
      </c>
      <c r="V186" s="43" t="s">
        <v>4837</v>
      </c>
      <c r="W186" s="43"/>
      <c r="X186" s="16"/>
      <c r="Y186" s="46">
        <v>0.6</v>
      </c>
      <c r="Z186" s="46"/>
      <c r="AA186" s="102"/>
      <c r="AB186" s="43"/>
      <c r="AC186" s="87"/>
      <c r="AD186" s="16"/>
      <c r="AE186" s="103"/>
      <c r="AF186" s="46"/>
      <c r="AG186" s="16"/>
      <c r="AH186" s="43"/>
      <c r="AI186" s="43"/>
      <c r="AJ186" s="43"/>
      <c r="AK186" s="37"/>
      <c r="AL186" s="47"/>
      <c r="AM186" s="74">
        <f t="shared" si="8"/>
        <v>34773.969200198706</v>
      </c>
    </row>
    <row r="187" spans="1:39" ht="39" hidden="1" customHeight="1">
      <c r="A187" s="188">
        <v>27727714</v>
      </c>
      <c r="B187" s="77"/>
      <c r="C187" s="323">
        <v>44896</v>
      </c>
      <c r="D187" s="67" t="s">
        <v>5698</v>
      </c>
      <c r="E187" s="67" t="s">
        <v>5699</v>
      </c>
      <c r="F187" s="69" t="s">
        <v>5700</v>
      </c>
      <c r="G187" s="82">
        <v>30000</v>
      </c>
      <c r="H187" s="82"/>
      <c r="I187" s="67" t="s">
        <v>75</v>
      </c>
      <c r="J187" s="67" t="s">
        <v>585</v>
      </c>
      <c r="K187" s="67" t="s">
        <v>586</v>
      </c>
      <c r="L187" s="166" t="s">
        <v>5701</v>
      </c>
      <c r="M187" s="244" t="s">
        <v>5702</v>
      </c>
      <c r="N187" s="85">
        <f>0.61+23.47</f>
        <v>24.08</v>
      </c>
      <c r="O187" s="67" t="s">
        <v>36</v>
      </c>
      <c r="P187" s="77" t="s">
        <v>206</v>
      </c>
      <c r="Q187" s="447">
        <v>3</v>
      </c>
      <c r="R187" s="77" t="s">
        <v>4669</v>
      </c>
      <c r="S187" s="67">
        <v>15.35</v>
      </c>
      <c r="T187" s="67" t="s">
        <v>4596</v>
      </c>
      <c r="U187" s="77">
        <v>0</v>
      </c>
      <c r="V187" s="67" t="s">
        <v>5029</v>
      </c>
      <c r="W187" s="67"/>
      <c r="X187" s="82" t="s">
        <v>4885</v>
      </c>
      <c r="Y187" s="85">
        <v>8.73</v>
      </c>
      <c r="Z187" s="85"/>
      <c r="AA187" s="168"/>
      <c r="AB187" s="77"/>
      <c r="AC187" s="246"/>
      <c r="AD187" s="82"/>
      <c r="AE187" s="82"/>
      <c r="AF187" s="85"/>
      <c r="AG187" s="82"/>
      <c r="AH187" s="77"/>
      <c r="AI187" s="77"/>
      <c r="AJ187" s="77"/>
      <c r="AK187" s="37" t="s">
        <v>5703</v>
      </c>
      <c r="AL187" s="47"/>
      <c r="AM187" s="49">
        <f t="shared" si="8"/>
        <v>1245.8471760797343</v>
      </c>
    </row>
    <row r="188" spans="1:39" ht="39" customHeight="1">
      <c r="A188" s="187">
        <v>27744396</v>
      </c>
      <c r="B188" s="43"/>
      <c r="C188" s="51">
        <v>44902</v>
      </c>
      <c r="D188" s="37" t="s">
        <v>5704</v>
      </c>
      <c r="E188" s="37" t="s">
        <v>5705</v>
      </c>
      <c r="F188" s="45" t="s">
        <v>5706</v>
      </c>
      <c r="G188" s="16">
        <v>2900000</v>
      </c>
      <c r="H188" s="16"/>
      <c r="I188" s="43"/>
      <c r="J188" s="43" t="s">
        <v>5627</v>
      </c>
      <c r="K188" s="43" t="s">
        <v>5707</v>
      </c>
      <c r="L188" s="25"/>
      <c r="M188" s="26"/>
      <c r="N188" s="46"/>
      <c r="O188" s="43"/>
      <c r="P188" s="47"/>
      <c r="Q188" s="267"/>
      <c r="R188" s="47"/>
      <c r="S188" s="43"/>
      <c r="T188" s="43"/>
      <c r="U188" s="43"/>
      <c r="V188" s="43"/>
      <c r="W188" s="43"/>
      <c r="X188" s="16"/>
      <c r="Y188" s="46"/>
      <c r="Z188" s="46"/>
      <c r="AA188" s="102"/>
      <c r="AB188" s="43"/>
      <c r="AC188" s="87"/>
      <c r="AD188" s="16"/>
      <c r="AE188" s="103"/>
      <c r="AF188" s="46"/>
      <c r="AG188" s="16"/>
      <c r="AH188" s="43"/>
      <c r="AI188" s="43"/>
      <c r="AJ188" s="43"/>
      <c r="AK188" s="37"/>
      <c r="AL188" s="47"/>
      <c r="AM188" s="74" t="e">
        <f t="shared" si="8"/>
        <v>#DIV/0!</v>
      </c>
    </row>
    <row r="189" spans="1:39" ht="39" customHeight="1">
      <c r="A189" s="187">
        <v>27749625</v>
      </c>
      <c r="B189" s="43"/>
      <c r="C189" s="51">
        <v>44904</v>
      </c>
      <c r="D189" s="37" t="s">
        <v>5708</v>
      </c>
      <c r="E189" s="37" t="s">
        <v>5709</v>
      </c>
      <c r="F189" s="45">
        <v>1830777</v>
      </c>
      <c r="G189" s="16">
        <v>900000</v>
      </c>
      <c r="H189" s="16"/>
      <c r="I189" s="43"/>
      <c r="J189" s="43">
        <v>0</v>
      </c>
      <c r="K189" s="43">
        <v>0</v>
      </c>
      <c r="L189" s="25"/>
      <c r="M189" s="26"/>
      <c r="N189" s="46"/>
      <c r="O189" s="43"/>
      <c r="P189" s="47"/>
      <c r="Q189" s="267"/>
      <c r="R189" s="47"/>
      <c r="S189" s="43"/>
      <c r="T189" s="43"/>
      <c r="U189" s="43"/>
      <c r="V189" s="43"/>
      <c r="W189" s="43"/>
      <c r="X189" s="16"/>
      <c r="Y189" s="46"/>
      <c r="Z189" s="46"/>
      <c r="AA189" s="102"/>
      <c r="AB189" s="43"/>
      <c r="AC189" s="87"/>
      <c r="AD189" s="16"/>
      <c r="AE189" s="103"/>
      <c r="AF189" s="46"/>
      <c r="AG189" s="16"/>
      <c r="AH189" s="43"/>
      <c r="AI189" s="43"/>
      <c r="AJ189" s="43" t="s">
        <v>5710</v>
      </c>
      <c r="AK189" s="37"/>
      <c r="AL189" s="47"/>
      <c r="AM189" s="74" t="e">
        <f t="shared" si="8"/>
        <v>#DIV/0!</v>
      </c>
    </row>
    <row r="190" spans="1:39" ht="39" hidden="1" customHeight="1">
      <c r="A190" s="187">
        <v>27751898</v>
      </c>
      <c r="B190" s="43"/>
      <c r="C190" s="51">
        <v>44907</v>
      </c>
      <c r="D190" s="37" t="s">
        <v>5711</v>
      </c>
      <c r="E190" s="37" t="s">
        <v>5712</v>
      </c>
      <c r="F190" s="45" t="s">
        <v>5713</v>
      </c>
      <c r="G190" s="1">
        <v>825000</v>
      </c>
      <c r="H190" s="1"/>
      <c r="I190" s="43" t="s">
        <v>48</v>
      </c>
      <c r="J190" s="43" t="s">
        <v>5714</v>
      </c>
      <c r="K190" s="43" t="s">
        <v>5715</v>
      </c>
      <c r="L190" s="4" t="s">
        <v>5716</v>
      </c>
      <c r="M190" s="7" t="s">
        <v>5717</v>
      </c>
      <c r="N190" s="46">
        <v>37.92</v>
      </c>
      <c r="O190" s="43" t="s">
        <v>18</v>
      </c>
      <c r="P190" s="47" t="s">
        <v>4702</v>
      </c>
      <c r="Q190" s="442">
        <v>4</v>
      </c>
      <c r="R190" s="47" t="s">
        <v>568</v>
      </c>
      <c r="S190" s="43">
        <v>24.8</v>
      </c>
      <c r="T190" s="43" t="s">
        <v>4596</v>
      </c>
      <c r="U190" s="43"/>
      <c r="V190" s="43"/>
      <c r="W190" s="43"/>
      <c r="X190" s="1"/>
      <c r="Y190" s="46">
        <v>11.1</v>
      </c>
      <c r="Z190" s="46"/>
      <c r="AA190" s="2"/>
      <c r="AB190" s="43"/>
      <c r="AC190" s="87"/>
      <c r="AD190" s="1"/>
      <c r="AE190" s="3"/>
      <c r="AF190" s="46"/>
      <c r="AG190" s="1"/>
      <c r="AH190" s="43"/>
      <c r="AI190" s="43"/>
      <c r="AJ190" s="43"/>
      <c r="AK190" s="37" t="s">
        <v>5718</v>
      </c>
      <c r="AL190" s="47"/>
      <c r="AM190" s="74">
        <f t="shared" si="8"/>
        <v>21756.32911392405</v>
      </c>
    </row>
    <row r="191" spans="1:39" ht="39" hidden="1" customHeight="1">
      <c r="A191" s="190">
        <v>27755520</v>
      </c>
      <c r="B191" s="43"/>
      <c r="C191" s="51">
        <v>44907</v>
      </c>
      <c r="D191" s="55" t="s">
        <v>5719</v>
      </c>
      <c r="E191" s="54" t="s">
        <v>5720</v>
      </c>
      <c r="F191" s="55" t="s">
        <v>5721</v>
      </c>
      <c r="G191" s="1">
        <v>675000</v>
      </c>
      <c r="H191" s="1"/>
      <c r="I191" s="43" t="s">
        <v>49</v>
      </c>
      <c r="J191" s="43" t="s">
        <v>4756</v>
      </c>
      <c r="K191" s="43" t="s">
        <v>4757</v>
      </c>
      <c r="L191" s="243" t="s">
        <v>5722</v>
      </c>
      <c r="M191" s="243" t="s">
        <v>5723</v>
      </c>
      <c r="N191" s="46">
        <f>74.36+19.38</f>
        <v>93.74</v>
      </c>
      <c r="O191" s="43" t="s">
        <v>36</v>
      </c>
      <c r="P191" s="47" t="s">
        <v>206</v>
      </c>
      <c r="Q191" s="442">
        <v>5</v>
      </c>
      <c r="R191" s="47" t="s">
        <v>4620</v>
      </c>
      <c r="S191" s="43">
        <f>57.96+18.2</f>
        <v>76.16</v>
      </c>
      <c r="T191" s="43" t="s">
        <v>3124</v>
      </c>
      <c r="U191" s="43"/>
      <c r="V191" s="43" t="s">
        <v>5038</v>
      </c>
      <c r="W191" s="43"/>
      <c r="X191" s="1" t="s">
        <v>5724</v>
      </c>
      <c r="Y191" s="46">
        <f>1.5+13+1.9</f>
        <v>16.399999999999999</v>
      </c>
      <c r="Z191" s="46"/>
      <c r="AA191" s="2"/>
      <c r="AB191" s="43"/>
      <c r="AC191" s="87"/>
      <c r="AD191" s="1"/>
      <c r="AE191" s="3"/>
      <c r="AF191" s="46"/>
      <c r="AG191" s="1"/>
      <c r="AH191" s="43"/>
      <c r="AI191" s="43"/>
      <c r="AJ191" s="43"/>
      <c r="AK191" s="37" t="s">
        <v>5725</v>
      </c>
      <c r="AL191" s="47"/>
      <c r="AM191" s="49">
        <f t="shared" si="8"/>
        <v>7200.7680819287398</v>
      </c>
    </row>
    <row r="192" spans="1:39" ht="39" customHeight="1">
      <c r="A192" s="187">
        <v>27756228</v>
      </c>
      <c r="B192" s="43"/>
      <c r="C192" s="51">
        <v>44908</v>
      </c>
      <c r="D192" s="37" t="s">
        <v>5726</v>
      </c>
      <c r="E192" s="37" t="s">
        <v>5289</v>
      </c>
      <c r="F192" s="45">
        <v>6345805</v>
      </c>
      <c r="G192" s="16" t="s">
        <v>5727</v>
      </c>
      <c r="H192" s="16"/>
      <c r="I192" s="43"/>
      <c r="J192" s="43" t="s">
        <v>5154</v>
      </c>
      <c r="K192" s="43" t="s">
        <v>5728</v>
      </c>
      <c r="L192" s="25"/>
      <c r="M192" s="26"/>
      <c r="N192" s="46"/>
      <c r="O192" s="43"/>
      <c r="P192" s="47"/>
      <c r="Q192" s="267"/>
      <c r="R192" s="47"/>
      <c r="S192" s="43"/>
      <c r="T192" s="43"/>
      <c r="U192" s="43"/>
      <c r="V192" s="43"/>
      <c r="W192" s="43"/>
      <c r="X192" s="16"/>
      <c r="Y192" s="46"/>
      <c r="Z192" s="46"/>
      <c r="AA192" s="102"/>
      <c r="AB192" s="43"/>
      <c r="AC192" s="87"/>
      <c r="AD192" s="16"/>
      <c r="AE192" s="103"/>
      <c r="AF192" s="46"/>
      <c r="AG192" s="16"/>
      <c r="AH192" s="43"/>
      <c r="AI192" s="43"/>
      <c r="AJ192" s="43"/>
      <c r="AK192" s="37"/>
      <c r="AL192" s="47"/>
      <c r="AM192" s="74" t="e">
        <f t="shared" si="8"/>
        <v>#VALUE!</v>
      </c>
    </row>
    <row r="193" spans="1:39" ht="39" hidden="1" customHeight="1">
      <c r="A193" s="187">
        <v>27760591</v>
      </c>
      <c r="B193" s="43"/>
      <c r="C193" s="51">
        <v>44909</v>
      </c>
      <c r="D193" s="37" t="s">
        <v>5729</v>
      </c>
      <c r="E193" s="37" t="s">
        <v>5730</v>
      </c>
      <c r="F193" s="45" t="s">
        <v>5731</v>
      </c>
      <c r="G193" s="1">
        <v>45000</v>
      </c>
      <c r="H193" s="1"/>
      <c r="I193" s="43" t="s">
        <v>602</v>
      </c>
      <c r="J193" s="43" t="s">
        <v>5393</v>
      </c>
      <c r="K193" s="43" t="s">
        <v>5732</v>
      </c>
      <c r="L193" s="4" t="s">
        <v>5733</v>
      </c>
      <c r="M193" s="7" t="s">
        <v>5734</v>
      </c>
      <c r="N193" s="46">
        <f>5.83+3.83</f>
        <v>9.66</v>
      </c>
      <c r="O193" s="43" t="s">
        <v>18</v>
      </c>
      <c r="P193" s="47" t="s">
        <v>949</v>
      </c>
      <c r="Q193" s="267" t="s">
        <v>4771</v>
      </c>
      <c r="R193" s="47" t="s">
        <v>4801</v>
      </c>
      <c r="S193" s="43">
        <v>7</v>
      </c>
      <c r="T193" s="43" t="s">
        <v>4828</v>
      </c>
      <c r="U193" s="43">
        <v>0</v>
      </c>
      <c r="V193" s="43" t="s">
        <v>4628</v>
      </c>
      <c r="W193" s="43"/>
      <c r="X193" s="1"/>
      <c r="Y193" s="46">
        <v>0</v>
      </c>
      <c r="Z193" s="46"/>
      <c r="AA193" s="2"/>
      <c r="AB193" s="43"/>
      <c r="AC193" s="87"/>
      <c r="AD193" s="1"/>
      <c r="AE193" s="3"/>
      <c r="AF193" s="46"/>
      <c r="AG193" s="1"/>
      <c r="AH193" s="43"/>
      <c r="AI193" s="43"/>
      <c r="AJ193" s="43"/>
      <c r="AK193" s="37" t="s">
        <v>5735</v>
      </c>
      <c r="AL193" s="47"/>
      <c r="AM193" s="74">
        <f t="shared" si="8"/>
        <v>4658.3850931677016</v>
      </c>
    </row>
    <row r="194" spans="1:39" ht="39" hidden="1" customHeight="1">
      <c r="A194" s="187">
        <v>27760593</v>
      </c>
      <c r="B194" s="43"/>
      <c r="C194" s="51">
        <v>44909</v>
      </c>
      <c r="D194" s="37" t="s">
        <v>5736</v>
      </c>
      <c r="E194" s="37" t="s">
        <v>5737</v>
      </c>
      <c r="F194" s="45" t="s">
        <v>5738</v>
      </c>
      <c r="G194" s="16">
        <v>835000</v>
      </c>
      <c r="H194" s="16"/>
      <c r="I194" s="43" t="s">
        <v>602</v>
      </c>
      <c r="J194" s="43" t="s">
        <v>5393</v>
      </c>
      <c r="K194" s="43" t="s">
        <v>5739</v>
      </c>
      <c r="L194" s="25" t="s">
        <v>5740</v>
      </c>
      <c r="M194" s="26" t="s">
        <v>5741</v>
      </c>
      <c r="N194" s="46">
        <v>85.66</v>
      </c>
      <c r="O194" s="43" t="s">
        <v>18</v>
      </c>
      <c r="P194" s="47" t="s">
        <v>949</v>
      </c>
      <c r="Q194" s="267" t="s">
        <v>4703</v>
      </c>
      <c r="R194" s="47" t="s">
        <v>4669</v>
      </c>
      <c r="S194" s="43">
        <v>60</v>
      </c>
      <c r="T194" s="43" t="s">
        <v>4596</v>
      </c>
      <c r="U194" s="43">
        <v>0</v>
      </c>
      <c r="V194" s="43" t="s">
        <v>4628</v>
      </c>
      <c r="W194" s="43"/>
      <c r="X194" s="16"/>
      <c r="Y194" s="46">
        <v>18.5</v>
      </c>
      <c r="Z194" s="46"/>
      <c r="AA194" s="102"/>
      <c r="AB194" s="43"/>
      <c r="AC194" s="87"/>
      <c r="AD194" s="16"/>
      <c r="AE194" s="103"/>
      <c r="AF194" s="46"/>
      <c r="AG194" s="16"/>
      <c r="AH194" s="43"/>
      <c r="AI194" s="43"/>
      <c r="AJ194" s="43"/>
      <c r="AK194" s="37" t="s">
        <v>5742</v>
      </c>
      <c r="AL194" s="47"/>
      <c r="AM194" s="74">
        <f t="shared" si="8"/>
        <v>9747.8402988559428</v>
      </c>
    </row>
    <row r="195" spans="1:39" ht="39" hidden="1" customHeight="1">
      <c r="A195" s="187">
        <v>27908599</v>
      </c>
      <c r="B195" s="43"/>
      <c r="C195" s="51">
        <v>44911</v>
      </c>
      <c r="D195" s="37" t="s">
        <v>5743</v>
      </c>
      <c r="E195" s="37" t="s">
        <v>5744</v>
      </c>
      <c r="F195" s="45" t="s">
        <v>5745</v>
      </c>
      <c r="G195" s="16">
        <v>1386418</v>
      </c>
      <c r="H195" s="16"/>
      <c r="I195" s="43" t="s">
        <v>5746</v>
      </c>
      <c r="J195" s="43" t="s">
        <v>5627</v>
      </c>
      <c r="K195" s="43" t="s">
        <v>5747</v>
      </c>
      <c r="L195" s="25"/>
      <c r="M195" s="26"/>
      <c r="N195" s="46">
        <v>21.270000000000003</v>
      </c>
      <c r="O195" s="43">
        <v>0</v>
      </c>
      <c r="P195" s="47"/>
      <c r="Q195" s="267" t="s">
        <v>5748</v>
      </c>
      <c r="R195" s="47"/>
      <c r="S195" s="43">
        <v>19.899999999999999</v>
      </c>
      <c r="T195" s="43"/>
      <c r="U195" s="43" t="s">
        <v>71</v>
      </c>
      <c r="V195" s="43" t="s">
        <v>5749</v>
      </c>
      <c r="W195" s="43"/>
      <c r="X195" s="16"/>
      <c r="Y195" s="46">
        <v>0</v>
      </c>
      <c r="Z195" s="46"/>
      <c r="AA195" s="102"/>
      <c r="AB195" s="43"/>
      <c r="AC195" s="87"/>
      <c r="AD195" s="16"/>
      <c r="AE195" s="103"/>
      <c r="AF195" s="46"/>
      <c r="AG195" s="16"/>
      <c r="AH195" s="43"/>
      <c r="AI195" s="43"/>
      <c r="AJ195" s="43"/>
      <c r="AK195" s="37"/>
      <c r="AL195" s="47"/>
      <c r="AM195" s="74">
        <f t="shared" si="8"/>
        <v>65181.852374236005</v>
      </c>
    </row>
    <row r="196" spans="1:39" ht="39" hidden="1" customHeight="1">
      <c r="A196" s="187">
        <v>27771690</v>
      </c>
      <c r="B196" s="43"/>
      <c r="C196" s="51">
        <v>44914</v>
      </c>
      <c r="D196" s="37" t="s">
        <v>5750</v>
      </c>
      <c r="E196" s="37" t="s">
        <v>5751</v>
      </c>
      <c r="F196" s="45" t="s">
        <v>5752</v>
      </c>
      <c r="G196" s="1">
        <v>800000</v>
      </c>
      <c r="H196" s="1"/>
      <c r="I196" s="43" t="s">
        <v>515</v>
      </c>
      <c r="J196" s="43" t="s">
        <v>515</v>
      </c>
      <c r="K196" s="43" t="s">
        <v>5753</v>
      </c>
      <c r="L196" s="4" t="s">
        <v>5754</v>
      </c>
      <c r="M196" s="7" t="s">
        <v>5755</v>
      </c>
      <c r="N196" s="46">
        <v>41.25</v>
      </c>
      <c r="O196" s="43" t="s">
        <v>18</v>
      </c>
      <c r="P196" s="47" t="s">
        <v>206</v>
      </c>
      <c r="Q196" s="267">
        <v>3</v>
      </c>
      <c r="R196" s="47" t="s">
        <v>5485</v>
      </c>
      <c r="S196" s="43">
        <v>27.3</v>
      </c>
      <c r="T196" s="43" t="s">
        <v>4596</v>
      </c>
      <c r="U196" s="43"/>
      <c r="V196" s="43"/>
      <c r="W196" s="43"/>
      <c r="X196" s="1"/>
      <c r="Y196" s="46">
        <v>11.5</v>
      </c>
      <c r="Z196" s="46"/>
      <c r="AA196" s="2"/>
      <c r="AB196" s="43"/>
      <c r="AC196" s="87"/>
      <c r="AD196" s="1"/>
      <c r="AE196" s="3"/>
      <c r="AF196" s="46"/>
      <c r="AG196" s="1"/>
      <c r="AH196" s="43"/>
      <c r="AI196" s="43"/>
      <c r="AJ196" s="43"/>
      <c r="AK196" s="37" t="s">
        <v>5756</v>
      </c>
      <c r="AL196" s="47"/>
      <c r="AM196" s="74">
        <f t="shared" si="8"/>
        <v>19393.939393939392</v>
      </c>
    </row>
    <row r="197" spans="1:39" ht="39" hidden="1" customHeight="1">
      <c r="A197" s="187">
        <v>27773139</v>
      </c>
      <c r="B197" s="43"/>
      <c r="C197" s="51">
        <v>44915</v>
      </c>
      <c r="D197" s="37" t="s">
        <v>5757</v>
      </c>
      <c r="E197" s="37" t="s">
        <v>5758</v>
      </c>
      <c r="F197" s="43">
        <v>6223911</v>
      </c>
      <c r="G197" s="1">
        <v>700000</v>
      </c>
      <c r="H197" s="1"/>
      <c r="I197" s="43" t="s">
        <v>4726</v>
      </c>
      <c r="J197" s="43" t="s">
        <v>5759</v>
      </c>
      <c r="K197" s="43" t="s">
        <v>5760</v>
      </c>
      <c r="L197" s="1" t="s">
        <v>5761</v>
      </c>
      <c r="M197" s="1" t="s">
        <v>5762</v>
      </c>
      <c r="N197" s="46">
        <v>22.59</v>
      </c>
      <c r="O197" s="43" t="s">
        <v>18</v>
      </c>
      <c r="P197" s="47" t="s">
        <v>206</v>
      </c>
      <c r="Q197" s="442">
        <v>2</v>
      </c>
      <c r="R197" s="47" t="s">
        <v>4669</v>
      </c>
      <c r="S197" s="46">
        <f>Terre!$N82</f>
        <v>43.18</v>
      </c>
      <c r="T197" s="43"/>
      <c r="U197" s="43"/>
      <c r="V197" s="43"/>
      <c r="W197" s="43"/>
      <c r="X197" s="1"/>
      <c r="Y197" s="46"/>
      <c r="Z197" s="46"/>
      <c r="AA197" s="2"/>
      <c r="AB197" s="43"/>
      <c r="AC197" s="87"/>
      <c r="AD197" s="1"/>
      <c r="AE197" s="3"/>
      <c r="AF197" s="46" t="s">
        <v>3157</v>
      </c>
      <c r="AG197" s="1">
        <v>13000</v>
      </c>
      <c r="AH197" s="43" t="s">
        <v>5223</v>
      </c>
      <c r="AI197" s="43"/>
      <c r="AJ197" s="43"/>
      <c r="AK197" s="37"/>
      <c r="AL197" s="47"/>
      <c r="AM197" s="74">
        <f t="shared" si="8"/>
        <v>30987.162461266049</v>
      </c>
    </row>
    <row r="198" spans="1:39" ht="39" hidden="1" customHeight="1">
      <c r="A198" s="187">
        <v>27774646</v>
      </c>
      <c r="B198" s="43"/>
      <c r="C198" s="51">
        <v>44915</v>
      </c>
      <c r="D198" s="37" t="s">
        <v>5763</v>
      </c>
      <c r="E198" s="37" t="s">
        <v>5764</v>
      </c>
      <c r="F198" s="45">
        <v>2326331</v>
      </c>
      <c r="G198" s="1">
        <v>575000</v>
      </c>
      <c r="H198" s="1"/>
      <c r="I198" s="43" t="s">
        <v>48</v>
      </c>
      <c r="J198" s="43" t="s">
        <v>3121</v>
      </c>
      <c r="K198" s="43" t="s">
        <v>5765</v>
      </c>
      <c r="L198" s="4" t="s">
        <v>5766</v>
      </c>
      <c r="M198" s="7" t="s">
        <v>5767</v>
      </c>
      <c r="N198" s="46">
        <v>55.77</v>
      </c>
      <c r="O198" s="43" t="s">
        <v>18</v>
      </c>
      <c r="P198" s="47" t="s">
        <v>4702</v>
      </c>
      <c r="Q198" s="267">
        <v>4</v>
      </c>
      <c r="R198" s="47" t="s">
        <v>5768</v>
      </c>
      <c r="S198" s="43">
        <v>25.7</v>
      </c>
      <c r="T198" s="43" t="s">
        <v>4596</v>
      </c>
      <c r="U198" s="43"/>
      <c r="V198" s="43"/>
      <c r="W198" s="43"/>
      <c r="X198" s="1"/>
      <c r="Y198" s="46">
        <v>23</v>
      </c>
      <c r="Z198" s="46"/>
      <c r="AA198" s="2"/>
      <c r="AB198" s="43"/>
      <c r="AC198" s="87"/>
      <c r="AD198" s="1"/>
      <c r="AE198" s="3"/>
      <c r="AF198" s="46"/>
      <c r="AG198" s="1"/>
      <c r="AH198" s="43"/>
      <c r="AI198" s="43"/>
      <c r="AJ198" s="43"/>
      <c r="AK198" s="37"/>
      <c r="AL198" s="47"/>
      <c r="AM198" s="74">
        <f t="shared" si="8"/>
        <v>10310.202617894925</v>
      </c>
    </row>
    <row r="199" spans="1:39" ht="39" hidden="1" customHeight="1">
      <c r="A199" s="187">
        <v>27889803</v>
      </c>
      <c r="B199" s="43"/>
      <c r="C199" s="51">
        <v>44917</v>
      </c>
      <c r="D199" s="37" t="s">
        <v>5769</v>
      </c>
      <c r="E199" s="37" t="s">
        <v>5770</v>
      </c>
      <c r="F199" s="43" t="s">
        <v>5771</v>
      </c>
      <c r="G199" s="16">
        <v>10475000</v>
      </c>
      <c r="H199" s="16"/>
      <c r="I199" s="43" t="s">
        <v>321</v>
      </c>
      <c r="J199" s="43" t="s">
        <v>5772</v>
      </c>
      <c r="K199" s="43"/>
      <c r="L199" s="25" t="s">
        <v>5773</v>
      </c>
      <c r="M199" s="25" t="s">
        <v>5774</v>
      </c>
      <c r="N199" s="46">
        <v>336.66</v>
      </c>
      <c r="O199" s="43" t="s">
        <v>36</v>
      </c>
      <c r="P199" s="47" t="s">
        <v>206</v>
      </c>
      <c r="Q199" s="442">
        <v>4</v>
      </c>
      <c r="R199" s="47" t="s">
        <v>4595</v>
      </c>
      <c r="S199" s="43">
        <v>283.91000000000003</v>
      </c>
      <c r="T199" s="43" t="s">
        <v>4596</v>
      </c>
      <c r="U199" s="43">
        <v>283.91000000000003</v>
      </c>
      <c r="V199" s="43" t="s">
        <v>4837</v>
      </c>
      <c r="W199" s="43"/>
      <c r="X199" s="16" t="s">
        <v>5775</v>
      </c>
      <c r="Y199" s="46">
        <v>41.81</v>
      </c>
      <c r="Z199" s="46"/>
      <c r="AA199" s="102"/>
      <c r="AB199" s="43"/>
      <c r="AC199" s="87"/>
      <c r="AD199" s="16"/>
      <c r="AE199" s="103"/>
      <c r="AF199" s="46" t="s">
        <v>5776</v>
      </c>
      <c r="AG199" s="16"/>
      <c r="AH199" s="43"/>
      <c r="AI199" s="43"/>
      <c r="AJ199" s="43"/>
      <c r="AK199" s="37"/>
      <c r="AL199" s="47"/>
      <c r="AM199" s="74">
        <f t="shared" si="8"/>
        <v>31114.477514406222</v>
      </c>
    </row>
    <row r="200" spans="1:39" ht="39" customHeight="1">
      <c r="A200" s="187">
        <v>27783110</v>
      </c>
      <c r="B200" s="43"/>
      <c r="C200" s="51">
        <v>44917</v>
      </c>
      <c r="D200" s="37" t="s">
        <v>5777</v>
      </c>
      <c r="E200" s="37" t="s">
        <v>5778</v>
      </c>
      <c r="F200" s="45">
        <v>3022939</v>
      </c>
      <c r="G200" s="16">
        <v>9440910</v>
      </c>
      <c r="H200" s="16"/>
      <c r="I200" s="43"/>
      <c r="J200" s="43" t="s">
        <v>5227</v>
      </c>
      <c r="K200" s="43">
        <v>0</v>
      </c>
      <c r="L200" s="25"/>
      <c r="M200" s="26"/>
      <c r="N200" s="46"/>
      <c r="O200" s="43"/>
      <c r="P200" s="47"/>
      <c r="Q200" s="267"/>
      <c r="R200" s="47"/>
      <c r="S200" s="43"/>
      <c r="T200" s="43"/>
      <c r="U200" s="43"/>
      <c r="V200" s="43"/>
      <c r="W200" s="43"/>
      <c r="X200" s="16"/>
      <c r="Y200" s="46"/>
      <c r="Z200" s="46"/>
      <c r="AA200" s="102"/>
      <c r="AB200" s="43"/>
      <c r="AC200" s="87"/>
      <c r="AD200" s="16"/>
      <c r="AE200" s="103"/>
      <c r="AF200" s="46"/>
      <c r="AG200" s="16"/>
      <c r="AH200" s="43"/>
      <c r="AI200" s="43"/>
      <c r="AJ200" s="43"/>
      <c r="AK200" s="37"/>
      <c r="AL200" s="47"/>
      <c r="AM200" s="74" t="e">
        <f t="shared" si="8"/>
        <v>#DIV/0!</v>
      </c>
    </row>
    <row r="201" spans="1:39" ht="39" hidden="1" customHeight="1">
      <c r="A201" s="187">
        <v>27798458</v>
      </c>
      <c r="B201" s="43"/>
      <c r="C201" s="51">
        <v>44938</v>
      </c>
      <c r="D201" s="37" t="s">
        <v>5779</v>
      </c>
      <c r="E201" s="37" t="s">
        <v>5780</v>
      </c>
      <c r="F201" s="43" t="s">
        <v>5781</v>
      </c>
      <c r="G201" s="1">
        <v>297000</v>
      </c>
      <c r="H201" s="1"/>
      <c r="I201" s="43" t="s">
        <v>747</v>
      </c>
      <c r="J201" s="43" t="s">
        <v>748</v>
      </c>
      <c r="K201" s="43" t="s">
        <v>5376</v>
      </c>
      <c r="L201" s="1" t="s">
        <v>5782</v>
      </c>
      <c r="M201" s="1" t="s">
        <v>5783</v>
      </c>
      <c r="N201" s="46">
        <f>9.68+1.3</f>
        <v>10.98</v>
      </c>
      <c r="O201" s="43" t="s">
        <v>18</v>
      </c>
      <c r="P201" s="47" t="s">
        <v>206</v>
      </c>
      <c r="Q201" s="442">
        <v>4</v>
      </c>
      <c r="R201" s="47" t="s">
        <v>4595</v>
      </c>
      <c r="S201" s="43">
        <f>5.7+4.7</f>
        <v>10.4</v>
      </c>
      <c r="T201" s="43" t="s">
        <v>4596</v>
      </c>
      <c r="U201" s="43">
        <f>Terre!$S73-1.3</f>
        <v>33.5</v>
      </c>
      <c r="V201" s="43" t="s">
        <v>4837</v>
      </c>
      <c r="W201" s="43"/>
      <c r="X201" s="1"/>
      <c r="Y201" s="46">
        <v>0.9</v>
      </c>
      <c r="Z201" s="46"/>
      <c r="AA201" s="2"/>
      <c r="AB201" s="43"/>
      <c r="AC201" s="87"/>
      <c r="AD201" s="1"/>
      <c r="AE201" s="3"/>
      <c r="AF201" s="46"/>
      <c r="AG201" s="1"/>
      <c r="AH201" s="43"/>
      <c r="AI201" s="43"/>
      <c r="AJ201" s="43"/>
      <c r="AK201" s="37"/>
      <c r="AL201" s="47"/>
      <c r="AM201" s="74">
        <f t="shared" si="8"/>
        <v>27049.180327868853</v>
      </c>
    </row>
    <row r="202" spans="1:39" ht="39" hidden="1" customHeight="1">
      <c r="A202" s="194">
        <v>27799838</v>
      </c>
      <c r="B202" s="139" t="s">
        <v>5784</v>
      </c>
      <c r="C202" s="148">
        <v>44939</v>
      </c>
      <c r="D202" s="60" t="s">
        <v>5785</v>
      </c>
      <c r="E202" s="60" t="s">
        <v>5786</v>
      </c>
      <c r="F202" s="140" t="s">
        <v>5787</v>
      </c>
      <c r="G202" s="141">
        <v>630000</v>
      </c>
      <c r="H202" s="141"/>
      <c r="I202" s="139" t="s">
        <v>2163</v>
      </c>
      <c r="J202" s="139" t="s">
        <v>5788</v>
      </c>
      <c r="K202" s="139" t="s">
        <v>5789</v>
      </c>
      <c r="L202" s="142">
        <v>48.677531999999999</v>
      </c>
      <c r="M202" s="143">
        <v>-67.898962999999995</v>
      </c>
      <c r="N202" s="144">
        <v>112.49</v>
      </c>
      <c r="O202" s="139" t="s">
        <v>18</v>
      </c>
      <c r="P202" s="60" t="s">
        <v>3789</v>
      </c>
      <c r="Q202" s="439">
        <v>3</v>
      </c>
      <c r="R202" s="60" t="s">
        <v>5016</v>
      </c>
      <c r="S202" s="139">
        <v>72</v>
      </c>
      <c r="T202" s="139" t="s">
        <v>4596</v>
      </c>
      <c r="U202" s="139"/>
      <c r="V202" s="139"/>
      <c r="W202" s="139"/>
      <c r="X202" s="141"/>
      <c r="Y202" s="144">
        <v>40.49</v>
      </c>
      <c r="Z202" s="144"/>
      <c r="AA202" s="145"/>
      <c r="AB202" s="139"/>
      <c r="AC202" s="146"/>
      <c r="AD202" s="141"/>
      <c r="AE202" s="158"/>
      <c r="AF202" s="144"/>
      <c r="AG202" s="141"/>
      <c r="AH202" s="139"/>
      <c r="AI202" s="139"/>
      <c r="AJ202" s="139"/>
      <c r="AK202" s="60"/>
      <c r="AL202" s="60"/>
      <c r="AM202" s="141">
        <f t="shared" si="8"/>
        <v>5600.4978220286248</v>
      </c>
    </row>
    <row r="203" spans="1:39" ht="39" hidden="1" customHeight="1">
      <c r="A203" s="196">
        <v>27828064</v>
      </c>
      <c r="C203" s="317">
        <v>44953</v>
      </c>
      <c r="D203" t="s">
        <v>5790</v>
      </c>
      <c r="E203" t="s">
        <v>5791</v>
      </c>
      <c r="F203" t="s">
        <v>5792</v>
      </c>
      <c r="G203" s="94">
        <v>1332000</v>
      </c>
      <c r="I203" t="s">
        <v>4917</v>
      </c>
      <c r="J203" t="s">
        <v>5113</v>
      </c>
      <c r="K203" t="s">
        <v>5793</v>
      </c>
      <c r="L203" s="96" t="s">
        <v>5794</v>
      </c>
      <c r="M203" s="245" t="s">
        <v>5795</v>
      </c>
      <c r="N203" s="63">
        <f>1.91+22.83</f>
        <v>24.74</v>
      </c>
      <c r="O203" s="43" t="s">
        <v>36</v>
      </c>
      <c r="P203" t="s">
        <v>35</v>
      </c>
      <c r="Q203" s="436">
        <v>2</v>
      </c>
      <c r="R203" t="s">
        <v>4669</v>
      </c>
      <c r="S203">
        <v>23.4</v>
      </c>
      <c r="AK203" t="s">
        <v>5796</v>
      </c>
      <c r="AM203" s="1">
        <f t="shared" si="8"/>
        <v>53839.935327405015</v>
      </c>
    </row>
    <row r="204" spans="1:39" ht="39" hidden="1" customHeight="1">
      <c r="A204" s="187">
        <v>27835890</v>
      </c>
      <c r="B204" s="43"/>
      <c r="C204" s="51">
        <v>44956</v>
      </c>
      <c r="D204" s="37" t="s">
        <v>5797</v>
      </c>
      <c r="E204" s="37" t="s">
        <v>5798</v>
      </c>
      <c r="F204" s="43" t="s">
        <v>5799</v>
      </c>
      <c r="G204" s="16">
        <v>300000</v>
      </c>
      <c r="H204" s="16"/>
      <c r="I204" s="43" t="s">
        <v>321</v>
      </c>
      <c r="J204" s="43" t="s">
        <v>5164</v>
      </c>
      <c r="K204" s="43" t="s">
        <v>5800</v>
      </c>
      <c r="L204" s="37" t="s">
        <v>5801</v>
      </c>
      <c r="M204" s="25" t="s">
        <v>5802</v>
      </c>
      <c r="N204" s="46">
        <v>30.87</v>
      </c>
      <c r="O204" s="43" t="s">
        <v>36</v>
      </c>
      <c r="P204" s="47" t="s">
        <v>206</v>
      </c>
      <c r="Q204" s="442">
        <v>2</v>
      </c>
      <c r="R204" s="47" t="s">
        <v>155</v>
      </c>
      <c r="S204" s="43">
        <v>28.9</v>
      </c>
      <c r="T204" s="43" t="s">
        <v>4596</v>
      </c>
      <c r="U204" s="43">
        <v>0</v>
      </c>
      <c r="V204" s="43" t="s">
        <v>4837</v>
      </c>
      <c r="W204" s="43"/>
      <c r="X204" s="16" t="s">
        <v>5724</v>
      </c>
      <c r="Y204" s="46"/>
      <c r="Z204" s="46"/>
      <c r="AA204" s="102"/>
      <c r="AB204" s="43"/>
      <c r="AC204" s="87"/>
      <c r="AD204" s="16"/>
      <c r="AE204" s="103"/>
      <c r="AF204" s="46"/>
      <c r="AG204" s="16"/>
      <c r="AH204" s="43"/>
      <c r="AI204" s="43"/>
      <c r="AJ204" s="43"/>
      <c r="AK204" s="37" t="s">
        <v>5803</v>
      </c>
      <c r="AL204" s="47"/>
      <c r="AM204" s="74">
        <f t="shared" si="8"/>
        <v>9718.1729834791058</v>
      </c>
    </row>
    <row r="205" spans="1:39" ht="39" hidden="1" customHeight="1">
      <c r="A205" s="228">
        <v>27843608</v>
      </c>
      <c r="B205" s="8"/>
      <c r="C205" s="117">
        <v>44960</v>
      </c>
      <c r="D205" s="116" t="s">
        <v>5804</v>
      </c>
      <c r="E205" s="116" t="s">
        <v>5805</v>
      </c>
      <c r="F205" s="118" t="s">
        <v>5806</v>
      </c>
      <c r="G205" s="129">
        <v>67500</v>
      </c>
      <c r="H205" s="129"/>
      <c r="I205" s="118" t="s">
        <v>679</v>
      </c>
      <c r="J205" s="8" t="s">
        <v>680</v>
      </c>
      <c r="K205" s="8" t="s">
        <v>5807</v>
      </c>
      <c r="L205" s="118" t="s">
        <v>5808</v>
      </c>
      <c r="M205" s="118" t="s">
        <v>5809</v>
      </c>
      <c r="N205" s="119">
        <f>(331400+31900)/10000</f>
        <v>36.33</v>
      </c>
      <c r="O205" s="8"/>
      <c r="P205" s="113"/>
      <c r="Q205" s="448"/>
      <c r="R205" s="118"/>
      <c r="S205" s="119"/>
      <c r="T205" s="8"/>
      <c r="U205" s="119"/>
      <c r="V205" s="8"/>
      <c r="W205" s="8"/>
      <c r="X205" s="8"/>
      <c r="Y205" s="119"/>
      <c r="Z205" s="119"/>
      <c r="AA205" s="120"/>
      <c r="AB205" s="8"/>
      <c r="AC205" s="121"/>
      <c r="AD205" s="9"/>
      <c r="AE205" s="122"/>
      <c r="AF205" s="119"/>
      <c r="AG205" s="9"/>
      <c r="AH205" s="8"/>
      <c r="AI205" s="8"/>
      <c r="AJ205" s="8"/>
      <c r="AK205" s="37"/>
      <c r="AL205" s="47" t="s">
        <v>5810</v>
      </c>
      <c r="AM205" s="74">
        <f t="shared" si="8"/>
        <v>1857.9686209744013</v>
      </c>
    </row>
    <row r="206" spans="1:39" ht="39" customHeight="1">
      <c r="A206" s="187">
        <v>27842730</v>
      </c>
      <c r="B206" s="43"/>
      <c r="C206" s="51">
        <v>44963</v>
      </c>
      <c r="D206" s="37" t="s">
        <v>5811</v>
      </c>
      <c r="E206" s="37" t="s">
        <v>5812</v>
      </c>
      <c r="F206" s="45" t="s">
        <v>5813</v>
      </c>
      <c r="G206" s="16">
        <v>240000</v>
      </c>
      <c r="H206" s="16"/>
      <c r="I206" s="43"/>
      <c r="J206" s="43" t="s">
        <v>5463</v>
      </c>
      <c r="K206" s="43">
        <v>0</v>
      </c>
      <c r="L206" s="25"/>
      <c r="M206" s="26"/>
      <c r="N206" s="46"/>
      <c r="O206" s="43"/>
      <c r="P206" s="47"/>
      <c r="Q206" s="267"/>
      <c r="R206" s="47"/>
      <c r="S206" s="43"/>
      <c r="T206" s="43"/>
      <c r="U206" s="43"/>
      <c r="V206" s="43"/>
      <c r="W206" s="43"/>
      <c r="X206" s="16"/>
      <c r="Y206" s="46"/>
      <c r="Z206" s="46"/>
      <c r="AA206" s="102"/>
      <c r="AB206" s="43"/>
      <c r="AC206" s="87"/>
      <c r="AD206" s="16"/>
      <c r="AE206" s="103"/>
      <c r="AF206" s="46"/>
      <c r="AG206" s="16"/>
      <c r="AH206" s="43"/>
      <c r="AI206" s="43"/>
      <c r="AJ206" s="43"/>
      <c r="AK206" s="37"/>
      <c r="AL206" s="47"/>
      <c r="AM206" s="74" t="e">
        <f t="shared" si="8"/>
        <v>#DIV/0!</v>
      </c>
    </row>
    <row r="207" spans="1:39" ht="39" hidden="1" customHeight="1">
      <c r="A207" s="194">
        <v>27845690</v>
      </c>
      <c r="B207" s="139"/>
      <c r="C207" s="148">
        <v>44965</v>
      </c>
      <c r="D207" s="60" t="s">
        <v>5814</v>
      </c>
      <c r="E207" s="60" t="s">
        <v>5815</v>
      </c>
      <c r="F207" s="140" t="s">
        <v>5816</v>
      </c>
      <c r="G207" s="141">
        <v>450000</v>
      </c>
      <c r="H207" s="141"/>
      <c r="I207" s="139" t="s">
        <v>321</v>
      </c>
      <c r="J207" s="139" t="s">
        <v>2388</v>
      </c>
      <c r="K207" s="139"/>
      <c r="L207" s="142">
        <v>46.353808000000001</v>
      </c>
      <c r="M207" s="143">
        <v>-71.514111999999997</v>
      </c>
      <c r="N207" s="144">
        <v>23.72</v>
      </c>
      <c r="O207" s="139" t="s">
        <v>36</v>
      </c>
      <c r="P207" s="60" t="s">
        <v>154</v>
      </c>
      <c r="Q207" s="439">
        <v>4</v>
      </c>
      <c r="R207" s="60" t="s">
        <v>4801</v>
      </c>
      <c r="S207" s="139">
        <v>21.2</v>
      </c>
      <c r="T207" s="139" t="s">
        <v>4596</v>
      </c>
      <c r="U207" s="139"/>
      <c r="V207" s="139"/>
      <c r="W207" s="139"/>
      <c r="X207" s="141"/>
      <c r="Y207" s="144">
        <v>2.52</v>
      </c>
      <c r="Z207" s="144"/>
      <c r="AA207" s="145"/>
      <c r="AB207" s="139"/>
      <c r="AC207" s="146"/>
      <c r="AD207" s="141"/>
      <c r="AE207" s="158"/>
      <c r="AF207" s="144"/>
      <c r="AG207" s="141"/>
      <c r="AH207" s="139"/>
      <c r="AI207" s="139"/>
      <c r="AJ207" s="139"/>
      <c r="AK207" s="60"/>
      <c r="AL207" s="60"/>
      <c r="AM207" s="141">
        <f t="shared" si="8"/>
        <v>18971.33220910624</v>
      </c>
    </row>
    <row r="208" spans="1:39" ht="39" hidden="1" customHeight="1">
      <c r="A208" s="187">
        <v>27846461</v>
      </c>
      <c r="B208" s="43"/>
      <c r="C208" s="51">
        <v>44965</v>
      </c>
      <c r="D208" s="37" t="s">
        <v>5817</v>
      </c>
      <c r="E208" s="37" t="s">
        <v>5818</v>
      </c>
      <c r="F208" s="43" t="s">
        <v>5819</v>
      </c>
      <c r="G208" s="1">
        <v>700000</v>
      </c>
      <c r="H208" s="1"/>
      <c r="I208" s="43" t="s">
        <v>321</v>
      </c>
      <c r="J208" s="43" t="s">
        <v>1567</v>
      </c>
      <c r="K208" s="43" t="s">
        <v>5820</v>
      </c>
      <c r="L208" s="4">
        <v>46.570796999999999</v>
      </c>
      <c r="M208" s="4">
        <v>-71.642912999999993</v>
      </c>
      <c r="N208" s="46">
        <v>39.409999999999997</v>
      </c>
      <c r="O208" s="43" t="s">
        <v>36</v>
      </c>
      <c r="P208" s="47" t="s">
        <v>206</v>
      </c>
      <c r="Q208" s="442">
        <v>4</v>
      </c>
      <c r="R208" s="47" t="s">
        <v>155</v>
      </c>
      <c r="S208" s="43">
        <v>31</v>
      </c>
      <c r="T208" s="43" t="s">
        <v>4596</v>
      </c>
      <c r="U208" s="43">
        <v>18.73</v>
      </c>
      <c r="V208" s="43" t="s">
        <v>4837</v>
      </c>
      <c r="W208" s="43"/>
      <c r="X208" s="1" t="s">
        <v>5821</v>
      </c>
      <c r="Y208" s="46">
        <v>8.41</v>
      </c>
      <c r="Z208" s="46"/>
      <c r="AA208" s="2"/>
      <c r="AB208" s="43"/>
      <c r="AC208" s="87"/>
      <c r="AD208" s="1"/>
      <c r="AE208" s="3"/>
      <c r="AF208" s="46" t="s">
        <v>5822</v>
      </c>
      <c r="AG208" s="1">
        <v>20000</v>
      </c>
      <c r="AH208" s="43" t="s">
        <v>4649</v>
      </c>
      <c r="AI208" s="43"/>
      <c r="AJ208" s="43"/>
      <c r="AK208" s="37"/>
      <c r="AL208" s="47">
        <v>429814</v>
      </c>
      <c r="AM208" s="49">
        <f t="shared" si="8"/>
        <v>17761.989342806395</v>
      </c>
    </row>
    <row r="209" spans="1:39" ht="39" hidden="1" customHeight="1">
      <c r="A209" s="187">
        <v>28299523</v>
      </c>
      <c r="C209" s="317">
        <v>44971</v>
      </c>
      <c r="D209" s="37" t="s">
        <v>5823</v>
      </c>
      <c r="E209" s="37" t="s">
        <v>5824</v>
      </c>
      <c r="F209" s="43">
        <v>3028425</v>
      </c>
      <c r="G209" s="94">
        <v>1100000</v>
      </c>
      <c r="I209" s="43" t="s">
        <v>4880</v>
      </c>
      <c r="J209" s="43" t="s">
        <v>5431</v>
      </c>
      <c r="K209" s="43" t="s">
        <v>5825</v>
      </c>
      <c r="L209" s="96">
        <v>46.601874000000002</v>
      </c>
      <c r="M209" s="96">
        <v>-71.115652999999995</v>
      </c>
      <c r="N209" s="63">
        <v>35.130000000000003</v>
      </c>
      <c r="O209" s="43" t="s">
        <v>764</v>
      </c>
      <c r="P209" s="47" t="s">
        <v>206</v>
      </c>
      <c r="Q209" s="449" t="s">
        <v>5826</v>
      </c>
      <c r="R209" s="47" t="s">
        <v>4595</v>
      </c>
      <c r="S209" s="43">
        <v>30</v>
      </c>
      <c r="T209" s="43" t="s">
        <v>4596</v>
      </c>
      <c r="U209" t="s">
        <v>764</v>
      </c>
      <c r="V209" s="43" t="s">
        <v>5029</v>
      </c>
      <c r="W209" s="43"/>
      <c r="X209" s="94" t="s">
        <v>5279</v>
      </c>
      <c r="Y209" s="63">
        <v>2</v>
      </c>
      <c r="AK209" s="66" t="s">
        <v>5827</v>
      </c>
      <c r="AL209" s="66"/>
      <c r="AM209" s="74">
        <f t="shared" si="8"/>
        <v>31312.268716196981</v>
      </c>
    </row>
    <row r="210" spans="1:39" ht="39" hidden="1" customHeight="1">
      <c r="A210" s="187">
        <v>27856244</v>
      </c>
      <c r="B210" s="43"/>
      <c r="C210" s="51">
        <v>44971</v>
      </c>
      <c r="D210" s="37" t="s">
        <v>5828</v>
      </c>
      <c r="E210" s="37" t="s">
        <v>5829</v>
      </c>
      <c r="F210" s="45">
        <v>6545720</v>
      </c>
      <c r="G210" s="1">
        <v>1195000</v>
      </c>
      <c r="H210" s="1"/>
      <c r="I210" s="43" t="s">
        <v>48</v>
      </c>
      <c r="J210" s="43" t="s">
        <v>1367</v>
      </c>
      <c r="K210" s="43" t="s">
        <v>5830</v>
      </c>
      <c r="L210" s="4" t="s">
        <v>5831</v>
      </c>
      <c r="M210" s="7" t="s">
        <v>5832</v>
      </c>
      <c r="N210" s="46">
        <v>40.35</v>
      </c>
      <c r="O210" s="43" t="s">
        <v>18</v>
      </c>
      <c r="P210" s="47" t="s">
        <v>206</v>
      </c>
      <c r="Q210" s="442">
        <v>4</v>
      </c>
      <c r="R210" s="47" t="s">
        <v>568</v>
      </c>
      <c r="S210" s="43">
        <v>32.5</v>
      </c>
      <c r="T210" s="43" t="s">
        <v>4828</v>
      </c>
      <c r="U210" s="43">
        <v>32.5</v>
      </c>
      <c r="V210" s="43" t="s">
        <v>4628</v>
      </c>
      <c r="W210" s="43"/>
      <c r="X210" s="1"/>
      <c r="Y210" s="46">
        <v>4.5</v>
      </c>
      <c r="Z210" s="46"/>
      <c r="AA210" s="2"/>
      <c r="AB210" s="43"/>
      <c r="AC210" s="87"/>
      <c r="AD210" s="1"/>
      <c r="AE210" s="3"/>
      <c r="AG210" s="1"/>
      <c r="AH210" s="43"/>
      <c r="AI210" s="43"/>
      <c r="AJ210" s="43"/>
      <c r="AK210" s="66" t="s">
        <v>5833</v>
      </c>
      <c r="AL210" s="66"/>
      <c r="AM210" s="74">
        <f t="shared" si="8"/>
        <v>29615.861214374225</v>
      </c>
    </row>
    <row r="211" spans="1:39" ht="39" customHeight="1">
      <c r="A211" s="187">
        <v>27863867</v>
      </c>
      <c r="B211" s="43"/>
      <c r="C211" s="51">
        <v>44974</v>
      </c>
      <c r="D211" s="37" t="s">
        <v>5834</v>
      </c>
      <c r="E211" s="37" t="s">
        <v>5835</v>
      </c>
      <c r="F211" s="45">
        <v>3500006</v>
      </c>
      <c r="G211" s="16" t="s">
        <v>5836</v>
      </c>
      <c r="H211" s="16"/>
      <c r="I211" s="43" t="s">
        <v>4911</v>
      </c>
      <c r="J211" s="43" t="s">
        <v>5241</v>
      </c>
      <c r="K211" s="43" t="s">
        <v>5242</v>
      </c>
      <c r="L211" s="25"/>
      <c r="M211" s="26"/>
      <c r="N211" s="46"/>
      <c r="O211" s="43"/>
      <c r="P211" s="47"/>
      <c r="Q211" s="267"/>
      <c r="R211" s="47"/>
      <c r="S211" s="43"/>
      <c r="T211" s="43"/>
      <c r="U211" s="43"/>
      <c r="V211" s="43"/>
      <c r="W211" s="43"/>
      <c r="X211" s="16"/>
      <c r="Y211" s="46"/>
      <c r="Z211" s="46"/>
      <c r="AA211" s="102"/>
      <c r="AB211" s="43"/>
      <c r="AC211" s="87"/>
      <c r="AD211" s="16"/>
      <c r="AE211" s="103"/>
      <c r="AF211" s="46"/>
      <c r="AG211" s="16"/>
      <c r="AH211" s="43"/>
      <c r="AI211" s="43"/>
      <c r="AJ211" s="43" t="s">
        <v>5837</v>
      </c>
      <c r="AK211" s="37"/>
      <c r="AL211" s="47"/>
      <c r="AM211" s="74" t="e">
        <f t="shared" si="8"/>
        <v>#VALUE!</v>
      </c>
    </row>
    <row r="212" spans="1:39" ht="39" hidden="1" customHeight="1">
      <c r="A212" s="187">
        <v>28019569</v>
      </c>
      <c r="B212" s="43"/>
      <c r="C212" s="51">
        <v>44977</v>
      </c>
      <c r="D212" s="37" t="s">
        <v>5838</v>
      </c>
      <c r="E212" s="37" t="s">
        <v>5839</v>
      </c>
      <c r="F212" s="45">
        <v>2397154</v>
      </c>
      <c r="G212" s="16">
        <v>500000</v>
      </c>
      <c r="H212" s="16"/>
      <c r="I212" s="43" t="s">
        <v>4911</v>
      </c>
      <c r="J212" s="43" t="s">
        <v>5261</v>
      </c>
      <c r="K212" s="43" t="s">
        <v>5840</v>
      </c>
      <c r="L212" s="25"/>
      <c r="M212" s="26"/>
      <c r="N212" s="46">
        <v>11.25</v>
      </c>
      <c r="O212" s="43" t="s">
        <v>4996</v>
      </c>
      <c r="P212" s="47"/>
      <c r="Q212" s="267" t="s">
        <v>5841</v>
      </c>
      <c r="R212" s="47"/>
      <c r="S212" s="43">
        <v>11.15</v>
      </c>
      <c r="T212" s="43"/>
      <c r="U212" s="43"/>
      <c r="V212" s="43"/>
      <c r="W212" s="43"/>
      <c r="X212" s="16"/>
      <c r="Y212" s="46">
        <v>9.9999999999999645E-2</v>
      </c>
      <c r="Z212" s="46"/>
      <c r="AA212" s="102"/>
      <c r="AB212" s="43"/>
      <c r="AC212" s="87"/>
      <c r="AD212" s="16"/>
      <c r="AE212" s="103"/>
      <c r="AF212" s="46"/>
      <c r="AG212" s="16"/>
      <c r="AH212" s="43"/>
      <c r="AI212" s="43"/>
      <c r="AJ212" s="43" t="s">
        <v>5150</v>
      </c>
      <c r="AK212" s="37">
        <v>0</v>
      </c>
      <c r="AL212" s="47"/>
      <c r="AM212" s="74">
        <f t="shared" si="8"/>
        <v>44444.444444444445</v>
      </c>
    </row>
    <row r="213" spans="1:39" ht="39" hidden="1" customHeight="1">
      <c r="A213" s="232">
        <v>27868350</v>
      </c>
      <c r="B213" s="43"/>
      <c r="C213" s="51">
        <v>44979</v>
      </c>
      <c r="D213" s="37" t="s">
        <v>5842</v>
      </c>
      <c r="E213" s="37" t="s">
        <v>5843</v>
      </c>
      <c r="F213" s="223">
        <v>3851395</v>
      </c>
      <c r="G213" s="224">
        <v>800000</v>
      </c>
      <c r="H213" s="1"/>
      <c r="I213" s="43" t="s">
        <v>48</v>
      </c>
      <c r="J213" s="43" t="s">
        <v>5844</v>
      </c>
      <c r="K213" s="43" t="s">
        <v>5845</v>
      </c>
      <c r="L213" s="4">
        <v>45.494233000000001</v>
      </c>
      <c r="M213" s="7">
        <v>-72.407759999999996</v>
      </c>
      <c r="N213" s="46">
        <v>57.12</v>
      </c>
      <c r="O213" s="43" t="s">
        <v>36</v>
      </c>
      <c r="P213" s="47" t="s">
        <v>5846</v>
      </c>
      <c r="Q213" s="267">
        <v>3</v>
      </c>
      <c r="R213" s="47" t="s">
        <v>4865</v>
      </c>
      <c r="S213" s="43">
        <v>19</v>
      </c>
      <c r="T213" s="43" t="s">
        <v>4596</v>
      </c>
      <c r="U213" s="43"/>
      <c r="V213" s="43"/>
      <c r="W213" s="43"/>
      <c r="X213" s="1"/>
      <c r="Y213" s="46">
        <v>37.82</v>
      </c>
      <c r="Z213" s="46"/>
      <c r="AA213" s="2"/>
      <c r="AB213" s="43"/>
      <c r="AC213" s="87"/>
      <c r="AD213" s="1"/>
      <c r="AE213" s="3"/>
      <c r="AF213" s="46"/>
      <c r="AG213" s="1"/>
      <c r="AH213" s="43"/>
      <c r="AI213" s="43"/>
      <c r="AJ213" s="43"/>
      <c r="AK213" s="37" t="s">
        <v>5847</v>
      </c>
      <c r="AL213" s="47"/>
      <c r="AM213" s="1">
        <f t="shared" si="8"/>
        <v>14005.60224089636</v>
      </c>
    </row>
    <row r="214" spans="1:39" ht="39" hidden="1" customHeight="1">
      <c r="A214" s="196">
        <v>27871678</v>
      </c>
      <c r="C214" s="317">
        <v>44980</v>
      </c>
      <c r="D214" s="247" t="s">
        <v>5848</v>
      </c>
      <c r="E214" s="247" t="s">
        <v>5849</v>
      </c>
      <c r="F214" t="s">
        <v>5850</v>
      </c>
      <c r="G214" s="94">
        <v>71750</v>
      </c>
      <c r="I214" t="s">
        <v>5851</v>
      </c>
      <c r="J214" t="s">
        <v>5852</v>
      </c>
      <c r="L214" s="96">
        <v>47.004676000000003</v>
      </c>
      <c r="M214" s="96">
        <v>-70.478904</v>
      </c>
      <c r="N214" s="63">
        <v>8.31</v>
      </c>
      <c r="O214" t="s">
        <v>18</v>
      </c>
      <c r="P214" t="s">
        <v>35</v>
      </c>
      <c r="Q214" s="436">
        <v>3</v>
      </c>
      <c r="R214" t="s">
        <v>4669</v>
      </c>
      <c r="S214" s="63">
        <v>8.31</v>
      </c>
      <c r="AK214" t="s">
        <v>5853</v>
      </c>
      <c r="AM214" s="1">
        <f t="shared" si="8"/>
        <v>8634.1756919374238</v>
      </c>
    </row>
    <row r="215" spans="1:39" ht="39" hidden="1" customHeight="1">
      <c r="A215" s="196">
        <v>27872580</v>
      </c>
      <c r="C215" s="317">
        <v>44980</v>
      </c>
      <c r="D215" s="249" t="s">
        <v>5854</v>
      </c>
      <c r="E215" s="249" t="s">
        <v>5855</v>
      </c>
      <c r="F215" t="s">
        <v>5856</v>
      </c>
      <c r="G215" s="94">
        <v>1410100</v>
      </c>
      <c r="I215" t="s">
        <v>16</v>
      </c>
      <c r="J215" t="s">
        <v>5857</v>
      </c>
      <c r="K215" s="249" t="s">
        <v>5858</v>
      </c>
      <c r="L215" s="96">
        <v>46.624955999999997</v>
      </c>
      <c r="M215" s="96">
        <v>-71.009049000000005</v>
      </c>
      <c r="N215" s="63">
        <v>64.8</v>
      </c>
      <c r="O215" t="s">
        <v>18</v>
      </c>
      <c r="P215" t="s">
        <v>19</v>
      </c>
      <c r="Q215" s="436">
        <v>4</v>
      </c>
      <c r="R215" t="s">
        <v>4801</v>
      </c>
      <c r="S215">
        <v>54.4</v>
      </c>
      <c r="Y215" s="63">
        <v>5.0999999999999996</v>
      </c>
      <c r="AK215" t="s">
        <v>5859</v>
      </c>
      <c r="AM215" s="1">
        <f t="shared" si="8"/>
        <v>21760.802469135804</v>
      </c>
    </row>
    <row r="216" spans="1:39" ht="39" hidden="1" customHeight="1">
      <c r="A216" s="187">
        <v>28529429</v>
      </c>
      <c r="B216" s="43"/>
      <c r="C216" s="51">
        <v>44986</v>
      </c>
      <c r="D216" s="37" t="s">
        <v>5860</v>
      </c>
      <c r="E216" s="37" t="s">
        <v>5861</v>
      </c>
      <c r="F216" s="45">
        <v>6491000</v>
      </c>
      <c r="G216" s="1">
        <v>900000</v>
      </c>
      <c r="H216" s="1"/>
      <c r="I216" s="43" t="s">
        <v>48</v>
      </c>
      <c r="J216" s="43" t="s">
        <v>1367</v>
      </c>
      <c r="K216" s="43" t="s">
        <v>5862</v>
      </c>
      <c r="L216" s="4" t="s">
        <v>5863</v>
      </c>
      <c r="M216" s="7" t="s">
        <v>5864</v>
      </c>
      <c r="N216" s="46">
        <v>29.92</v>
      </c>
      <c r="O216" s="43" t="s">
        <v>18</v>
      </c>
      <c r="P216" s="47" t="s">
        <v>206</v>
      </c>
      <c r="Q216" s="442">
        <v>4</v>
      </c>
      <c r="R216" s="47" t="s">
        <v>4760</v>
      </c>
      <c r="S216" s="43">
        <v>25.6</v>
      </c>
      <c r="T216" s="43" t="s">
        <v>4596</v>
      </c>
      <c r="U216" s="43">
        <v>0</v>
      </c>
      <c r="V216" s="43" t="s">
        <v>4628</v>
      </c>
      <c r="W216" s="43"/>
      <c r="X216" s="1"/>
      <c r="Y216" s="46">
        <v>0.7</v>
      </c>
      <c r="Z216" s="46"/>
      <c r="AA216" s="2"/>
      <c r="AB216" s="43"/>
      <c r="AC216" s="46"/>
      <c r="AD216" s="1"/>
      <c r="AE216" s="3"/>
      <c r="AF216" s="46" t="s">
        <v>5865</v>
      </c>
      <c r="AG216" s="1"/>
      <c r="AH216" s="43"/>
      <c r="AI216" s="43"/>
      <c r="AJ216" s="43"/>
      <c r="AK216" s="68" t="s">
        <v>5866</v>
      </c>
      <c r="AL216" s="66"/>
      <c r="AM216" s="74">
        <f t="shared" si="8"/>
        <v>30080.213903743315</v>
      </c>
    </row>
    <row r="217" spans="1:39" ht="39" hidden="1" customHeight="1">
      <c r="A217" s="187">
        <v>28529429</v>
      </c>
      <c r="B217" s="43" t="s">
        <v>4652</v>
      </c>
      <c r="C217" s="51">
        <v>44986</v>
      </c>
      <c r="D217" s="37" t="s">
        <v>5867</v>
      </c>
      <c r="E217" s="37" t="s">
        <v>5868</v>
      </c>
      <c r="F217" s="45" t="s">
        <v>5869</v>
      </c>
      <c r="G217" s="16">
        <v>900000</v>
      </c>
      <c r="H217" s="16" t="s">
        <v>4652</v>
      </c>
      <c r="I217" s="43" t="s">
        <v>1366</v>
      </c>
      <c r="J217" s="43" t="s">
        <v>5870</v>
      </c>
      <c r="K217" s="43" t="s">
        <v>5871</v>
      </c>
      <c r="L217" s="25" t="s">
        <v>4652</v>
      </c>
      <c r="M217" s="26" t="s">
        <v>4652</v>
      </c>
      <c r="N217" s="46" t="s">
        <v>4652</v>
      </c>
      <c r="O217" s="43" t="s">
        <v>4652</v>
      </c>
      <c r="P217" s="47" t="s">
        <v>4652</v>
      </c>
      <c r="Q217" s="267" t="s">
        <v>4652</v>
      </c>
      <c r="R217" s="47" t="s">
        <v>4652</v>
      </c>
      <c r="S217" s="282">
        <v>55.7</v>
      </c>
      <c r="T217" s="43" t="s">
        <v>4652</v>
      </c>
      <c r="U217" s="43"/>
      <c r="V217" s="43" t="s">
        <v>4652</v>
      </c>
      <c r="W217" s="43"/>
      <c r="X217" s="16" t="s">
        <v>4652</v>
      </c>
      <c r="Y217" s="46" t="s">
        <v>4652</v>
      </c>
      <c r="Z217" s="46"/>
      <c r="AA217" s="102"/>
      <c r="AB217" s="43"/>
      <c r="AC217" s="87"/>
      <c r="AD217" s="16"/>
      <c r="AE217" s="103"/>
      <c r="AF217" s="46"/>
      <c r="AG217" s="16" t="s">
        <v>4652</v>
      </c>
      <c r="AH217" s="43" t="s">
        <v>4652</v>
      </c>
      <c r="AI217" s="43"/>
      <c r="AJ217" s="43"/>
      <c r="AK217" s="37"/>
      <c r="AL217" s="47" t="s">
        <v>4652</v>
      </c>
      <c r="AM217" s="49">
        <f>Table3[[#This Row],[Prixdevente($)]]/Table3[[#This Row],[Superficie cultivée (ha)]]</f>
        <v>16157.98922800718</v>
      </c>
    </row>
    <row r="218" spans="1:39" ht="39" hidden="1" customHeight="1">
      <c r="A218" s="187">
        <v>27891524</v>
      </c>
      <c r="B218" s="43"/>
      <c r="C218" s="51">
        <v>44993</v>
      </c>
      <c r="D218" s="37" t="s">
        <v>5872</v>
      </c>
      <c r="E218" s="37" t="s">
        <v>5873</v>
      </c>
      <c r="F218" s="5">
        <v>5169914</v>
      </c>
      <c r="G218" s="6">
        <v>27500</v>
      </c>
      <c r="H218" s="6"/>
      <c r="I218" s="43" t="s">
        <v>602</v>
      </c>
      <c r="J218" s="43" t="s">
        <v>5233</v>
      </c>
      <c r="K218" s="43" t="s">
        <v>5874</v>
      </c>
      <c r="L218" s="1" t="s">
        <v>5875</v>
      </c>
      <c r="M218" s="1" t="s">
        <v>5876</v>
      </c>
      <c r="N218" s="46">
        <v>6.99</v>
      </c>
      <c r="O218" s="43" t="s">
        <v>18</v>
      </c>
      <c r="P218" s="47" t="s">
        <v>206</v>
      </c>
      <c r="Q218" s="442">
        <v>7</v>
      </c>
      <c r="R218" s="47" t="s">
        <v>5877</v>
      </c>
      <c r="S218" s="43">
        <v>4.7</v>
      </c>
      <c r="T218" s="43" t="s">
        <v>4596</v>
      </c>
      <c r="U218" s="43"/>
      <c r="V218" s="43"/>
      <c r="W218" s="43"/>
      <c r="X218" s="1"/>
      <c r="Y218" s="46">
        <f>6.99-4.7</f>
        <v>2.29</v>
      </c>
      <c r="Z218" s="46"/>
      <c r="AA218" s="2"/>
      <c r="AB218" s="43"/>
      <c r="AC218" s="87"/>
      <c r="AD218" s="1"/>
      <c r="AE218" s="3"/>
      <c r="AF218" s="46"/>
      <c r="AG218" s="1"/>
      <c r="AH218" s="43"/>
      <c r="AI218" s="43"/>
      <c r="AJ218" s="43"/>
      <c r="AK218" s="68" t="s">
        <v>5878</v>
      </c>
      <c r="AL218" s="66"/>
      <c r="AM218" s="74">
        <f t="shared" ref="AM218:AM231" si="9">G218/N218</f>
        <v>3934.1917024320455</v>
      </c>
    </row>
    <row r="219" spans="1:39" ht="39" hidden="1" customHeight="1">
      <c r="A219" s="187">
        <v>27893118</v>
      </c>
      <c r="B219" s="43"/>
      <c r="C219" s="51">
        <v>44993</v>
      </c>
      <c r="D219" s="37" t="s">
        <v>5879</v>
      </c>
      <c r="E219" s="37" t="s">
        <v>5880</v>
      </c>
      <c r="F219" s="43">
        <v>5442874</v>
      </c>
      <c r="G219" s="1">
        <v>900000</v>
      </c>
      <c r="H219" s="1"/>
      <c r="I219" s="43" t="s">
        <v>1075</v>
      </c>
      <c r="J219" s="43" t="s">
        <v>5881</v>
      </c>
      <c r="K219" s="5" t="s">
        <v>5882</v>
      </c>
      <c r="L219" s="1" t="s">
        <v>5883</v>
      </c>
      <c r="M219" s="1" t="s">
        <v>5884</v>
      </c>
      <c r="N219" s="46">
        <v>20.96</v>
      </c>
      <c r="O219" s="5" t="s">
        <v>18</v>
      </c>
      <c r="P219" s="12" t="s">
        <v>206</v>
      </c>
      <c r="Q219" s="442">
        <v>4</v>
      </c>
      <c r="R219" s="47" t="s">
        <v>4595</v>
      </c>
      <c r="S219" s="46">
        <f>Terre!$N53</f>
        <v>32.327954999999996</v>
      </c>
      <c r="T219" s="43"/>
      <c r="U219" s="43"/>
      <c r="V219" s="43"/>
      <c r="W219" s="43"/>
      <c r="X219" s="1"/>
      <c r="Y219" s="46"/>
      <c r="Z219" s="46"/>
      <c r="AA219" s="2"/>
      <c r="AB219" s="43"/>
      <c r="AC219" s="87"/>
      <c r="AD219" s="1"/>
      <c r="AE219" s="3"/>
      <c r="AF219" s="46"/>
      <c r="AG219" s="1"/>
      <c r="AH219" s="43"/>
      <c r="AI219" s="43"/>
      <c r="AJ219" s="43"/>
      <c r="AK219" s="66"/>
      <c r="AL219" s="66"/>
      <c r="AM219" s="74">
        <f t="shared" si="9"/>
        <v>42938.931297709925</v>
      </c>
    </row>
    <row r="220" spans="1:39" ht="39" hidden="1" customHeight="1">
      <c r="A220" s="187">
        <v>27894834</v>
      </c>
      <c r="B220" s="43"/>
      <c r="C220" s="51">
        <v>44994</v>
      </c>
      <c r="D220" s="37" t="s">
        <v>5885</v>
      </c>
      <c r="E220" s="37" t="s">
        <v>5886</v>
      </c>
      <c r="F220" s="45" t="s">
        <v>5887</v>
      </c>
      <c r="G220" s="1">
        <v>600000</v>
      </c>
      <c r="H220" s="1"/>
      <c r="I220" s="43" t="s">
        <v>48</v>
      </c>
      <c r="J220" s="43" t="s">
        <v>4981</v>
      </c>
      <c r="K220" s="43" t="s">
        <v>5888</v>
      </c>
      <c r="L220" s="4" t="s">
        <v>5889</v>
      </c>
      <c r="M220" s="7" t="s">
        <v>5890</v>
      </c>
      <c r="N220" s="46">
        <v>16.71</v>
      </c>
      <c r="O220" s="43" t="s">
        <v>18</v>
      </c>
      <c r="P220" s="47" t="s">
        <v>206</v>
      </c>
      <c r="Q220" s="267" t="s">
        <v>5891</v>
      </c>
      <c r="R220" s="47" t="s">
        <v>5485</v>
      </c>
      <c r="S220" s="43">
        <v>14.6</v>
      </c>
      <c r="T220" s="43" t="s">
        <v>4596</v>
      </c>
      <c r="U220" s="43">
        <v>14.6</v>
      </c>
      <c r="V220" s="43" t="s">
        <v>4628</v>
      </c>
      <c r="W220" s="43"/>
      <c r="X220" s="1"/>
      <c r="Y220" s="46">
        <v>0</v>
      </c>
      <c r="Z220" s="46"/>
      <c r="AA220" s="2"/>
      <c r="AB220" s="43"/>
      <c r="AC220" s="87"/>
      <c r="AD220" s="1"/>
      <c r="AE220" s="3"/>
      <c r="AF220" s="46"/>
      <c r="AG220" s="1"/>
      <c r="AH220" s="43"/>
      <c r="AI220" s="43"/>
      <c r="AJ220" s="43"/>
      <c r="AK220" s="77" t="s">
        <v>5892</v>
      </c>
      <c r="AL220" s="77"/>
      <c r="AM220" s="74">
        <f t="shared" si="9"/>
        <v>35906.642728904844</v>
      </c>
    </row>
    <row r="221" spans="1:39" ht="39" customHeight="1">
      <c r="A221" s="196">
        <v>27893306</v>
      </c>
      <c r="C221" s="317">
        <v>44994</v>
      </c>
      <c r="E221" s="247"/>
      <c r="F221" s="249" t="s">
        <v>5893</v>
      </c>
      <c r="I221" t="s">
        <v>611</v>
      </c>
      <c r="AM221" s="1" t="e">
        <f t="shared" si="9"/>
        <v>#DIV/0!</v>
      </c>
    </row>
    <row r="222" spans="1:39" ht="39" hidden="1" customHeight="1">
      <c r="A222" s="196">
        <v>27897561</v>
      </c>
      <c r="C222" s="317">
        <v>44995</v>
      </c>
      <c r="D222" s="247" t="s">
        <v>5894</v>
      </c>
      <c r="E222" s="247" t="s">
        <v>5895</v>
      </c>
      <c r="F222" t="s">
        <v>5896</v>
      </c>
      <c r="G222" s="94">
        <v>104872</v>
      </c>
      <c r="I222" t="s">
        <v>5851</v>
      </c>
      <c r="J222" t="s">
        <v>5852</v>
      </c>
      <c r="L222" s="96">
        <v>46.985011999999998</v>
      </c>
      <c r="M222" s="96">
        <v>-70.483957000000004</v>
      </c>
      <c r="N222" s="63">
        <v>14.19</v>
      </c>
      <c r="O222" t="s">
        <v>18</v>
      </c>
      <c r="P222" t="s">
        <v>19</v>
      </c>
      <c r="Q222" s="436" t="s">
        <v>5897</v>
      </c>
      <c r="R222" t="s">
        <v>4669</v>
      </c>
      <c r="S222">
        <v>11.8</v>
      </c>
      <c r="Y222" s="63">
        <v>0.8</v>
      </c>
      <c r="AK222" t="s">
        <v>5898</v>
      </c>
      <c r="AM222" s="1">
        <f t="shared" si="9"/>
        <v>7390.5567300916136</v>
      </c>
    </row>
    <row r="223" spans="1:39" ht="39" hidden="1" customHeight="1">
      <c r="A223" s="187">
        <v>27077516</v>
      </c>
      <c r="B223" s="43"/>
      <c r="C223" s="51">
        <v>44995</v>
      </c>
      <c r="D223" s="37" t="s">
        <v>5899</v>
      </c>
      <c r="E223" s="37" t="s">
        <v>5900</v>
      </c>
      <c r="F223" s="43">
        <v>5884330</v>
      </c>
      <c r="G223" s="1">
        <v>100000</v>
      </c>
      <c r="H223" s="1"/>
      <c r="I223" s="43" t="s">
        <v>747</v>
      </c>
      <c r="J223" s="43" t="s">
        <v>5901</v>
      </c>
      <c r="K223" s="5" t="s">
        <v>5902</v>
      </c>
      <c r="L223" s="1" t="s">
        <v>5903</v>
      </c>
      <c r="M223" s="1" t="s">
        <v>5904</v>
      </c>
      <c r="N223" s="46">
        <v>18.48</v>
      </c>
      <c r="O223" s="5" t="s">
        <v>18</v>
      </c>
      <c r="P223" s="12" t="s">
        <v>206</v>
      </c>
      <c r="Q223" s="442">
        <v>2</v>
      </c>
      <c r="R223" s="47" t="s">
        <v>4669</v>
      </c>
      <c r="S223" s="43">
        <f>3.8+4.5+5.1</f>
        <v>13.4</v>
      </c>
      <c r="T223" s="43" t="s">
        <v>4596</v>
      </c>
      <c r="U223" s="43"/>
      <c r="V223" s="43"/>
      <c r="W223" s="43"/>
      <c r="X223" s="1"/>
      <c r="Y223" s="46">
        <v>4.2</v>
      </c>
      <c r="Z223" s="46"/>
      <c r="AA223" s="2"/>
      <c r="AB223" s="43"/>
      <c r="AC223" s="87"/>
      <c r="AD223" s="1"/>
      <c r="AE223" s="3"/>
      <c r="AF223" s="46"/>
      <c r="AG223" s="1"/>
      <c r="AH223" s="43"/>
      <c r="AI223" s="43"/>
      <c r="AJ223" s="43"/>
      <c r="AK223" s="66"/>
      <c r="AL223" s="66"/>
      <c r="AM223" s="74">
        <f t="shared" si="9"/>
        <v>5411.2554112554108</v>
      </c>
    </row>
    <row r="224" spans="1:39" ht="39" hidden="1" customHeight="1">
      <c r="A224" s="188">
        <v>27903669</v>
      </c>
      <c r="B224" s="66"/>
      <c r="C224" s="324">
        <v>44999</v>
      </c>
      <c r="D224" s="68" t="s">
        <v>5905</v>
      </c>
      <c r="E224" s="68" t="s">
        <v>5906</v>
      </c>
      <c r="F224" s="67" t="s">
        <v>5907</v>
      </c>
      <c r="G224" s="98">
        <v>175185.24</v>
      </c>
      <c r="H224" s="98"/>
      <c r="I224" s="67" t="s">
        <v>75</v>
      </c>
      <c r="J224" s="67" t="s">
        <v>585</v>
      </c>
      <c r="K224" s="67" t="s">
        <v>5908</v>
      </c>
      <c r="L224" s="100" t="s">
        <v>5909</v>
      </c>
      <c r="M224" s="101" t="s">
        <v>5910</v>
      </c>
      <c r="N224" s="67">
        <f xml:space="preserve"> 4.53+5.13+2.98+0.01+0.26</f>
        <v>12.91</v>
      </c>
      <c r="O224" s="67" t="s">
        <v>18</v>
      </c>
      <c r="P224" s="71" t="s">
        <v>206</v>
      </c>
      <c r="Q224" s="450">
        <v>3</v>
      </c>
      <c r="R224" s="71" t="s">
        <v>155</v>
      </c>
      <c r="S224" s="67">
        <v>12.64</v>
      </c>
      <c r="T224" s="67" t="s">
        <v>4596</v>
      </c>
      <c r="U224" s="22">
        <v>0</v>
      </c>
      <c r="V224" s="67" t="s">
        <v>5029</v>
      </c>
      <c r="W224" s="67"/>
      <c r="X224" s="98" t="s">
        <v>5911</v>
      </c>
      <c r="Y224" s="67">
        <v>0.26</v>
      </c>
      <c r="Z224" s="67"/>
      <c r="AA224" s="70"/>
      <c r="AB224" s="67"/>
      <c r="AC224" s="70"/>
      <c r="AD224" s="72"/>
      <c r="AE224" s="73"/>
      <c r="AF224" s="68"/>
      <c r="AG224" s="71"/>
      <c r="AH224" s="74"/>
      <c r="AI224" s="67"/>
      <c r="AJ224" s="66"/>
      <c r="AK224" s="66"/>
      <c r="AL224" s="66"/>
      <c r="AM224" s="74">
        <f t="shared" si="9"/>
        <v>13569.731990704879</v>
      </c>
    </row>
    <row r="225" spans="1:39" ht="39" hidden="1" customHeight="1">
      <c r="A225" s="188">
        <v>27903562</v>
      </c>
      <c r="B225" s="67"/>
      <c r="C225" s="320">
        <v>44999</v>
      </c>
      <c r="D225" s="68" t="s">
        <v>5912</v>
      </c>
      <c r="E225" s="68" t="s">
        <v>5913</v>
      </c>
      <c r="F225" s="67" t="s">
        <v>5914</v>
      </c>
      <c r="G225" s="21">
        <v>1424814.76</v>
      </c>
      <c r="H225" s="67"/>
      <c r="I225" s="67" t="s">
        <v>75</v>
      </c>
      <c r="J225" s="67" t="s">
        <v>585</v>
      </c>
      <c r="K225" s="67" t="s">
        <v>5908</v>
      </c>
      <c r="L225" s="22" t="s">
        <v>5915</v>
      </c>
      <c r="M225" s="23" t="s">
        <v>5916</v>
      </c>
      <c r="N225" s="70">
        <f>9.93+1.78+3.03+13.13+18.49+2.82+14.6+13.34+0.06</f>
        <v>77.180000000000007</v>
      </c>
      <c r="O225" s="67" t="s">
        <v>18</v>
      </c>
      <c r="P225" s="71" t="s">
        <v>206</v>
      </c>
      <c r="Q225" s="450">
        <v>2</v>
      </c>
      <c r="R225" s="71" t="s">
        <v>155</v>
      </c>
      <c r="S225" s="67">
        <v>73.95</v>
      </c>
      <c r="T225" s="67" t="s">
        <v>4596</v>
      </c>
      <c r="U225" s="130">
        <v>0</v>
      </c>
      <c r="V225" s="67" t="s">
        <v>5029</v>
      </c>
      <c r="W225" s="67"/>
      <c r="X225" s="98" t="s">
        <v>5911</v>
      </c>
      <c r="Y225" s="123">
        <v>3.23</v>
      </c>
      <c r="Z225" s="123"/>
      <c r="AA225" s="99"/>
      <c r="AB225" s="66"/>
      <c r="AC225" s="124"/>
      <c r="AD225" s="98"/>
      <c r="AE225" s="98"/>
      <c r="AF225" s="123"/>
      <c r="AG225" s="98"/>
      <c r="AH225" s="66"/>
      <c r="AI225" s="66"/>
      <c r="AJ225" s="66"/>
      <c r="AM225" s="49">
        <f t="shared" si="9"/>
        <v>18460.932365897901</v>
      </c>
    </row>
    <row r="226" spans="1:39" ht="39" customHeight="1">
      <c r="A226" s="196" t="s">
        <v>5917</v>
      </c>
      <c r="C226" s="317">
        <v>45000</v>
      </c>
      <c r="F226" t="s">
        <v>5918</v>
      </c>
      <c r="G226" s="94">
        <v>820000</v>
      </c>
      <c r="I226" t="s">
        <v>1363</v>
      </c>
      <c r="AM226" s="1" t="e">
        <f t="shared" si="9"/>
        <v>#DIV/0!</v>
      </c>
    </row>
    <row r="227" spans="1:39" ht="39" hidden="1" customHeight="1">
      <c r="A227" s="187">
        <v>28071856</v>
      </c>
      <c r="B227" s="43"/>
      <c r="C227" s="51">
        <v>45001</v>
      </c>
      <c r="D227" s="37" t="s">
        <v>5919</v>
      </c>
      <c r="E227" s="37" t="s">
        <v>5920</v>
      </c>
      <c r="F227" s="43">
        <v>4833158</v>
      </c>
      <c r="G227" s="1">
        <v>1475000</v>
      </c>
      <c r="H227" s="1"/>
      <c r="I227" s="43" t="s">
        <v>1075</v>
      </c>
      <c r="J227" s="43" t="s">
        <v>4903</v>
      </c>
      <c r="K227" s="5" t="s">
        <v>5921</v>
      </c>
      <c r="L227" s="1" t="s">
        <v>5922</v>
      </c>
      <c r="M227" s="1" t="s">
        <v>5923</v>
      </c>
      <c r="N227" s="46">
        <v>52.39</v>
      </c>
      <c r="O227" s="5" t="s">
        <v>18</v>
      </c>
      <c r="P227" s="12" t="s">
        <v>206</v>
      </c>
      <c r="Q227" s="442">
        <v>2</v>
      </c>
      <c r="R227" s="47" t="s">
        <v>4669</v>
      </c>
      <c r="S227" s="43">
        <f>3.7+3+4.7+5.1+3.3+2.2+2.4+0.4</f>
        <v>24.799999999999997</v>
      </c>
      <c r="T227" s="43" t="s">
        <v>4596</v>
      </c>
      <c r="U227" s="43">
        <f>Terre!$S51</f>
        <v>28.3</v>
      </c>
      <c r="V227" s="43" t="s">
        <v>4837</v>
      </c>
      <c r="W227" s="43"/>
      <c r="X227" s="1"/>
      <c r="Y227" s="46">
        <v>23.9</v>
      </c>
      <c r="Z227" s="46"/>
      <c r="AA227" s="2"/>
      <c r="AB227" s="43"/>
      <c r="AC227" s="87"/>
      <c r="AD227" s="1"/>
      <c r="AE227" s="3"/>
      <c r="AF227" s="46" t="s">
        <v>5924</v>
      </c>
      <c r="AG227" s="1">
        <v>23200</v>
      </c>
      <c r="AH227" s="43" t="s">
        <v>5223</v>
      </c>
      <c r="AI227" s="43"/>
      <c r="AJ227" s="43"/>
      <c r="AM227" s="49">
        <f t="shared" si="9"/>
        <v>28154.227906088949</v>
      </c>
    </row>
    <row r="228" spans="1:39" ht="39" hidden="1" customHeight="1">
      <c r="A228" s="187">
        <v>27912156</v>
      </c>
      <c r="B228" s="43"/>
      <c r="C228" s="51">
        <v>45005</v>
      </c>
      <c r="D228" s="37"/>
      <c r="E228" s="37"/>
      <c r="F228" s="45" t="s">
        <v>5925</v>
      </c>
      <c r="G228" s="1">
        <v>370000</v>
      </c>
      <c r="H228" s="1"/>
      <c r="I228" s="43" t="s">
        <v>53</v>
      </c>
      <c r="J228" s="43" t="s">
        <v>4776</v>
      </c>
      <c r="K228" s="43" t="s">
        <v>4776</v>
      </c>
      <c r="L228" s="4">
        <v>47.639282999999999</v>
      </c>
      <c r="M228" s="7">
        <v>-68.841414</v>
      </c>
      <c r="N228" s="46">
        <v>58.63</v>
      </c>
      <c r="O228" s="43" t="s">
        <v>18</v>
      </c>
      <c r="P228" s="47" t="s">
        <v>361</v>
      </c>
      <c r="Q228" s="267">
        <v>4</v>
      </c>
      <c r="R228" s="47" t="s">
        <v>5016</v>
      </c>
      <c r="S228" s="43">
        <v>22.2</v>
      </c>
      <c r="T228" s="43" t="s">
        <v>5087</v>
      </c>
      <c r="U228" s="43"/>
      <c r="V228" s="43"/>
      <c r="W228" s="43"/>
      <c r="X228" s="1"/>
      <c r="Y228" s="46">
        <f>Table3[[#This Row],[Superficie totale (ha)]]-Table3[[#This Row],[Superficie cultivée (ha)]]</f>
        <v>36.430000000000007</v>
      </c>
      <c r="Z228" s="46"/>
      <c r="AA228" s="2"/>
      <c r="AB228" s="43"/>
      <c r="AC228" s="87"/>
      <c r="AD228" s="1"/>
      <c r="AE228" s="3"/>
      <c r="AF228" s="46"/>
      <c r="AG228" s="1"/>
      <c r="AH228" s="43"/>
      <c r="AI228" s="43"/>
      <c r="AJ228" s="43"/>
      <c r="AK228" s="37"/>
      <c r="AL228" s="47"/>
      <c r="AM228" s="1">
        <f t="shared" si="9"/>
        <v>6310.7624083233841</v>
      </c>
    </row>
    <row r="229" spans="1:39" ht="39" hidden="1" customHeight="1">
      <c r="A229" s="187">
        <v>27915114</v>
      </c>
      <c r="B229" s="43"/>
      <c r="C229" s="51">
        <v>45006</v>
      </c>
      <c r="D229" s="37" t="s">
        <v>5926</v>
      </c>
      <c r="E229" s="37" t="s">
        <v>5927</v>
      </c>
      <c r="F229" s="43" t="s">
        <v>5928</v>
      </c>
      <c r="G229" s="16">
        <v>667041</v>
      </c>
      <c r="H229" s="16"/>
      <c r="I229" s="43" t="s">
        <v>321</v>
      </c>
      <c r="J229" s="43" t="s">
        <v>321</v>
      </c>
      <c r="K229" s="43" t="s">
        <v>5929</v>
      </c>
      <c r="L229" s="25" t="s">
        <v>5930</v>
      </c>
      <c r="M229" s="25" t="s">
        <v>5931</v>
      </c>
      <c r="N229" s="46">
        <f>18.76+3.32</f>
        <v>22.080000000000002</v>
      </c>
      <c r="O229" s="43" t="s">
        <v>36</v>
      </c>
      <c r="P229" s="47" t="s">
        <v>154</v>
      </c>
      <c r="Q229" s="442">
        <v>2</v>
      </c>
      <c r="R229" s="47" t="s">
        <v>4669</v>
      </c>
      <c r="S229" s="43">
        <f>2.4+7.1+0.3+0.2+7.6</f>
        <v>17.600000000000001</v>
      </c>
      <c r="T229" s="43" t="s">
        <v>4596</v>
      </c>
      <c r="U229" s="43"/>
      <c r="V229" s="43"/>
      <c r="W229" s="43"/>
      <c r="X229" s="16"/>
      <c r="Y229" s="46">
        <v>2</v>
      </c>
      <c r="Z229" s="46"/>
      <c r="AA229" s="102"/>
      <c r="AB229" s="43"/>
      <c r="AC229" s="87"/>
      <c r="AD229" s="16"/>
      <c r="AE229" s="103"/>
      <c r="AF229" s="46"/>
      <c r="AG229" s="16"/>
      <c r="AH229" s="43"/>
      <c r="AI229" s="43"/>
      <c r="AJ229" s="43"/>
      <c r="AM229" s="49">
        <f t="shared" si="9"/>
        <v>30210.1902173913</v>
      </c>
    </row>
    <row r="230" spans="1:39" ht="39" hidden="1" customHeight="1">
      <c r="A230" s="187">
        <v>27920210</v>
      </c>
      <c r="B230" s="43"/>
      <c r="C230" s="51">
        <v>45007</v>
      </c>
      <c r="D230" s="37" t="s">
        <v>5932</v>
      </c>
      <c r="E230" s="37" t="s">
        <v>5933</v>
      </c>
      <c r="F230" s="45">
        <v>2814312</v>
      </c>
      <c r="G230" s="1">
        <v>1900000</v>
      </c>
      <c r="H230" s="1"/>
      <c r="I230" s="43" t="s">
        <v>201</v>
      </c>
      <c r="J230" s="43" t="s">
        <v>202</v>
      </c>
      <c r="K230" s="43" t="s">
        <v>5934</v>
      </c>
      <c r="L230" s="4" t="s">
        <v>5935</v>
      </c>
      <c r="M230" s="7" t="s">
        <v>5936</v>
      </c>
      <c r="N230" s="46">
        <v>47.12</v>
      </c>
      <c r="O230" s="43" t="s">
        <v>764</v>
      </c>
      <c r="P230" s="47" t="s">
        <v>206</v>
      </c>
      <c r="Q230" s="442">
        <v>2</v>
      </c>
      <c r="R230" s="47" t="s">
        <v>4710</v>
      </c>
      <c r="S230" s="46">
        <v>22.2</v>
      </c>
      <c r="T230" s="43" t="s">
        <v>5103</v>
      </c>
      <c r="U230" s="43">
        <v>0</v>
      </c>
      <c r="V230" s="43"/>
      <c r="W230" s="43"/>
      <c r="X230" s="1"/>
      <c r="Y230" s="46">
        <v>21.6</v>
      </c>
      <c r="Z230" s="46"/>
      <c r="AA230" s="2"/>
      <c r="AB230" s="43"/>
      <c r="AC230" s="87"/>
      <c r="AD230" s="1"/>
      <c r="AE230" s="3"/>
      <c r="AF230" s="46"/>
      <c r="AG230" s="1"/>
      <c r="AH230" s="43"/>
      <c r="AI230" s="43"/>
      <c r="AJ230" s="43"/>
      <c r="AM230" s="49">
        <f t="shared" si="9"/>
        <v>40322.580645161295</v>
      </c>
    </row>
    <row r="231" spans="1:39" ht="39" hidden="1" customHeight="1">
      <c r="A231" s="187">
        <v>27931679</v>
      </c>
      <c r="B231" s="43"/>
      <c r="C231" s="51">
        <v>45012</v>
      </c>
      <c r="D231" s="37" t="s">
        <v>5937</v>
      </c>
      <c r="E231" s="37" t="s">
        <v>5938</v>
      </c>
      <c r="F231" s="43" t="s">
        <v>5939</v>
      </c>
      <c r="G231" s="1">
        <v>550000</v>
      </c>
      <c r="H231" s="1"/>
      <c r="I231" s="43" t="s">
        <v>16</v>
      </c>
      <c r="J231" s="43" t="s">
        <v>295</v>
      </c>
      <c r="K231" s="43" t="s">
        <v>5940</v>
      </c>
      <c r="L231" s="4">
        <v>46.608600000000003</v>
      </c>
      <c r="M231" s="4">
        <v>-70.954246999999995</v>
      </c>
      <c r="N231" s="46">
        <v>17.8</v>
      </c>
      <c r="O231" s="43" t="s">
        <v>36</v>
      </c>
      <c r="P231" s="47" t="s">
        <v>206</v>
      </c>
      <c r="Q231" s="442">
        <v>4</v>
      </c>
      <c r="R231" s="47" t="s">
        <v>4801</v>
      </c>
      <c r="S231" s="43">
        <v>14.9</v>
      </c>
      <c r="T231" s="43" t="s">
        <v>4819</v>
      </c>
      <c r="U231" s="43">
        <v>0</v>
      </c>
      <c r="V231" s="43" t="s">
        <v>4837</v>
      </c>
      <c r="W231" s="43"/>
      <c r="X231" s="1" t="s">
        <v>4947</v>
      </c>
      <c r="Y231" s="46" t="s">
        <v>5941</v>
      </c>
      <c r="Z231" s="46"/>
      <c r="AA231" s="2"/>
      <c r="AB231" s="43"/>
      <c r="AC231" s="87"/>
      <c r="AD231" s="1"/>
      <c r="AE231" s="3"/>
      <c r="AF231" s="46"/>
      <c r="AG231" s="1"/>
      <c r="AH231" s="43"/>
      <c r="AI231" s="43"/>
      <c r="AJ231" s="43"/>
      <c r="AL231" t="s">
        <v>5942</v>
      </c>
      <c r="AM231" s="49">
        <f t="shared" si="9"/>
        <v>30898.876404494382</v>
      </c>
    </row>
    <row r="232" spans="1:39" ht="39" hidden="1" customHeight="1">
      <c r="A232" s="351">
        <v>27928223</v>
      </c>
      <c r="B232" s="66"/>
      <c r="C232" s="324">
        <v>45013</v>
      </c>
      <c r="D232" s="66" t="s">
        <v>5943</v>
      </c>
      <c r="E232" s="66" t="s">
        <v>5944</v>
      </c>
      <c r="F232" s="66" t="s">
        <v>5945</v>
      </c>
      <c r="G232" s="98">
        <v>25000</v>
      </c>
      <c r="H232" s="98"/>
      <c r="I232" s="66" t="s">
        <v>4767</v>
      </c>
      <c r="J232" s="66" t="s">
        <v>5946</v>
      </c>
      <c r="K232" s="66" t="s">
        <v>5947</v>
      </c>
      <c r="L232" s="100">
        <v>48.181220000000003</v>
      </c>
      <c r="M232" s="101" t="s">
        <v>5948</v>
      </c>
      <c r="N232" s="123">
        <v>35.380000000000003</v>
      </c>
      <c r="O232" s="66" t="s">
        <v>18</v>
      </c>
      <c r="P232" s="66" t="s">
        <v>206</v>
      </c>
      <c r="Q232" s="450" t="s">
        <v>4771</v>
      </c>
      <c r="R232" s="66" t="s">
        <v>5949</v>
      </c>
      <c r="S232" s="66">
        <v>13.1</v>
      </c>
      <c r="T232" s="66" t="s">
        <v>4596</v>
      </c>
      <c r="U232" s="66"/>
      <c r="V232" s="66"/>
      <c r="W232" s="66" t="s">
        <v>4774</v>
      </c>
      <c r="X232" s="98"/>
      <c r="Y232" s="123">
        <f>Table3[[#This Row],[Superficie totale (ha)]]-Table3[[#This Row],[Superficie cultivée (ha)]]</f>
        <v>22.28</v>
      </c>
      <c r="Z232" s="123"/>
      <c r="AA232" s="99"/>
      <c r="AB232" s="66"/>
      <c r="AC232" s="124"/>
      <c r="AD232" s="98"/>
      <c r="AE232" s="98"/>
      <c r="AF232" s="123"/>
      <c r="AG232" s="98"/>
      <c r="AH232" s="66"/>
      <c r="AI232" s="66"/>
      <c r="AJ232" s="66"/>
      <c r="AK232" s="66" t="s">
        <v>5950</v>
      </c>
      <c r="AL232" s="66"/>
      <c r="AM232" s="465">
        <f>Table3[[#This Row],[Prixdevente($)]]/N232</f>
        <v>706.61390616167319</v>
      </c>
    </row>
    <row r="233" spans="1:39" ht="39" hidden="1" customHeight="1">
      <c r="A233" s="227">
        <v>27933294</v>
      </c>
      <c r="B233" s="66"/>
      <c r="C233" s="320">
        <v>45015</v>
      </c>
      <c r="D233" s="68" t="s">
        <v>5951</v>
      </c>
      <c r="E233" s="68" t="s">
        <v>5952</v>
      </c>
      <c r="F233" s="67" t="s">
        <v>5953</v>
      </c>
      <c r="G233" s="125">
        <v>670000</v>
      </c>
      <c r="H233" s="98"/>
      <c r="I233" s="67" t="s">
        <v>75</v>
      </c>
      <c r="J233" s="67" t="s">
        <v>2275</v>
      </c>
      <c r="K233" s="67" t="s">
        <v>5954</v>
      </c>
      <c r="L233" s="131" t="s">
        <v>5955</v>
      </c>
      <c r="M233" s="101" t="s">
        <v>5956</v>
      </c>
      <c r="N233" s="70">
        <f>0.03+14.78+1.72+0.16+3.1+3.51</f>
        <v>23.299999999999997</v>
      </c>
      <c r="O233" s="67" t="s">
        <v>36</v>
      </c>
      <c r="P233" s="71" t="s">
        <v>206</v>
      </c>
      <c r="Q233" s="430">
        <v>2</v>
      </c>
      <c r="R233" s="66" t="s">
        <v>4669</v>
      </c>
      <c r="S233" s="110">
        <v>23.3</v>
      </c>
      <c r="T233" s="67" t="s">
        <v>4596</v>
      </c>
      <c r="U233" s="66">
        <v>0</v>
      </c>
      <c r="V233" s="67" t="s">
        <v>5029</v>
      </c>
      <c r="W233" s="67"/>
      <c r="X233" s="98" t="s">
        <v>4885</v>
      </c>
      <c r="Y233" s="123">
        <v>0</v>
      </c>
      <c r="Z233" s="123"/>
      <c r="AA233" s="99"/>
      <c r="AB233" s="66"/>
      <c r="AC233" s="124"/>
      <c r="AD233" s="98"/>
      <c r="AE233" s="98"/>
      <c r="AF233" s="123"/>
      <c r="AG233" s="98"/>
      <c r="AH233" s="66"/>
      <c r="AI233" s="66"/>
      <c r="AJ233" s="66"/>
      <c r="AM233" s="49">
        <f t="shared" ref="AM233:AM241" si="10">G233/N233</f>
        <v>28755.364806866957</v>
      </c>
    </row>
    <row r="234" spans="1:39" ht="39" hidden="1" customHeight="1">
      <c r="A234" s="187">
        <v>27938904</v>
      </c>
      <c r="B234" s="43"/>
      <c r="C234" s="51">
        <v>45019</v>
      </c>
      <c r="D234" s="37" t="s">
        <v>5957</v>
      </c>
      <c r="E234" s="37" t="s">
        <v>5958</v>
      </c>
      <c r="F234" s="45" t="s">
        <v>5959</v>
      </c>
      <c r="G234" s="1">
        <v>600000</v>
      </c>
      <c r="H234" s="1"/>
      <c r="I234" s="43" t="s">
        <v>5423</v>
      </c>
      <c r="J234" s="43" t="s">
        <v>231</v>
      </c>
      <c r="K234" s="43" t="s">
        <v>5960</v>
      </c>
      <c r="L234" s="4" t="s">
        <v>5961</v>
      </c>
      <c r="M234" s="7" t="s">
        <v>5962</v>
      </c>
      <c r="N234" s="46">
        <v>65.12</v>
      </c>
      <c r="O234" s="43" t="s">
        <v>18</v>
      </c>
      <c r="P234" s="47" t="s">
        <v>206</v>
      </c>
      <c r="Q234" s="267" t="s">
        <v>5891</v>
      </c>
      <c r="R234" s="47" t="s">
        <v>5963</v>
      </c>
      <c r="S234" s="43">
        <v>17.899999999999999</v>
      </c>
      <c r="T234" s="43" t="s">
        <v>4828</v>
      </c>
      <c r="U234" s="43">
        <v>0</v>
      </c>
      <c r="V234" s="43" t="s">
        <v>4628</v>
      </c>
      <c r="W234" s="43"/>
      <c r="X234" s="1"/>
      <c r="Y234" s="46">
        <v>24.87</v>
      </c>
      <c r="Z234" s="46"/>
      <c r="AA234" s="2"/>
      <c r="AB234" s="43"/>
      <c r="AC234" s="87"/>
      <c r="AD234" s="1"/>
      <c r="AE234" s="3"/>
      <c r="AF234" s="46"/>
      <c r="AG234" s="1"/>
      <c r="AH234" s="43"/>
      <c r="AI234" s="43"/>
      <c r="AJ234" s="43"/>
      <c r="AM234" s="49">
        <f t="shared" si="10"/>
        <v>9213.7592137592128</v>
      </c>
    </row>
    <row r="235" spans="1:39" ht="39" hidden="1" customHeight="1">
      <c r="A235" s="196">
        <v>27940138</v>
      </c>
      <c r="C235" s="317">
        <v>45020</v>
      </c>
      <c r="D235" t="s">
        <v>5964</v>
      </c>
      <c r="E235" s="20" t="s">
        <v>5965</v>
      </c>
      <c r="F235" s="269">
        <v>4228550</v>
      </c>
      <c r="G235" s="94">
        <v>267000</v>
      </c>
      <c r="I235" s="43" t="s">
        <v>5507</v>
      </c>
      <c r="J235" s="43" t="s">
        <v>3032</v>
      </c>
      <c r="K235" s="43" t="s">
        <v>5966</v>
      </c>
      <c r="L235" s="96" t="s">
        <v>5967</v>
      </c>
      <c r="M235" s="245" t="s">
        <v>5968</v>
      </c>
      <c r="N235" s="63">
        <v>21.08</v>
      </c>
      <c r="O235" s="43" t="s">
        <v>36</v>
      </c>
      <c r="P235" s="47" t="s">
        <v>206</v>
      </c>
      <c r="Q235" s="436">
        <v>2</v>
      </c>
      <c r="R235" t="s">
        <v>5949</v>
      </c>
      <c r="S235">
        <f>6.4+11.6</f>
        <v>18</v>
      </c>
      <c r="T235" s="139" t="s">
        <v>4596</v>
      </c>
      <c r="Y235" s="63">
        <v>1.8</v>
      </c>
      <c r="AM235" s="1">
        <f t="shared" si="10"/>
        <v>12666.034155597725</v>
      </c>
    </row>
    <row r="236" spans="1:39" ht="39" customHeight="1">
      <c r="A236" s="196">
        <v>27941478</v>
      </c>
      <c r="C236" s="317">
        <v>45020</v>
      </c>
      <c r="F236" s="247" t="s">
        <v>5969</v>
      </c>
      <c r="I236" t="s">
        <v>611</v>
      </c>
      <c r="AM236" s="1" t="e">
        <f t="shared" si="10"/>
        <v>#DIV/0!</v>
      </c>
    </row>
    <row r="237" spans="1:39" ht="39" hidden="1" customHeight="1">
      <c r="A237" s="187">
        <v>28099792</v>
      </c>
      <c r="B237" s="43"/>
      <c r="C237" s="51">
        <v>45026</v>
      </c>
      <c r="D237" s="37" t="s">
        <v>5970</v>
      </c>
      <c r="E237" s="37" t="s">
        <v>5971</v>
      </c>
      <c r="F237" s="43">
        <v>5743244</v>
      </c>
      <c r="G237" s="1">
        <v>350000</v>
      </c>
      <c r="H237" s="1"/>
      <c r="I237" s="43" t="s">
        <v>747</v>
      </c>
      <c r="J237" s="43" t="s">
        <v>929</v>
      </c>
      <c r="K237" s="43" t="s">
        <v>5972</v>
      </c>
      <c r="L237" s="1" t="s">
        <v>5973</v>
      </c>
      <c r="M237" s="1" t="s">
        <v>5974</v>
      </c>
      <c r="N237" s="46">
        <v>13.93</v>
      </c>
      <c r="O237" s="43" t="s">
        <v>36</v>
      </c>
      <c r="P237" s="47" t="s">
        <v>206</v>
      </c>
      <c r="Q237" s="442">
        <v>4</v>
      </c>
      <c r="R237" s="47" t="s">
        <v>4595</v>
      </c>
      <c r="S237" s="43">
        <v>5.7</v>
      </c>
      <c r="T237" s="43" t="s">
        <v>4596</v>
      </c>
      <c r="U237" s="43"/>
      <c r="V237" s="43"/>
      <c r="W237" s="43"/>
      <c r="X237" s="1"/>
      <c r="Y237" s="46">
        <v>6.4</v>
      </c>
      <c r="Z237" s="46"/>
      <c r="AA237" s="2"/>
      <c r="AB237" s="43"/>
      <c r="AC237" s="87"/>
      <c r="AD237" s="1"/>
      <c r="AE237" s="3"/>
      <c r="AF237" s="46"/>
      <c r="AG237" s="1"/>
      <c r="AH237" s="43"/>
      <c r="AI237" s="43"/>
      <c r="AJ237" s="43"/>
      <c r="AM237" s="49">
        <f t="shared" si="10"/>
        <v>25125.628140703517</v>
      </c>
    </row>
    <row r="238" spans="1:39" ht="39" hidden="1" customHeight="1">
      <c r="A238" s="187">
        <v>27951352</v>
      </c>
      <c r="B238" s="43"/>
      <c r="C238" s="51">
        <v>45028</v>
      </c>
      <c r="D238" s="37" t="s">
        <v>5975</v>
      </c>
      <c r="E238" s="37" t="s">
        <v>5976</v>
      </c>
      <c r="F238" s="45" t="s">
        <v>5977</v>
      </c>
      <c r="G238" s="1">
        <v>1500000</v>
      </c>
      <c r="H238" s="1"/>
      <c r="I238" s="43" t="s">
        <v>48</v>
      </c>
      <c r="J238" s="43" t="s">
        <v>5978</v>
      </c>
      <c r="K238" s="43" t="s">
        <v>5979</v>
      </c>
      <c r="L238" s="4" t="s">
        <v>5980</v>
      </c>
      <c r="M238" s="7" t="s">
        <v>5981</v>
      </c>
      <c r="N238" s="46">
        <v>83.12</v>
      </c>
      <c r="O238" s="43" t="s">
        <v>18</v>
      </c>
      <c r="P238" s="47" t="s">
        <v>4702</v>
      </c>
      <c r="Q238" s="442">
        <v>7</v>
      </c>
      <c r="R238" s="47" t="s">
        <v>590</v>
      </c>
      <c r="S238" s="43">
        <v>45.7</v>
      </c>
      <c r="T238" s="43" t="s">
        <v>4828</v>
      </c>
      <c r="U238" s="43">
        <v>0</v>
      </c>
      <c r="V238" s="43" t="s">
        <v>4628</v>
      </c>
      <c r="W238" s="43"/>
      <c r="X238" s="1"/>
      <c r="Y238" s="46">
        <v>27.5</v>
      </c>
      <c r="Z238" s="46"/>
      <c r="AA238" s="2"/>
      <c r="AB238" s="43"/>
      <c r="AC238" s="87"/>
      <c r="AD238" s="1"/>
      <c r="AE238" s="3"/>
      <c r="AF238" s="46"/>
      <c r="AG238" s="1"/>
      <c r="AH238" s="43"/>
      <c r="AI238" s="43"/>
      <c r="AJ238" s="43"/>
      <c r="AK238" s="37"/>
      <c r="AL238" s="47"/>
      <c r="AM238" s="49">
        <f t="shared" si="10"/>
        <v>18046.198267564967</v>
      </c>
    </row>
    <row r="239" spans="1:39" ht="39" hidden="1" customHeight="1">
      <c r="A239" s="196">
        <v>27954983</v>
      </c>
      <c r="C239" s="317">
        <v>45029</v>
      </c>
      <c r="D239" s="247" t="s">
        <v>5982</v>
      </c>
      <c r="E239" s="247" t="s">
        <v>5983</v>
      </c>
      <c r="F239" s="247" t="s">
        <v>5984</v>
      </c>
      <c r="G239" s="94">
        <v>1095000</v>
      </c>
      <c r="I239" t="s">
        <v>5985</v>
      </c>
      <c r="J239" t="s">
        <v>5986</v>
      </c>
      <c r="L239" s="96">
        <v>45.978194000000002</v>
      </c>
      <c r="M239" s="96">
        <v>-72.064518000000007</v>
      </c>
      <c r="N239" s="63">
        <v>29.76</v>
      </c>
      <c r="O239" t="s">
        <v>36</v>
      </c>
      <c r="P239" t="s">
        <v>35</v>
      </c>
      <c r="Q239" s="436">
        <v>3</v>
      </c>
      <c r="R239" t="s">
        <v>155</v>
      </c>
      <c r="S239">
        <v>27.4</v>
      </c>
      <c r="T239" t="s">
        <v>4596</v>
      </c>
      <c r="Y239" s="63">
        <v>0</v>
      </c>
      <c r="AK239" t="s">
        <v>5987</v>
      </c>
      <c r="AM239" s="1">
        <f t="shared" si="10"/>
        <v>36794.354838709674</v>
      </c>
    </row>
    <row r="240" spans="1:39" ht="39" hidden="1" customHeight="1">
      <c r="A240" s="190">
        <v>27956155</v>
      </c>
      <c r="B240" s="43"/>
      <c r="C240" s="51">
        <v>45030</v>
      </c>
      <c r="D240" s="43" t="s">
        <v>5988</v>
      </c>
      <c r="E240" s="43" t="s">
        <v>5989</v>
      </c>
      <c r="F240" s="45">
        <v>4340427</v>
      </c>
      <c r="G240" s="1">
        <v>210000</v>
      </c>
      <c r="H240" s="82"/>
      <c r="I240" s="43" t="s">
        <v>49</v>
      </c>
      <c r="J240" s="43" t="s">
        <v>4756</v>
      </c>
      <c r="K240" s="43" t="s">
        <v>5990</v>
      </c>
      <c r="L240" s="4" t="s">
        <v>5991</v>
      </c>
      <c r="M240" s="4" t="s">
        <v>5992</v>
      </c>
      <c r="N240" s="46">
        <v>31.83</v>
      </c>
      <c r="O240" s="43" t="s">
        <v>18</v>
      </c>
      <c r="P240" s="43" t="s">
        <v>384</v>
      </c>
      <c r="Q240" s="444">
        <v>5</v>
      </c>
      <c r="R240" s="43" t="s">
        <v>5993</v>
      </c>
      <c r="S240" s="43">
        <v>19.399999999999999</v>
      </c>
      <c r="T240" s="43" t="s">
        <v>5388</v>
      </c>
      <c r="U240" s="43"/>
      <c r="V240" s="43"/>
      <c r="W240" s="43"/>
      <c r="X240" s="1"/>
      <c r="Y240" s="46">
        <v>7.8</v>
      </c>
      <c r="Z240" s="46"/>
      <c r="AA240" s="2"/>
      <c r="AB240" s="43"/>
      <c r="AC240" s="87"/>
      <c r="AD240" s="1"/>
      <c r="AE240" s="1"/>
      <c r="AF240" s="46"/>
      <c r="AG240" s="1"/>
      <c r="AH240" s="43"/>
      <c r="AI240" s="43"/>
      <c r="AJ240" s="43"/>
      <c r="AK240" s="43" t="s">
        <v>5994</v>
      </c>
      <c r="AL240" s="43"/>
      <c r="AM240" s="1">
        <f t="shared" si="10"/>
        <v>6597.5494816211121</v>
      </c>
    </row>
    <row r="241" spans="1:39" ht="39" customHeight="1">
      <c r="A241" s="187">
        <v>27959261</v>
      </c>
      <c r="B241" s="43"/>
      <c r="C241" s="51">
        <v>45030</v>
      </c>
      <c r="D241" s="37" t="s">
        <v>5995</v>
      </c>
      <c r="E241" s="37" t="s">
        <v>5996</v>
      </c>
      <c r="F241" s="45" t="s">
        <v>5997</v>
      </c>
      <c r="G241" s="16" t="s">
        <v>5998</v>
      </c>
      <c r="H241" s="16"/>
      <c r="I241" s="43"/>
      <c r="J241" s="43" t="s">
        <v>5561</v>
      </c>
      <c r="K241" s="43" t="s">
        <v>4841</v>
      </c>
      <c r="L241" s="25"/>
      <c r="M241" s="26"/>
      <c r="N241" s="46"/>
      <c r="O241" s="43"/>
      <c r="P241" s="47"/>
      <c r="Q241" s="267"/>
      <c r="R241" s="47"/>
      <c r="S241" s="43"/>
      <c r="T241" s="43"/>
      <c r="U241" s="43"/>
      <c r="V241" s="43"/>
      <c r="W241" s="43"/>
      <c r="X241" s="16"/>
      <c r="Y241" s="46"/>
      <c r="Z241" s="46"/>
      <c r="AA241" s="102"/>
      <c r="AB241" s="43"/>
      <c r="AC241" s="87"/>
      <c r="AD241" s="16"/>
      <c r="AE241" s="103"/>
      <c r="AF241" s="46"/>
      <c r="AG241" s="16"/>
      <c r="AH241" s="43"/>
      <c r="AI241" s="43"/>
      <c r="AJ241" s="43" t="s">
        <v>4877</v>
      </c>
      <c r="AK241" s="37"/>
      <c r="AL241" s="47"/>
      <c r="AM241" s="74" t="e">
        <f t="shared" si="10"/>
        <v>#VALUE!</v>
      </c>
    </row>
    <row r="242" spans="1:39" ht="39" hidden="1" customHeight="1">
      <c r="A242" s="187">
        <v>28133851</v>
      </c>
      <c r="B242" s="43" t="s">
        <v>4652</v>
      </c>
      <c r="C242" s="51">
        <v>45034</v>
      </c>
      <c r="D242" s="37" t="s">
        <v>5999</v>
      </c>
      <c r="E242" s="37" t="s">
        <v>6000</v>
      </c>
      <c r="F242" s="45" t="s">
        <v>6001</v>
      </c>
      <c r="G242" s="16">
        <v>711000</v>
      </c>
      <c r="H242" s="16" t="s">
        <v>4652</v>
      </c>
      <c r="I242" s="43" t="s">
        <v>192</v>
      </c>
      <c r="J242" s="43" t="s">
        <v>6002</v>
      </c>
      <c r="K242" s="43" t="s">
        <v>6003</v>
      </c>
      <c r="L242" s="25" t="s">
        <v>4652</v>
      </c>
      <c r="M242" s="26" t="s">
        <v>4652</v>
      </c>
      <c r="N242" s="46" t="s">
        <v>6004</v>
      </c>
      <c r="O242" s="43" t="s">
        <v>36</v>
      </c>
      <c r="P242" s="47" t="s">
        <v>4652</v>
      </c>
      <c r="Q242" s="267" t="s">
        <v>6006</v>
      </c>
      <c r="R242" s="47" t="s">
        <v>4652</v>
      </c>
      <c r="S242" s="282">
        <v>33</v>
      </c>
      <c r="T242" s="43" t="s">
        <v>4652</v>
      </c>
      <c r="U242" s="43"/>
      <c r="V242" s="43" t="s">
        <v>4652</v>
      </c>
      <c r="W242" s="43"/>
      <c r="X242" s="16" t="s">
        <v>4652</v>
      </c>
      <c r="Y242" s="46">
        <v>0</v>
      </c>
      <c r="Z242" s="46"/>
      <c r="AA242" s="102"/>
      <c r="AB242" s="43"/>
      <c r="AC242" s="87"/>
      <c r="AD242" s="16"/>
      <c r="AE242" s="103"/>
      <c r="AF242" s="46"/>
      <c r="AG242" s="16" t="s">
        <v>4996</v>
      </c>
      <c r="AH242" s="43">
        <v>0</v>
      </c>
      <c r="AI242" s="43"/>
      <c r="AJ242" s="43"/>
      <c r="AK242" s="37"/>
      <c r="AL242" s="47" t="s">
        <v>4996</v>
      </c>
      <c r="AM242" s="49">
        <f>Table3[[#This Row],[Prixdevente($)]]/Table3[[#This Row],[Superficie cultivée (ha)]]</f>
        <v>21545.454545454544</v>
      </c>
    </row>
    <row r="243" spans="1:39" ht="39" hidden="1" customHeight="1">
      <c r="A243" s="187">
        <v>27970616</v>
      </c>
      <c r="B243" s="43"/>
      <c r="C243" s="51">
        <v>45037</v>
      </c>
      <c r="D243" s="37" t="s">
        <v>6007</v>
      </c>
      <c r="E243" s="37" t="s">
        <v>6008</v>
      </c>
      <c r="F243" s="45" t="s">
        <v>6009</v>
      </c>
      <c r="G243" s="1">
        <v>1300000</v>
      </c>
      <c r="H243" s="1"/>
      <c r="I243" s="43" t="s">
        <v>611</v>
      </c>
      <c r="J243" s="43" t="s">
        <v>6010</v>
      </c>
      <c r="K243" s="43" t="s">
        <v>6011</v>
      </c>
      <c r="L243" s="7" t="s">
        <v>6012</v>
      </c>
      <c r="M243" s="7" t="s">
        <v>6013</v>
      </c>
      <c r="N243" s="46">
        <f>7.69+7.94+7.96</f>
        <v>23.59</v>
      </c>
      <c r="O243" s="43" t="s">
        <v>18</v>
      </c>
      <c r="P243" s="47" t="s">
        <v>206</v>
      </c>
      <c r="Q243" s="267" t="s">
        <v>4856</v>
      </c>
      <c r="R243" s="47" t="s">
        <v>4669</v>
      </c>
      <c r="S243" s="43">
        <f>2+5.3+6.5+8.4</f>
        <v>22.200000000000003</v>
      </c>
      <c r="T243" s="43" t="s">
        <v>4596</v>
      </c>
      <c r="U243" s="43">
        <f>7.94</f>
        <v>7.94</v>
      </c>
      <c r="V243" s="43" t="s">
        <v>5038</v>
      </c>
      <c r="W243" s="43"/>
      <c r="X243" s="1"/>
      <c r="Y243" s="46">
        <v>0</v>
      </c>
      <c r="Z243" s="46"/>
      <c r="AA243" s="2"/>
      <c r="AB243" s="43"/>
      <c r="AC243" s="87"/>
      <c r="AD243" s="1"/>
      <c r="AE243" s="3"/>
      <c r="AF243" s="46"/>
      <c r="AG243" s="1"/>
      <c r="AH243" s="43"/>
      <c r="AI243" s="43"/>
      <c r="AJ243" s="43"/>
      <c r="AK243" s="37" t="s">
        <v>6014</v>
      </c>
      <c r="AL243" s="47"/>
      <c r="AM243" s="49">
        <f>G243/N243</f>
        <v>55108.096651123356</v>
      </c>
    </row>
    <row r="244" spans="1:39" ht="39" hidden="1" customHeight="1">
      <c r="A244" s="187">
        <v>28141360</v>
      </c>
      <c r="B244" s="43" t="s">
        <v>4652</v>
      </c>
      <c r="C244" s="51">
        <v>45039</v>
      </c>
      <c r="D244" s="37" t="s">
        <v>6015</v>
      </c>
      <c r="E244" s="37" t="s">
        <v>6016</v>
      </c>
      <c r="F244" s="45" t="s">
        <v>6017</v>
      </c>
      <c r="G244" s="16">
        <v>3500000</v>
      </c>
      <c r="H244" s="16" t="s">
        <v>4652</v>
      </c>
      <c r="I244" s="43" t="s">
        <v>4652</v>
      </c>
      <c r="J244" s="43" t="s">
        <v>4811</v>
      </c>
      <c r="K244" s="43" t="s">
        <v>6018</v>
      </c>
      <c r="L244" s="25" t="s">
        <v>4652</v>
      </c>
      <c r="M244" s="26" t="s">
        <v>4652</v>
      </c>
      <c r="N244" s="46" t="s">
        <v>5030</v>
      </c>
      <c r="O244" s="43" t="s">
        <v>36</v>
      </c>
      <c r="P244" s="47" t="s">
        <v>4652</v>
      </c>
      <c r="Q244" s="267" t="s">
        <v>5085</v>
      </c>
      <c r="R244" s="47" t="s">
        <v>4652</v>
      </c>
      <c r="S244" s="282">
        <v>71</v>
      </c>
      <c r="T244" s="43" t="s">
        <v>4652</v>
      </c>
      <c r="U244" s="43">
        <v>0</v>
      </c>
      <c r="V244" s="43" t="s">
        <v>4652</v>
      </c>
      <c r="W244" s="43"/>
      <c r="X244" s="16" t="s">
        <v>4652</v>
      </c>
      <c r="Y244" s="46">
        <v>0</v>
      </c>
      <c r="Z244" s="46"/>
      <c r="AA244" s="102"/>
      <c r="AB244" s="43"/>
      <c r="AC244" s="87"/>
      <c r="AD244" s="16"/>
      <c r="AE244" s="103"/>
      <c r="AF244" s="46"/>
      <c r="AG244" s="16" t="s">
        <v>4996</v>
      </c>
      <c r="AH244" s="43">
        <v>0</v>
      </c>
      <c r="AI244" s="43"/>
      <c r="AJ244" s="43"/>
      <c r="AK244" s="37"/>
      <c r="AL244" s="47" t="s">
        <v>4996</v>
      </c>
      <c r="AM244" s="49">
        <f>Table3[[#This Row],[Prixdevente($)]]/Table3[[#This Row],[Superficie cultivée (ha)]]</f>
        <v>49295.774647887323</v>
      </c>
    </row>
    <row r="245" spans="1:39" ht="39" hidden="1" customHeight="1">
      <c r="A245" s="196" t="s">
        <v>6019</v>
      </c>
      <c r="C245" s="317">
        <v>45042</v>
      </c>
      <c r="D245" t="s">
        <v>6020</v>
      </c>
      <c r="E245" s="20" t="s">
        <v>6021</v>
      </c>
      <c r="F245" t="s">
        <v>6022</v>
      </c>
      <c r="G245" s="94">
        <v>971250</v>
      </c>
      <c r="I245" t="s">
        <v>6023</v>
      </c>
      <c r="J245" s="328" t="s">
        <v>6024</v>
      </c>
      <c r="K245" t="s">
        <v>6025</v>
      </c>
      <c r="L245" s="96">
        <v>45.232847</v>
      </c>
      <c r="M245" s="245" t="s">
        <v>6026</v>
      </c>
      <c r="N245" s="63">
        <f>8.44+11.43</f>
        <v>19.869999999999997</v>
      </c>
      <c r="O245" t="s">
        <v>36</v>
      </c>
      <c r="P245" t="s">
        <v>35</v>
      </c>
      <c r="Q245" s="436">
        <v>2</v>
      </c>
      <c r="R245" t="s">
        <v>4669</v>
      </c>
      <c r="S245">
        <v>17.2</v>
      </c>
      <c r="V245">
        <f>Table3[[#This Row],[Superficie cultivée (ha)]]</f>
        <v>17.2</v>
      </c>
      <c r="Y245" s="63">
        <v>0.8</v>
      </c>
      <c r="AM245" s="1">
        <f t="shared" ref="AM245:AM256" si="11">G245/N245</f>
        <v>48880.221439355817</v>
      </c>
    </row>
    <row r="246" spans="1:39" ht="39" hidden="1" customHeight="1">
      <c r="A246" s="196">
        <v>27979628</v>
      </c>
      <c r="C246" s="317">
        <v>45043</v>
      </c>
      <c r="D246" s="247" t="s">
        <v>6027</v>
      </c>
      <c r="E246" s="247" t="s">
        <v>6028</v>
      </c>
      <c r="F246" t="s">
        <v>6029</v>
      </c>
      <c r="G246" s="94">
        <v>102000</v>
      </c>
      <c r="I246" t="s">
        <v>3076</v>
      </c>
      <c r="J246" t="s">
        <v>6030</v>
      </c>
      <c r="L246" s="96">
        <v>47.298931000000003</v>
      </c>
      <c r="M246" s="96">
        <v>-70.111766000000003</v>
      </c>
      <c r="N246" s="63">
        <v>5.16</v>
      </c>
      <c r="O246" t="s">
        <v>18</v>
      </c>
      <c r="P246" t="s">
        <v>35</v>
      </c>
      <c r="Q246" s="436">
        <v>3</v>
      </c>
      <c r="R246" t="s">
        <v>4669</v>
      </c>
      <c r="S246" s="63">
        <v>5.16</v>
      </c>
      <c r="AK246" t="s">
        <v>6031</v>
      </c>
      <c r="AM246" s="1">
        <f t="shared" si="11"/>
        <v>19767.441860465115</v>
      </c>
    </row>
    <row r="247" spans="1:39" ht="39" hidden="1" customHeight="1">
      <c r="A247" s="187">
        <v>28170027</v>
      </c>
      <c r="C247" s="321">
        <v>45043</v>
      </c>
      <c r="D247" s="37" t="s">
        <v>6032</v>
      </c>
      <c r="E247" s="37" t="s">
        <v>6033</v>
      </c>
      <c r="F247" s="45" t="s">
        <v>6034</v>
      </c>
      <c r="G247" s="94">
        <v>1400000</v>
      </c>
      <c r="I247" s="43" t="s">
        <v>4880</v>
      </c>
      <c r="J247" s="43" t="s">
        <v>4881</v>
      </c>
      <c r="K247" s="43" t="s">
        <v>6035</v>
      </c>
      <c r="L247" s="96">
        <v>46.417043</v>
      </c>
      <c r="M247" s="96">
        <v>-71.051336000000006</v>
      </c>
      <c r="N247" s="127">
        <v>24.21</v>
      </c>
      <c r="O247" s="43" t="s">
        <v>764</v>
      </c>
      <c r="P247" s="47" t="s">
        <v>4702</v>
      </c>
      <c r="Q247" s="442">
        <v>3</v>
      </c>
      <c r="R247" s="47" t="s">
        <v>4946</v>
      </c>
      <c r="S247" s="43">
        <v>23</v>
      </c>
      <c r="T247" s="43" t="s">
        <v>4596</v>
      </c>
      <c r="U247" s="128">
        <v>20.5</v>
      </c>
      <c r="V247" s="43" t="s">
        <v>5029</v>
      </c>
      <c r="W247" s="43"/>
      <c r="X247" s="94" t="s">
        <v>6036</v>
      </c>
      <c r="Y247" s="63">
        <v>0</v>
      </c>
      <c r="AK247" s="37"/>
      <c r="AL247" s="47"/>
      <c r="AM247" s="49">
        <f t="shared" si="11"/>
        <v>57827.344072697233</v>
      </c>
    </row>
    <row r="248" spans="1:39" ht="39" hidden="1" customHeight="1">
      <c r="A248" s="194">
        <v>27980818</v>
      </c>
      <c r="B248" s="139"/>
      <c r="C248" s="148">
        <v>45043</v>
      </c>
      <c r="D248" s="60" t="s">
        <v>6037</v>
      </c>
      <c r="E248" s="60" t="s">
        <v>6038</v>
      </c>
      <c r="F248" s="140" t="s">
        <v>6039</v>
      </c>
      <c r="G248" s="141">
        <v>205000</v>
      </c>
      <c r="H248" s="141"/>
      <c r="I248" s="139" t="s">
        <v>2163</v>
      </c>
      <c r="J248" s="139" t="s">
        <v>6040</v>
      </c>
      <c r="K248" s="139" t="s">
        <v>6041</v>
      </c>
      <c r="L248" s="142">
        <v>48.578423999999998</v>
      </c>
      <c r="M248" s="143" t="s">
        <v>6042</v>
      </c>
      <c r="N248" s="144">
        <v>82.67</v>
      </c>
      <c r="O248" s="139" t="s">
        <v>36</v>
      </c>
      <c r="P248" s="60" t="s">
        <v>3789</v>
      </c>
      <c r="Q248" s="439">
        <v>3</v>
      </c>
      <c r="R248" s="60" t="s">
        <v>5016</v>
      </c>
      <c r="S248" s="139">
        <v>53.1</v>
      </c>
      <c r="T248" s="139" t="s">
        <v>4596</v>
      </c>
      <c r="U248" s="139"/>
      <c r="V248" s="139"/>
      <c r="W248" s="139"/>
      <c r="X248" s="141"/>
      <c r="Y248" s="144">
        <v>29.57</v>
      </c>
      <c r="Z248" s="144"/>
      <c r="AA248" s="145"/>
      <c r="AB248" s="139"/>
      <c r="AC248" s="146"/>
      <c r="AD248" s="141"/>
      <c r="AE248" s="158"/>
      <c r="AF248" s="144"/>
      <c r="AG248" s="141"/>
      <c r="AH248" s="139"/>
      <c r="AI248" s="139"/>
      <c r="AJ248" s="139"/>
      <c r="AK248" s="60"/>
      <c r="AL248" s="60"/>
      <c r="AM248" s="141">
        <f t="shared" si="11"/>
        <v>2479.7387202128948</v>
      </c>
    </row>
    <row r="249" spans="1:39" ht="39" hidden="1" customHeight="1">
      <c r="A249" s="196">
        <v>27984887</v>
      </c>
      <c r="B249" s="43"/>
      <c r="C249" s="317">
        <v>45044</v>
      </c>
      <c r="D249" t="s">
        <v>6043</v>
      </c>
      <c r="E249" s="266" t="s">
        <v>6044</v>
      </c>
      <c r="F249" s="266" t="s">
        <v>6045</v>
      </c>
      <c r="G249" s="1">
        <v>240000</v>
      </c>
      <c r="H249" s="1"/>
      <c r="I249" s="43" t="s">
        <v>537</v>
      </c>
      <c r="J249" s="43" t="s">
        <v>538</v>
      </c>
      <c r="K249" s="43"/>
      <c r="L249" s="4">
        <v>46.740388000000003</v>
      </c>
      <c r="M249" s="7">
        <v>-75.382728999999998</v>
      </c>
      <c r="N249" s="46">
        <v>41.01</v>
      </c>
      <c r="O249" s="43" t="s">
        <v>18</v>
      </c>
      <c r="P249" s="37" t="s">
        <v>5372</v>
      </c>
      <c r="Q249" s="267">
        <v>3</v>
      </c>
      <c r="R249" s="47" t="s">
        <v>6046</v>
      </c>
      <c r="S249" s="43">
        <v>17.3</v>
      </c>
      <c r="T249" s="43" t="s">
        <v>5087</v>
      </c>
      <c r="U249" s="43"/>
      <c r="V249" s="43"/>
      <c r="W249" s="43"/>
      <c r="X249" s="1"/>
      <c r="Y249" s="46">
        <v>20.71</v>
      </c>
      <c r="Z249" s="46"/>
      <c r="AA249" s="2"/>
      <c r="AB249" s="43"/>
      <c r="AC249" s="87"/>
      <c r="AD249" s="1"/>
      <c r="AE249" s="3"/>
      <c r="AF249" s="46"/>
      <c r="AG249" s="1"/>
      <c r="AH249" s="43"/>
      <c r="AI249" s="43"/>
      <c r="AJ249" s="43"/>
      <c r="AK249" s="37" t="s">
        <v>6047</v>
      </c>
      <c r="AL249" s="47"/>
      <c r="AM249" s="1">
        <f t="shared" si="11"/>
        <v>5852.231163130944</v>
      </c>
    </row>
    <row r="250" spans="1:39" ht="47.25" hidden="1" customHeight="1">
      <c r="A250" s="187">
        <v>27983565</v>
      </c>
      <c r="B250" s="43"/>
      <c r="C250" s="51">
        <v>45044</v>
      </c>
      <c r="D250" s="37"/>
      <c r="E250" s="37"/>
      <c r="F250" s="45" t="s">
        <v>6048</v>
      </c>
      <c r="G250" s="1">
        <v>563878</v>
      </c>
      <c r="H250" s="1"/>
      <c r="I250" s="43" t="s">
        <v>53</v>
      </c>
      <c r="J250" s="43" t="s">
        <v>55</v>
      </c>
      <c r="K250" s="43" t="s">
        <v>6049</v>
      </c>
      <c r="L250" s="4" t="s">
        <v>6050</v>
      </c>
      <c r="M250" s="7" t="s">
        <v>6051</v>
      </c>
      <c r="N250" s="46">
        <v>74.63</v>
      </c>
      <c r="O250" s="43" t="s">
        <v>18</v>
      </c>
      <c r="P250" s="47" t="s">
        <v>154</v>
      </c>
      <c r="Q250" s="267">
        <v>7</v>
      </c>
      <c r="R250" s="47" t="s">
        <v>6052</v>
      </c>
      <c r="S250" s="43">
        <v>49.1</v>
      </c>
      <c r="T250" s="43" t="s">
        <v>4596</v>
      </c>
      <c r="U250" s="43"/>
      <c r="V250" s="43"/>
      <c r="W250" s="43"/>
      <c r="X250" s="1"/>
      <c r="Y250" s="46">
        <v>20.6</v>
      </c>
      <c r="Z250" s="46"/>
      <c r="AA250" s="2"/>
      <c r="AB250" s="43"/>
      <c r="AC250" s="87"/>
      <c r="AD250" s="1"/>
      <c r="AE250" s="3"/>
      <c r="AF250" s="46" t="s">
        <v>6053</v>
      </c>
      <c r="AG250" s="1"/>
      <c r="AH250" s="43"/>
      <c r="AI250" s="43"/>
      <c r="AJ250" s="43"/>
      <c r="AK250" s="37" t="s">
        <v>6054</v>
      </c>
      <c r="AL250" s="47"/>
      <c r="AM250" s="1">
        <f t="shared" si="11"/>
        <v>7555.6478627897632</v>
      </c>
    </row>
    <row r="251" spans="1:39" ht="39" hidden="1" customHeight="1">
      <c r="A251" s="187">
        <v>28047675</v>
      </c>
      <c r="B251" s="43"/>
      <c r="C251" s="51">
        <v>45047</v>
      </c>
      <c r="D251" s="37" t="s">
        <v>6055</v>
      </c>
      <c r="E251" s="37" t="s">
        <v>6056</v>
      </c>
      <c r="F251" s="43">
        <v>5433078</v>
      </c>
      <c r="G251" s="16">
        <v>125000</v>
      </c>
      <c r="H251" s="16"/>
      <c r="I251" s="43" t="s">
        <v>747</v>
      </c>
      <c r="J251" s="43" t="s">
        <v>1390</v>
      </c>
      <c r="K251" s="43" t="s">
        <v>4592</v>
      </c>
      <c r="L251" s="16" t="s">
        <v>6057</v>
      </c>
      <c r="M251" s="16" t="s">
        <v>6058</v>
      </c>
      <c r="N251" s="46">
        <v>4.82</v>
      </c>
      <c r="O251" s="43" t="s">
        <v>36</v>
      </c>
      <c r="P251" s="47" t="s">
        <v>206</v>
      </c>
      <c r="Q251" s="442" t="s">
        <v>4835</v>
      </c>
      <c r="R251" s="47" t="s">
        <v>4669</v>
      </c>
      <c r="S251" s="43">
        <v>3.6</v>
      </c>
      <c r="T251" s="43" t="s">
        <v>4596</v>
      </c>
      <c r="U251" s="43"/>
      <c r="V251" s="43"/>
      <c r="W251" s="43"/>
      <c r="X251" s="16"/>
      <c r="Y251" s="46">
        <v>0</v>
      </c>
      <c r="Z251" s="46"/>
      <c r="AA251" s="102"/>
      <c r="AB251" s="43"/>
      <c r="AC251" s="87"/>
      <c r="AD251" s="16"/>
      <c r="AE251" s="103"/>
      <c r="AF251" s="46"/>
      <c r="AG251" s="16"/>
      <c r="AH251" s="43"/>
      <c r="AI251" s="43"/>
      <c r="AJ251" s="43"/>
      <c r="AK251" s="37"/>
      <c r="AL251" s="47"/>
      <c r="AM251" s="49">
        <f t="shared" si="11"/>
        <v>25933.609958506222</v>
      </c>
    </row>
    <row r="252" spans="1:39" ht="47.25" hidden="1" customHeight="1">
      <c r="A252" s="187">
        <v>27991910</v>
      </c>
      <c r="B252" s="43"/>
      <c r="C252" s="51">
        <v>45048</v>
      </c>
      <c r="D252" s="37" t="s">
        <v>6059</v>
      </c>
      <c r="E252" s="37" t="s">
        <v>6060</v>
      </c>
      <c r="F252" s="45">
        <v>1958712</v>
      </c>
      <c r="G252" s="1">
        <v>290000</v>
      </c>
      <c r="H252" s="1"/>
      <c r="I252" s="43" t="s">
        <v>48</v>
      </c>
      <c r="J252" s="43" t="s">
        <v>4981</v>
      </c>
      <c r="K252" s="43" t="s">
        <v>6061</v>
      </c>
      <c r="L252" s="4" t="s">
        <v>6062</v>
      </c>
      <c r="M252" s="7" t="s">
        <v>6063</v>
      </c>
      <c r="N252" s="46">
        <v>12.94</v>
      </c>
      <c r="O252" s="43" t="s">
        <v>764</v>
      </c>
      <c r="P252" s="47" t="s">
        <v>206</v>
      </c>
      <c r="Q252" s="449" t="s">
        <v>6064</v>
      </c>
      <c r="R252" s="47"/>
      <c r="S252" s="43">
        <v>5.3</v>
      </c>
      <c r="T252" s="43" t="s">
        <v>5103</v>
      </c>
      <c r="U252" s="43">
        <v>0</v>
      </c>
      <c r="V252" s="43" t="s">
        <v>4628</v>
      </c>
      <c r="W252" s="43"/>
      <c r="X252" s="1"/>
      <c r="Y252" s="46">
        <v>7.64</v>
      </c>
      <c r="Z252" s="46"/>
      <c r="AA252" s="2"/>
      <c r="AB252" s="43"/>
      <c r="AC252" s="87"/>
      <c r="AD252" s="1"/>
      <c r="AE252" s="3"/>
      <c r="AF252" s="46"/>
      <c r="AG252" s="1"/>
      <c r="AH252" s="43"/>
      <c r="AI252" s="43"/>
      <c r="AJ252" s="43"/>
      <c r="AK252" s="37" t="s">
        <v>5718</v>
      </c>
      <c r="AL252" s="47"/>
      <c r="AM252" s="49">
        <f t="shared" si="11"/>
        <v>22411.128284389491</v>
      </c>
    </row>
    <row r="253" spans="1:39" ht="39" hidden="1" customHeight="1">
      <c r="A253" s="187">
        <v>27993176</v>
      </c>
      <c r="B253" s="43"/>
      <c r="C253" s="51">
        <v>45049</v>
      </c>
      <c r="D253" s="37" t="s">
        <v>6065</v>
      </c>
      <c r="E253" s="37" t="s">
        <v>6066</v>
      </c>
      <c r="F253" s="43">
        <v>6547418</v>
      </c>
      <c r="G253" s="16">
        <v>964600</v>
      </c>
      <c r="H253" s="16"/>
      <c r="I253" s="43" t="s">
        <v>321</v>
      </c>
      <c r="J253" s="43" t="s">
        <v>321</v>
      </c>
      <c r="K253" s="43" t="s">
        <v>5929</v>
      </c>
      <c r="L253" s="25" t="s">
        <v>6067</v>
      </c>
      <c r="M253" s="25" t="s">
        <v>6068</v>
      </c>
      <c r="N253" s="46">
        <v>29.61</v>
      </c>
      <c r="O253" s="43" t="s">
        <v>36</v>
      </c>
      <c r="P253" s="47" t="s">
        <v>206</v>
      </c>
      <c r="Q253" s="442">
        <v>2</v>
      </c>
      <c r="R253" s="47" t="s">
        <v>155</v>
      </c>
      <c r="S253" s="43">
        <f>4.5+5.1+5.5+4.5+4.7+5.1</f>
        <v>29.4</v>
      </c>
      <c r="T253" s="43" t="s">
        <v>4596</v>
      </c>
      <c r="U253" s="43"/>
      <c r="V253" s="43"/>
      <c r="W253" s="43"/>
      <c r="X253" s="16"/>
      <c r="Y253" s="46"/>
      <c r="Z253" s="46"/>
      <c r="AA253" s="102"/>
      <c r="AB253" s="43"/>
      <c r="AC253" s="87"/>
      <c r="AD253" s="16"/>
      <c r="AE253" s="103"/>
      <c r="AF253" s="46"/>
      <c r="AG253" s="16"/>
      <c r="AH253" s="43"/>
      <c r="AI253" s="43"/>
      <c r="AJ253" s="43"/>
      <c r="AK253" s="37"/>
      <c r="AL253" s="47"/>
      <c r="AM253" s="49">
        <f t="shared" si="11"/>
        <v>32576.832151300237</v>
      </c>
    </row>
    <row r="254" spans="1:39" ht="47.25" hidden="1" customHeight="1">
      <c r="A254" s="191">
        <v>27997908</v>
      </c>
      <c r="B254" s="43"/>
      <c r="C254" s="51">
        <v>45050</v>
      </c>
      <c r="D254" s="37" t="s">
        <v>6069</v>
      </c>
      <c r="E254" s="37" t="s">
        <v>6070</v>
      </c>
      <c r="F254" s="34" t="s">
        <v>6071</v>
      </c>
      <c r="G254" s="126">
        <v>424000</v>
      </c>
      <c r="H254" s="126"/>
      <c r="I254" s="34" t="s">
        <v>4880</v>
      </c>
      <c r="J254" s="37" t="s">
        <v>1888</v>
      </c>
      <c r="K254" s="43" t="s">
        <v>6072</v>
      </c>
      <c r="L254" s="34" t="s">
        <v>6073</v>
      </c>
      <c r="M254" s="34" t="s">
        <v>6074</v>
      </c>
      <c r="N254" s="46">
        <v>32</v>
      </c>
      <c r="O254" s="43" t="s">
        <v>36</v>
      </c>
      <c r="P254" s="47" t="s">
        <v>206</v>
      </c>
      <c r="Q254" s="445">
        <v>4</v>
      </c>
      <c r="R254" s="34" t="s">
        <v>4760</v>
      </c>
      <c r="S254" s="46">
        <f>4.9+2.9+2.8+3.9+1.9+0.6+0.3+0.6+1.8</f>
        <v>19.700000000000006</v>
      </c>
      <c r="T254" s="43" t="s">
        <v>4596</v>
      </c>
      <c r="U254" s="46"/>
      <c r="V254" s="43"/>
      <c r="W254" s="43"/>
      <c r="X254" s="43"/>
      <c r="Y254" s="46">
        <f>6.4</f>
        <v>6.4</v>
      </c>
      <c r="Z254" s="46"/>
      <c r="AA254" s="2"/>
      <c r="AB254" s="43"/>
      <c r="AC254" s="87"/>
      <c r="AD254" s="1"/>
      <c r="AE254" s="3"/>
      <c r="AF254" s="46"/>
      <c r="AG254" s="1"/>
      <c r="AH254" s="43"/>
      <c r="AI254" s="43"/>
      <c r="AJ254" s="43"/>
      <c r="AK254" s="37"/>
      <c r="AL254" s="47"/>
      <c r="AM254" s="49">
        <f t="shared" si="11"/>
        <v>13250</v>
      </c>
    </row>
    <row r="255" spans="1:39" ht="39" hidden="1" customHeight="1">
      <c r="A255" s="187">
        <v>27999999</v>
      </c>
      <c r="B255" s="43"/>
      <c r="C255" s="51">
        <v>45051</v>
      </c>
      <c r="D255" s="37" t="s">
        <v>6075</v>
      </c>
      <c r="E255" s="37" t="s">
        <v>6076</v>
      </c>
      <c r="F255" s="43">
        <v>5883868</v>
      </c>
      <c r="G255" s="1">
        <v>650000</v>
      </c>
      <c r="H255" s="1"/>
      <c r="I255" s="43" t="s">
        <v>747</v>
      </c>
      <c r="J255" s="43" t="s">
        <v>936</v>
      </c>
      <c r="K255" s="5" t="s">
        <v>6077</v>
      </c>
      <c r="L255" s="1" t="s">
        <v>6078</v>
      </c>
      <c r="M255" s="1" t="s">
        <v>6079</v>
      </c>
      <c r="N255" s="46">
        <v>13.08</v>
      </c>
      <c r="O255" s="5" t="s">
        <v>18</v>
      </c>
      <c r="P255" s="12" t="s">
        <v>206</v>
      </c>
      <c r="Q255" s="442">
        <v>4</v>
      </c>
      <c r="R255" s="47" t="s">
        <v>4595</v>
      </c>
      <c r="S255" s="43">
        <f>10.2+1.3</f>
        <v>11.5</v>
      </c>
      <c r="T255" s="43" t="s">
        <v>4596</v>
      </c>
      <c r="U255" s="46">
        <f>Terre!$S56</f>
        <v>23.5</v>
      </c>
      <c r="V255" s="43" t="s">
        <v>4837</v>
      </c>
      <c r="W255" s="43"/>
      <c r="X255" s="1"/>
      <c r="Y255" s="46"/>
      <c r="Z255" s="46"/>
      <c r="AA255" s="2"/>
      <c r="AB255" s="43"/>
      <c r="AC255" s="87"/>
      <c r="AD255" s="1"/>
      <c r="AE255" s="3"/>
      <c r="AF255" s="46"/>
      <c r="AG255" s="1"/>
      <c r="AH255" s="43"/>
      <c r="AI255" s="43"/>
      <c r="AJ255" s="43"/>
      <c r="AK255" s="37"/>
      <c r="AL255" s="47"/>
      <c r="AM255" s="49">
        <f t="shared" si="11"/>
        <v>49694.18960244648</v>
      </c>
    </row>
    <row r="256" spans="1:39" ht="47.25" hidden="1" customHeight="1">
      <c r="A256" s="187">
        <v>27998917</v>
      </c>
      <c r="B256" s="43"/>
      <c r="C256" s="51">
        <v>45051</v>
      </c>
      <c r="D256" s="37" t="s">
        <v>6080</v>
      </c>
      <c r="E256" s="37" t="s">
        <v>6081</v>
      </c>
      <c r="F256" s="45" t="s">
        <v>6082</v>
      </c>
      <c r="G256" s="1">
        <v>204500</v>
      </c>
      <c r="H256" s="1"/>
      <c r="I256" s="43" t="s">
        <v>16</v>
      </c>
      <c r="J256" s="43" t="s">
        <v>1279</v>
      </c>
      <c r="K256" s="43" t="s">
        <v>6083</v>
      </c>
      <c r="L256" s="4" t="s">
        <v>6084</v>
      </c>
      <c r="M256" s="4" t="s">
        <v>6085</v>
      </c>
      <c r="N256" s="46">
        <v>32.6</v>
      </c>
      <c r="O256" s="43" t="s">
        <v>36</v>
      </c>
      <c r="P256" s="47" t="s">
        <v>206</v>
      </c>
      <c r="Q256" s="442">
        <v>3</v>
      </c>
      <c r="R256" s="47" t="s">
        <v>155</v>
      </c>
      <c r="S256" s="43">
        <f>5.9+3.8+3.3+6+7.1-0.3</f>
        <v>25.8</v>
      </c>
      <c r="T256" s="43" t="s">
        <v>4596</v>
      </c>
      <c r="U256" s="43">
        <v>0</v>
      </c>
      <c r="V256" s="43" t="s">
        <v>5029</v>
      </c>
      <c r="W256" s="43"/>
      <c r="X256" s="1"/>
      <c r="Y256" s="46">
        <f>3.61+1.4</f>
        <v>5.01</v>
      </c>
      <c r="Z256" s="46"/>
      <c r="AA256" s="2"/>
      <c r="AB256" s="43"/>
      <c r="AC256" s="87"/>
      <c r="AD256" s="1"/>
      <c r="AE256" s="3"/>
      <c r="AF256" s="46"/>
      <c r="AG256" s="1"/>
      <c r="AH256" s="43"/>
      <c r="AI256" s="43"/>
      <c r="AJ256" s="43"/>
      <c r="AK256" s="37"/>
      <c r="AL256" s="47"/>
      <c r="AM256" s="49">
        <f t="shared" si="11"/>
        <v>6273.0061349693251</v>
      </c>
    </row>
    <row r="257" spans="1:39" ht="39" hidden="1" customHeight="1">
      <c r="A257" s="187">
        <v>28150506</v>
      </c>
      <c r="B257" s="43"/>
      <c r="C257" s="51">
        <v>45054</v>
      </c>
      <c r="D257" s="37" t="s">
        <v>6086</v>
      </c>
      <c r="E257" s="37" t="s">
        <v>6087</v>
      </c>
      <c r="F257" s="45">
        <v>4009494</v>
      </c>
      <c r="G257" s="1">
        <v>400000</v>
      </c>
      <c r="H257" s="1"/>
      <c r="I257" s="43" t="s">
        <v>654</v>
      </c>
      <c r="J257" s="43" t="s">
        <v>6088</v>
      </c>
      <c r="K257" s="43" t="s">
        <v>6089</v>
      </c>
      <c r="L257" s="4">
        <v>46.803697999999997</v>
      </c>
      <c r="M257" s="4">
        <v>-71.733153000000001</v>
      </c>
      <c r="N257" s="46">
        <v>42.85</v>
      </c>
      <c r="O257" s="43" t="s">
        <v>5051</v>
      </c>
      <c r="P257" s="47" t="s">
        <v>206</v>
      </c>
      <c r="Q257" s="436">
        <v>2</v>
      </c>
      <c r="R257" t="s">
        <v>4865</v>
      </c>
      <c r="S257" s="43">
        <v>16.5</v>
      </c>
      <c r="T257" s="43" t="s">
        <v>4596</v>
      </c>
      <c r="U257" s="43">
        <v>0</v>
      </c>
      <c r="V257" s="43" t="s">
        <v>5038</v>
      </c>
      <c r="W257" s="43"/>
      <c r="X257" s="1" t="s">
        <v>6090</v>
      </c>
      <c r="Y257" s="46">
        <v>25.9</v>
      </c>
      <c r="Z257" s="46"/>
      <c r="AA257" s="2"/>
      <c r="AB257" s="43"/>
      <c r="AC257" s="87"/>
      <c r="AD257" s="1"/>
      <c r="AE257" s="3"/>
      <c r="AF257" s="46"/>
      <c r="AG257" s="1"/>
      <c r="AH257" s="43"/>
      <c r="AI257" s="43"/>
      <c r="AJ257" s="43"/>
      <c r="AK257" s="37" t="s">
        <v>6091</v>
      </c>
      <c r="AL257" s="47"/>
      <c r="AM257" s="49">
        <f>Table3[[#This Row],[Prixdevente($)]]/Table3[[#This Row],[Superficie totale (ha)]]</f>
        <v>9334.8891481913652</v>
      </c>
    </row>
    <row r="258" spans="1:39" ht="47.25" hidden="1" customHeight="1">
      <c r="A258" s="196" t="s">
        <v>6092</v>
      </c>
      <c r="C258" s="317">
        <v>45061</v>
      </c>
      <c r="D258" t="s">
        <v>6093</v>
      </c>
      <c r="E258" t="s">
        <v>6094</v>
      </c>
      <c r="F258" t="s">
        <v>6095</v>
      </c>
      <c r="G258" s="94">
        <v>1200000</v>
      </c>
      <c r="I258" t="s">
        <v>6023</v>
      </c>
      <c r="J258" t="s">
        <v>6096</v>
      </c>
      <c r="K258" t="s">
        <v>6097</v>
      </c>
      <c r="N258" s="63">
        <v>23.83</v>
      </c>
      <c r="Y258" s="63">
        <v>4</v>
      </c>
      <c r="AM258" s="1">
        <f t="shared" ref="AM258:AM263" si="12">G258/N258</f>
        <v>50356.693243810325</v>
      </c>
    </row>
    <row r="259" spans="1:39" ht="47.25" hidden="1" customHeight="1">
      <c r="A259" s="196">
        <v>28015157</v>
      </c>
      <c r="C259" s="317">
        <v>45061</v>
      </c>
      <c r="D259" s="266" t="s">
        <v>6098</v>
      </c>
      <c r="E259" s="266" t="s">
        <v>6099</v>
      </c>
      <c r="F259" s="266" t="s">
        <v>6100</v>
      </c>
      <c r="G259" s="94">
        <v>400000</v>
      </c>
      <c r="I259" t="s">
        <v>3076</v>
      </c>
      <c r="J259" t="s">
        <v>6101</v>
      </c>
      <c r="L259" s="96">
        <v>47.238922000000002</v>
      </c>
      <c r="M259" s="96">
        <v>-70.193852000000007</v>
      </c>
      <c r="N259" s="63">
        <v>40.72</v>
      </c>
      <c r="O259" t="s">
        <v>18</v>
      </c>
      <c r="P259" t="s">
        <v>19</v>
      </c>
      <c r="Q259" s="436">
        <v>3</v>
      </c>
      <c r="R259" t="s">
        <v>4669</v>
      </c>
      <c r="S259">
        <v>36.299999999999997</v>
      </c>
      <c r="Y259" s="63">
        <v>1.8</v>
      </c>
      <c r="AK259" t="s">
        <v>6102</v>
      </c>
      <c r="AM259" s="1">
        <f t="shared" si="12"/>
        <v>9823.1827111984294</v>
      </c>
    </row>
    <row r="260" spans="1:39" ht="47.25" hidden="1" customHeight="1">
      <c r="A260" s="187">
        <v>28485699</v>
      </c>
      <c r="B260" s="43"/>
      <c r="C260" s="51">
        <v>45062</v>
      </c>
      <c r="D260" s="37" t="s">
        <v>6103</v>
      </c>
      <c r="E260" s="37" t="s">
        <v>6104</v>
      </c>
      <c r="F260" s="45">
        <v>5996951</v>
      </c>
      <c r="G260" s="1">
        <v>1280000</v>
      </c>
      <c r="H260" s="1"/>
      <c r="I260" s="43" t="s">
        <v>747</v>
      </c>
      <c r="J260" s="43" t="s">
        <v>6105</v>
      </c>
      <c r="K260" s="43" t="s">
        <v>6106</v>
      </c>
      <c r="L260" s="4" t="s">
        <v>6107</v>
      </c>
      <c r="M260" s="7" t="s">
        <v>6108</v>
      </c>
      <c r="N260" s="46">
        <v>31.39</v>
      </c>
      <c r="O260" s="43" t="s">
        <v>18</v>
      </c>
      <c r="P260" s="47" t="s">
        <v>206</v>
      </c>
      <c r="Q260" s="267" t="s">
        <v>5891</v>
      </c>
      <c r="R260" s="47" t="s">
        <v>4595</v>
      </c>
      <c r="S260" s="43">
        <v>30.3</v>
      </c>
      <c r="T260" s="43" t="s">
        <v>4596</v>
      </c>
      <c r="U260" s="43">
        <v>0</v>
      </c>
      <c r="V260" s="43" t="s">
        <v>4628</v>
      </c>
      <c r="W260" s="43"/>
      <c r="X260" s="1"/>
      <c r="Y260" s="46">
        <v>0</v>
      </c>
      <c r="Z260" s="46"/>
      <c r="AA260" s="2"/>
      <c r="AB260" s="43"/>
      <c r="AC260" s="87"/>
      <c r="AD260" s="1"/>
      <c r="AE260" s="3"/>
      <c r="AF260" s="46"/>
      <c r="AG260" s="1"/>
      <c r="AH260" s="43"/>
      <c r="AI260" s="43"/>
      <c r="AJ260" s="43"/>
      <c r="AK260" s="37"/>
      <c r="AL260" s="47"/>
      <c r="AM260" s="49">
        <f t="shared" si="12"/>
        <v>40777.317617075503</v>
      </c>
    </row>
    <row r="261" spans="1:39" ht="47.25" hidden="1" customHeight="1">
      <c r="A261" s="187">
        <v>28018255</v>
      </c>
      <c r="B261" s="43"/>
      <c r="C261" s="51">
        <v>45062</v>
      </c>
      <c r="D261" s="37" t="s">
        <v>6109</v>
      </c>
      <c r="E261" s="37" t="s">
        <v>6110</v>
      </c>
      <c r="F261" s="45" t="s">
        <v>6111</v>
      </c>
      <c r="G261" s="16">
        <v>1600000</v>
      </c>
      <c r="H261" s="16"/>
      <c r="I261" s="43" t="s">
        <v>4911</v>
      </c>
      <c r="J261" s="43" t="s">
        <v>5241</v>
      </c>
      <c r="K261" s="43" t="s">
        <v>6112</v>
      </c>
      <c r="L261" s="25"/>
      <c r="M261" s="26"/>
      <c r="N261" s="46">
        <v>42.72</v>
      </c>
      <c r="O261" s="43" t="s">
        <v>4996</v>
      </c>
      <c r="P261" s="47"/>
      <c r="Q261" s="267" t="s">
        <v>6113</v>
      </c>
      <c r="R261" s="47"/>
      <c r="S261" s="43">
        <v>27.9</v>
      </c>
      <c r="T261" s="43"/>
      <c r="U261" s="43">
        <v>0</v>
      </c>
      <c r="V261" s="43" t="s">
        <v>6114</v>
      </c>
      <c r="W261" s="43"/>
      <c r="X261" s="16"/>
      <c r="Y261" s="46">
        <v>14.82</v>
      </c>
      <c r="Z261" s="46"/>
      <c r="AA261" s="102"/>
      <c r="AB261" s="43"/>
      <c r="AC261" s="87"/>
      <c r="AD261" s="16"/>
      <c r="AE261" s="103"/>
      <c r="AF261" s="46"/>
      <c r="AG261" s="16"/>
      <c r="AH261" s="43"/>
      <c r="AI261" s="43"/>
      <c r="AJ261" s="43" t="s">
        <v>5150</v>
      </c>
      <c r="AK261" s="37">
        <v>0</v>
      </c>
      <c r="AL261" s="47"/>
      <c r="AM261" s="74">
        <f t="shared" si="12"/>
        <v>37453.183520599254</v>
      </c>
    </row>
    <row r="262" spans="1:39" ht="47.25" hidden="1" customHeight="1">
      <c r="A262" s="187">
        <v>28021445</v>
      </c>
      <c r="B262" s="43"/>
      <c r="C262" s="51">
        <v>45063</v>
      </c>
      <c r="D262" s="37" t="s">
        <v>5268</v>
      </c>
      <c r="E262" s="37" t="s">
        <v>6115</v>
      </c>
      <c r="F262" s="45">
        <v>6561163</v>
      </c>
      <c r="G262" s="16">
        <v>60000</v>
      </c>
      <c r="H262" s="16"/>
      <c r="I262" s="43" t="s">
        <v>29</v>
      </c>
      <c r="J262" s="43" t="s">
        <v>5158</v>
      </c>
      <c r="K262" s="43" t="s">
        <v>6116</v>
      </c>
      <c r="L262" s="25" t="s">
        <v>6117</v>
      </c>
      <c r="M262" s="26" t="s">
        <v>6118</v>
      </c>
      <c r="N262" s="46">
        <v>7.38</v>
      </c>
      <c r="O262" s="43" t="s">
        <v>36</v>
      </c>
      <c r="P262" s="47" t="s">
        <v>206</v>
      </c>
      <c r="Q262" s="442">
        <v>3</v>
      </c>
      <c r="R262" s="47" t="s">
        <v>155</v>
      </c>
      <c r="S262" s="43">
        <v>7.1</v>
      </c>
      <c r="T262" s="43" t="s">
        <v>4596</v>
      </c>
      <c r="U262" s="43">
        <v>0</v>
      </c>
      <c r="V262" s="43" t="s">
        <v>5029</v>
      </c>
      <c r="W262" s="43"/>
      <c r="X262" s="16"/>
      <c r="Y262" s="46"/>
      <c r="Z262" s="46"/>
      <c r="AA262" s="102"/>
      <c r="AB262" s="43"/>
      <c r="AC262" s="87"/>
      <c r="AD262" s="16"/>
      <c r="AE262" s="103"/>
      <c r="AF262" s="46"/>
      <c r="AG262" s="16"/>
      <c r="AH262" s="43"/>
      <c r="AI262" s="43"/>
      <c r="AJ262" s="43"/>
      <c r="AK262" s="37"/>
      <c r="AL262" s="47" t="s">
        <v>6119</v>
      </c>
      <c r="AM262" s="49">
        <f t="shared" si="12"/>
        <v>8130.0813008130081</v>
      </c>
    </row>
    <row r="263" spans="1:39" ht="47.25" hidden="1" customHeight="1">
      <c r="A263" s="187">
        <v>28195151</v>
      </c>
      <c r="B263" s="43"/>
      <c r="C263" s="51">
        <v>45065</v>
      </c>
      <c r="D263" s="37" t="s">
        <v>6120</v>
      </c>
      <c r="E263" s="37" t="s">
        <v>6121</v>
      </c>
      <c r="F263" s="45" t="s">
        <v>6122</v>
      </c>
      <c r="G263" s="16">
        <v>425000</v>
      </c>
      <c r="H263" s="16"/>
      <c r="I263" s="43" t="s">
        <v>4911</v>
      </c>
      <c r="J263" s="43" t="s">
        <v>4912</v>
      </c>
      <c r="K263" s="43">
        <v>0</v>
      </c>
      <c r="L263" s="25"/>
      <c r="M263" s="26"/>
      <c r="N263" s="46">
        <v>18.490000000000002</v>
      </c>
      <c r="O263" s="43"/>
      <c r="P263" s="47"/>
      <c r="Q263" s="267" t="s">
        <v>6123</v>
      </c>
      <c r="R263" s="47"/>
      <c r="S263" s="43">
        <v>14.2</v>
      </c>
      <c r="T263" s="43"/>
      <c r="U263" s="43"/>
      <c r="V263" s="43"/>
      <c r="W263" s="43"/>
      <c r="X263" s="16"/>
      <c r="Y263" s="46">
        <v>4.2900000000000027</v>
      </c>
      <c r="Z263" s="46"/>
      <c r="AA263" s="102"/>
      <c r="AB263" s="43"/>
      <c r="AC263" s="87"/>
      <c r="AD263" s="16"/>
      <c r="AE263" s="103"/>
      <c r="AF263" s="46"/>
      <c r="AG263" s="16"/>
      <c r="AH263" s="43"/>
      <c r="AI263" s="43"/>
      <c r="AJ263" s="43" t="s">
        <v>6124</v>
      </c>
      <c r="AK263" s="37"/>
      <c r="AL263" s="47"/>
      <c r="AM263" s="74">
        <f t="shared" si="12"/>
        <v>22985.397512168736</v>
      </c>
    </row>
    <row r="264" spans="1:39" ht="47.25" hidden="1" customHeight="1">
      <c r="A264" s="187">
        <v>28187428</v>
      </c>
      <c r="B264" s="43"/>
      <c r="C264" s="51">
        <v>45069</v>
      </c>
      <c r="D264" s="37" t="s">
        <v>6125</v>
      </c>
      <c r="E264" s="37" t="s">
        <v>6126</v>
      </c>
      <c r="F264" s="43" t="s">
        <v>6127</v>
      </c>
      <c r="G264" s="16">
        <v>705000</v>
      </c>
      <c r="H264" s="16"/>
      <c r="I264" s="43" t="s">
        <v>149</v>
      </c>
      <c r="J264" s="43" t="s">
        <v>6128</v>
      </c>
      <c r="K264" s="43" t="s">
        <v>6129</v>
      </c>
      <c r="L264" s="16" t="s">
        <v>6130</v>
      </c>
      <c r="M264" s="16" t="s">
        <v>6131</v>
      </c>
      <c r="N264" s="46">
        <f>49.68+5.43</f>
        <v>55.11</v>
      </c>
      <c r="O264" s="43" t="s">
        <v>18</v>
      </c>
      <c r="P264" s="47" t="s">
        <v>154</v>
      </c>
      <c r="Q264" s="442">
        <v>3</v>
      </c>
      <c r="R264" s="47" t="s">
        <v>155</v>
      </c>
      <c r="S264" s="43">
        <f>2+2.8+5.9+8.2+5+4.2</f>
        <v>28.099999999999998</v>
      </c>
      <c r="T264" s="43" t="s">
        <v>4596</v>
      </c>
      <c r="U264" s="43"/>
      <c r="V264" s="43"/>
      <c r="W264" s="43"/>
      <c r="X264" s="16"/>
      <c r="Y264" s="46">
        <f>8.1+4.5+0.4+11.4</f>
        <v>24.4</v>
      </c>
      <c r="Z264" s="46"/>
      <c r="AA264" s="102"/>
      <c r="AB264" s="43"/>
      <c r="AC264" s="87"/>
      <c r="AD264" s="16"/>
      <c r="AE264" s="103"/>
      <c r="AF264" s="46"/>
      <c r="AG264" s="16"/>
      <c r="AH264" s="43"/>
      <c r="AI264" s="43"/>
      <c r="AJ264" s="43"/>
      <c r="AK264" s="37" t="s">
        <v>6132</v>
      </c>
      <c r="AL264" s="47">
        <v>12951</v>
      </c>
      <c r="AM264" s="49">
        <f>Terre!$G83/Terre!$N83</f>
        <v>36857.159177456204</v>
      </c>
    </row>
    <row r="265" spans="1:39" ht="47.25" hidden="1" customHeight="1">
      <c r="A265" s="226">
        <v>28180563</v>
      </c>
      <c r="B265" s="66"/>
      <c r="C265" s="320">
        <v>45077</v>
      </c>
      <c r="D265" s="68" t="s">
        <v>6133</v>
      </c>
      <c r="E265" s="68" t="s">
        <v>4789</v>
      </c>
      <c r="F265" s="67" t="s">
        <v>6134</v>
      </c>
      <c r="G265" s="125">
        <v>450000</v>
      </c>
      <c r="H265" s="98"/>
      <c r="I265" s="67" t="s">
        <v>654</v>
      </c>
      <c r="J265" s="67" t="s">
        <v>6135</v>
      </c>
      <c r="K265" s="67" t="s">
        <v>6136</v>
      </c>
      <c r="L265" s="132" t="s">
        <v>6137</v>
      </c>
      <c r="M265" s="101" t="s">
        <v>6138</v>
      </c>
      <c r="N265" s="70">
        <f>23.68+4.94</f>
        <v>28.62</v>
      </c>
      <c r="O265" s="67" t="s">
        <v>36</v>
      </c>
      <c r="P265" s="71" t="s">
        <v>949</v>
      </c>
      <c r="Q265" s="430">
        <v>3</v>
      </c>
      <c r="R265" s="66" t="s">
        <v>5016</v>
      </c>
      <c r="S265" s="28">
        <f>3.1+1+4.1+2.8+4.1+4.6+5.2</f>
        <v>24.9</v>
      </c>
      <c r="T265" s="67" t="s">
        <v>4596</v>
      </c>
      <c r="U265" s="66">
        <v>0</v>
      </c>
      <c r="V265" s="67" t="s">
        <v>5029</v>
      </c>
      <c r="W265" s="67"/>
      <c r="X265" s="98" t="s">
        <v>6036</v>
      </c>
      <c r="Y265" s="123"/>
      <c r="Z265" s="123"/>
      <c r="AA265" s="99"/>
      <c r="AB265" s="66"/>
      <c r="AC265" s="124"/>
      <c r="AD265" s="98"/>
      <c r="AE265" s="98"/>
      <c r="AF265" s="123"/>
      <c r="AG265" s="98"/>
      <c r="AH265" s="66"/>
      <c r="AI265" s="66"/>
      <c r="AJ265" s="66"/>
      <c r="AK265" s="37" t="s">
        <v>6139</v>
      </c>
      <c r="AL265" s="47">
        <v>4355</v>
      </c>
      <c r="AM265" s="49">
        <f>Table3[[#This Row],[Prixdevente($)]]/Table3[[#This Row],[Superficie totale (ha)]]</f>
        <v>15723.270440251572</v>
      </c>
    </row>
    <row r="266" spans="1:39" ht="47.25" hidden="1" customHeight="1">
      <c r="A266" s="187">
        <v>28357095</v>
      </c>
      <c r="B266" s="43"/>
      <c r="C266" s="51">
        <v>45083</v>
      </c>
      <c r="D266" s="37" t="s">
        <v>6140</v>
      </c>
      <c r="E266" s="37" t="s">
        <v>6141</v>
      </c>
      <c r="F266" s="45" t="s">
        <v>6142</v>
      </c>
      <c r="G266" s="1">
        <v>1050000</v>
      </c>
      <c r="H266" s="1"/>
      <c r="I266" s="43" t="s">
        <v>6143</v>
      </c>
      <c r="J266" s="43" t="s">
        <v>6144</v>
      </c>
      <c r="K266" s="43" t="s">
        <v>6145</v>
      </c>
      <c r="L266" s="4" t="s">
        <v>6146</v>
      </c>
      <c r="M266" s="7" t="s">
        <v>6147</v>
      </c>
      <c r="N266" s="46">
        <f>13.11+1.36+5.93</f>
        <v>20.399999999999999</v>
      </c>
      <c r="O266" s="43" t="s">
        <v>18</v>
      </c>
      <c r="P266" s="47" t="s">
        <v>206</v>
      </c>
      <c r="Q266" s="267">
        <v>2</v>
      </c>
      <c r="R266" s="47" t="s">
        <v>4669</v>
      </c>
      <c r="S266" s="43">
        <v>18.899999999999999</v>
      </c>
      <c r="T266" s="43" t="s">
        <v>4596</v>
      </c>
      <c r="U266" s="43">
        <f>S266</f>
        <v>18.899999999999999</v>
      </c>
      <c r="V266" s="43" t="s">
        <v>5029</v>
      </c>
      <c r="W266" s="43"/>
      <c r="X266" s="1"/>
      <c r="Y266" s="46">
        <v>0</v>
      </c>
      <c r="Z266" s="46"/>
      <c r="AA266" s="2"/>
      <c r="AB266" s="43"/>
      <c r="AC266" s="87"/>
      <c r="AD266" s="1"/>
      <c r="AE266" s="3"/>
      <c r="AF266" s="46"/>
      <c r="AG266" s="1"/>
      <c r="AH266" s="43"/>
      <c r="AI266" s="43"/>
      <c r="AJ266" s="43"/>
      <c r="AK266" s="37" t="s">
        <v>6148</v>
      </c>
      <c r="AL266" s="47"/>
      <c r="AM266" s="49">
        <f>Terre!$G81/Terre!$N81</f>
        <v>2214.2121524201852</v>
      </c>
    </row>
    <row r="267" spans="1:39" ht="47.25" hidden="1" customHeight="1">
      <c r="A267" s="239" t="s">
        <v>6149</v>
      </c>
      <c r="C267" s="317">
        <v>45085</v>
      </c>
      <c r="D267" s="247" t="s">
        <v>6150</v>
      </c>
      <c r="E267" s="247" t="s">
        <v>6151</v>
      </c>
      <c r="F267" s="247" t="s">
        <v>6152</v>
      </c>
      <c r="G267" s="94">
        <v>1150000</v>
      </c>
      <c r="I267" t="s">
        <v>1597</v>
      </c>
      <c r="J267" t="s">
        <v>3783</v>
      </c>
      <c r="K267" s="247" t="s">
        <v>6153</v>
      </c>
      <c r="L267" s="96">
        <v>45.157828000000002</v>
      </c>
      <c r="M267" s="96">
        <v>-72.187200000000004</v>
      </c>
      <c r="N267" s="63">
        <v>133.03</v>
      </c>
      <c r="O267" t="s">
        <v>18</v>
      </c>
      <c r="P267" t="s">
        <v>19</v>
      </c>
      <c r="Q267" s="436">
        <v>4</v>
      </c>
      <c r="R267" t="s">
        <v>4620</v>
      </c>
      <c r="S267">
        <v>31.6</v>
      </c>
      <c r="T267" t="s">
        <v>6154</v>
      </c>
      <c r="Y267" s="63">
        <f>Table3[[#This Row],[Superficie totale (ha)]]-Table3[[#This Row],[Superficie cultivée (ha)]]-10</f>
        <v>91.43</v>
      </c>
      <c r="AK267" t="s">
        <v>6155</v>
      </c>
      <c r="AM267" s="1">
        <f t="shared" ref="AM267:AM277" si="13">G267/N267</f>
        <v>8644.6666165526567</v>
      </c>
    </row>
    <row r="268" spans="1:39" ht="47.25" hidden="1" customHeight="1">
      <c r="A268" s="187">
        <v>28079281</v>
      </c>
      <c r="B268" s="43"/>
      <c r="C268" s="51">
        <v>45086</v>
      </c>
      <c r="D268" s="37" t="s">
        <v>6156</v>
      </c>
      <c r="E268" s="37" t="s">
        <v>6157</v>
      </c>
      <c r="F268" s="45" t="s">
        <v>6158</v>
      </c>
      <c r="G268" s="16">
        <v>280000</v>
      </c>
      <c r="H268" s="16"/>
      <c r="I268" s="43" t="s">
        <v>201</v>
      </c>
      <c r="J268" s="43" t="s">
        <v>202</v>
      </c>
      <c r="K268" s="43" t="s">
        <v>202</v>
      </c>
      <c r="L268" s="25" t="s">
        <v>6159</v>
      </c>
      <c r="M268" s="26" t="s">
        <v>6160</v>
      </c>
      <c r="N268" s="46">
        <f>(53218.9+25559.7+43068.8)/10000</f>
        <v>12.184740000000001</v>
      </c>
      <c r="O268" s="43" t="s">
        <v>764</v>
      </c>
      <c r="P268" s="47" t="s">
        <v>206</v>
      </c>
      <c r="Q268" s="442" t="s">
        <v>4835</v>
      </c>
      <c r="R268" s="47" t="s">
        <v>4669</v>
      </c>
      <c r="S268" s="43">
        <f>0.8+4.2+2.55+1.3+0.5+1.5</f>
        <v>10.85</v>
      </c>
      <c r="T268" s="43" t="s">
        <v>4596</v>
      </c>
      <c r="U268" s="43">
        <v>0</v>
      </c>
      <c r="V268" s="43"/>
      <c r="W268" s="43"/>
      <c r="X268" s="16"/>
      <c r="Y268" s="46"/>
      <c r="Z268" s="46"/>
      <c r="AA268" s="102"/>
      <c r="AB268" s="43"/>
      <c r="AC268" s="87"/>
      <c r="AD268" s="16"/>
      <c r="AE268" s="103"/>
      <c r="AF268" s="46"/>
      <c r="AG268" s="16"/>
      <c r="AH268" s="43"/>
      <c r="AI268" s="43"/>
      <c r="AJ268" s="43"/>
      <c r="AK268" s="37" t="s">
        <v>6161</v>
      </c>
      <c r="AL268" s="47">
        <v>69136</v>
      </c>
      <c r="AM268" s="49">
        <f t="shared" si="13"/>
        <v>22979.562961540414</v>
      </c>
    </row>
    <row r="269" spans="1:39" ht="47.25" hidden="1" customHeight="1">
      <c r="A269" s="187">
        <v>28131034</v>
      </c>
      <c r="B269" s="43"/>
      <c r="C269" s="51">
        <v>45086</v>
      </c>
      <c r="D269" s="37" t="s">
        <v>6162</v>
      </c>
      <c r="E269" s="37" t="s">
        <v>6163</v>
      </c>
      <c r="F269" s="45">
        <v>3504131</v>
      </c>
      <c r="G269" s="16">
        <v>1200000</v>
      </c>
      <c r="H269" s="16"/>
      <c r="I269" s="43" t="s">
        <v>4911</v>
      </c>
      <c r="J269" s="43" t="s">
        <v>5241</v>
      </c>
      <c r="K269" s="43" t="s">
        <v>5030</v>
      </c>
      <c r="L269" s="25"/>
      <c r="M269" s="26"/>
      <c r="N269" s="46">
        <v>20.7</v>
      </c>
      <c r="O269" s="43" t="s">
        <v>4996</v>
      </c>
      <c r="P269" s="47"/>
      <c r="Q269" s="267" t="s">
        <v>6164</v>
      </c>
      <c r="R269" s="47"/>
      <c r="S269" s="43">
        <v>19.100000000000001</v>
      </c>
      <c r="T269" s="43"/>
      <c r="U269" s="43">
        <v>19.100000000000001</v>
      </c>
      <c r="V269" s="43" t="s">
        <v>6114</v>
      </c>
      <c r="W269" s="43"/>
      <c r="X269" s="16"/>
      <c r="Y269" s="46">
        <v>1.5999999999999979</v>
      </c>
      <c r="Z269" s="46"/>
      <c r="AA269" s="102"/>
      <c r="AB269" s="43"/>
      <c r="AC269" s="87"/>
      <c r="AD269" s="16"/>
      <c r="AE269" s="103"/>
      <c r="AF269" s="46"/>
      <c r="AG269" s="16"/>
      <c r="AH269" s="43"/>
      <c r="AI269" s="43"/>
      <c r="AJ269" s="43" t="s">
        <v>6165</v>
      </c>
      <c r="AK269" s="37">
        <v>0</v>
      </c>
      <c r="AL269" s="47"/>
      <c r="AM269" s="74">
        <f t="shared" si="13"/>
        <v>57971.014492753624</v>
      </c>
    </row>
    <row r="270" spans="1:39" ht="47.25" hidden="1" customHeight="1">
      <c r="A270" s="190">
        <v>28235570</v>
      </c>
      <c r="B270" s="43"/>
      <c r="C270" s="51">
        <v>45091</v>
      </c>
      <c r="D270" s="43" t="s">
        <v>6166</v>
      </c>
      <c r="E270" s="43" t="s">
        <v>6167</v>
      </c>
      <c r="F270" s="43" t="s">
        <v>6168</v>
      </c>
      <c r="G270" s="1">
        <v>345000</v>
      </c>
      <c r="H270" s="82"/>
      <c r="I270" s="43" t="s">
        <v>24</v>
      </c>
      <c r="J270" s="43" t="s">
        <v>6169</v>
      </c>
      <c r="K270" s="43" t="s">
        <v>6170</v>
      </c>
      <c r="L270" s="4" t="s">
        <v>6171</v>
      </c>
      <c r="M270" s="4" t="s">
        <v>6172</v>
      </c>
      <c r="N270" s="46">
        <v>61.05</v>
      </c>
      <c r="O270" s="43" t="s">
        <v>18</v>
      </c>
      <c r="P270" s="43" t="s">
        <v>154</v>
      </c>
      <c r="Q270" s="444">
        <v>5</v>
      </c>
      <c r="R270" s="43" t="s">
        <v>4620</v>
      </c>
      <c r="S270" s="43">
        <v>26.5</v>
      </c>
      <c r="T270" s="43" t="s">
        <v>4828</v>
      </c>
      <c r="U270" s="43"/>
      <c r="V270" s="43"/>
      <c r="W270" s="43"/>
      <c r="X270" s="1"/>
      <c r="Y270" s="46">
        <v>30.4</v>
      </c>
      <c r="Z270" s="46"/>
      <c r="AA270" s="2"/>
      <c r="AB270" s="43"/>
      <c r="AC270" s="87"/>
      <c r="AD270" s="1"/>
      <c r="AE270" s="1"/>
      <c r="AF270" s="46"/>
      <c r="AG270" s="1"/>
      <c r="AH270" s="43"/>
      <c r="AI270" s="43"/>
      <c r="AJ270" s="43"/>
      <c r="AK270" s="43" t="s">
        <v>4636</v>
      </c>
      <c r="AL270" s="43"/>
      <c r="AM270" s="1">
        <f t="shared" si="13"/>
        <v>5651.1056511056513</v>
      </c>
    </row>
    <row r="271" spans="1:39" ht="47.25" customHeight="1">
      <c r="A271" s="196" t="s">
        <v>6173</v>
      </c>
      <c r="C271" s="317">
        <v>45091</v>
      </c>
      <c r="F271" t="s">
        <v>6174</v>
      </c>
      <c r="G271" s="94">
        <v>400000</v>
      </c>
      <c r="I271" t="s">
        <v>1363</v>
      </c>
      <c r="AM271" s="1" t="e">
        <f t="shared" si="13"/>
        <v>#DIV/0!</v>
      </c>
    </row>
    <row r="272" spans="1:39" ht="47.25" hidden="1" customHeight="1">
      <c r="A272" s="239">
        <v>28091540</v>
      </c>
      <c r="C272" s="317">
        <v>45093</v>
      </c>
      <c r="D272" s="239" t="s">
        <v>6175</v>
      </c>
      <c r="E272" s="239" t="s">
        <v>6176</v>
      </c>
      <c r="F272" t="s">
        <v>6177</v>
      </c>
      <c r="G272" s="94">
        <v>515000</v>
      </c>
      <c r="I272" t="s">
        <v>1597</v>
      </c>
      <c r="J272" t="s">
        <v>6178</v>
      </c>
      <c r="K272" s="239" t="s">
        <v>6179</v>
      </c>
      <c r="L272" s="96">
        <v>45.192999999999998</v>
      </c>
      <c r="M272" s="96">
        <v>-72.282165000000006</v>
      </c>
      <c r="N272" s="63">
        <v>21.15</v>
      </c>
      <c r="O272" t="s">
        <v>18</v>
      </c>
      <c r="P272" t="s">
        <v>19</v>
      </c>
      <c r="Q272" s="436">
        <v>5</v>
      </c>
      <c r="R272" t="s">
        <v>5056</v>
      </c>
      <c r="S272">
        <v>2.5</v>
      </c>
      <c r="T272" t="s">
        <v>6154</v>
      </c>
      <c r="Y272" s="63">
        <f>Table3[[#This Row],[Superficie totale (ha)]]-Table3[[#This Row],[Superficie cultivée (ha)]]</f>
        <v>18.649999999999999</v>
      </c>
      <c r="AK272" t="s">
        <v>6180</v>
      </c>
      <c r="AM272" s="1">
        <f t="shared" si="13"/>
        <v>24349.881796690308</v>
      </c>
    </row>
    <row r="273" spans="1:39" s="60" customFormat="1" ht="47.25" hidden="1" customHeight="1">
      <c r="A273" s="187">
        <v>28233703</v>
      </c>
      <c r="B273" s="43">
        <v>13154928</v>
      </c>
      <c r="C273" s="51">
        <v>45100</v>
      </c>
      <c r="D273" s="37" t="s">
        <v>6181</v>
      </c>
      <c r="E273" s="37" t="s">
        <v>6182</v>
      </c>
      <c r="F273" s="237" t="s">
        <v>6183</v>
      </c>
      <c r="G273" s="1">
        <v>800000</v>
      </c>
      <c r="H273" s="1"/>
      <c r="I273" s="43" t="s">
        <v>48</v>
      </c>
      <c r="J273" s="43" t="s">
        <v>5844</v>
      </c>
      <c r="K273" s="43" t="s">
        <v>6184</v>
      </c>
      <c r="L273" s="4">
        <v>45.553367999999999</v>
      </c>
      <c r="M273" s="7">
        <v>-72.432419999999993</v>
      </c>
      <c r="N273" s="46">
        <v>59.57</v>
      </c>
      <c r="O273" s="43" t="s">
        <v>36</v>
      </c>
      <c r="P273" s="47" t="s">
        <v>154</v>
      </c>
      <c r="Q273" s="267">
        <v>5</v>
      </c>
      <c r="R273" s="47" t="s">
        <v>4604</v>
      </c>
      <c r="S273" s="43">
        <v>14.6</v>
      </c>
      <c r="T273" s="43" t="s">
        <v>4596</v>
      </c>
      <c r="U273" s="43"/>
      <c r="V273" s="43"/>
      <c r="W273" s="43"/>
      <c r="X273" s="1"/>
      <c r="Y273" s="46">
        <v>38.200000000000003</v>
      </c>
      <c r="Z273" s="46"/>
      <c r="AA273" s="2"/>
      <c r="AB273" s="43"/>
      <c r="AC273" s="87"/>
      <c r="AD273" s="1"/>
      <c r="AE273" s="3"/>
      <c r="AF273" s="46"/>
      <c r="AG273" s="1"/>
      <c r="AH273" s="43"/>
      <c r="AI273" s="43"/>
      <c r="AJ273" s="43"/>
      <c r="AK273" s="37" t="s">
        <v>6185</v>
      </c>
      <c r="AL273" s="47"/>
      <c r="AM273" s="1">
        <f t="shared" si="13"/>
        <v>13429.578646969951</v>
      </c>
    </row>
    <row r="274" spans="1:39" s="60" customFormat="1" ht="47.25" hidden="1" customHeight="1">
      <c r="A274" s="196">
        <v>28109457</v>
      </c>
      <c r="B274"/>
      <c r="C274" s="317">
        <v>45103</v>
      </c>
      <c r="D274" s="247" t="s">
        <v>6186</v>
      </c>
      <c r="E274" s="247" t="s">
        <v>6187</v>
      </c>
      <c r="F274" s="247" t="s">
        <v>6188</v>
      </c>
      <c r="G274" s="62">
        <v>1200000</v>
      </c>
      <c r="H274" s="62"/>
      <c r="I274" t="s">
        <v>5985</v>
      </c>
      <c r="J274" t="s">
        <v>5986</v>
      </c>
      <c r="K274"/>
      <c r="L274" s="288">
        <v>45.966918999999997</v>
      </c>
      <c r="M274" s="288">
        <v>-72.120735999999994</v>
      </c>
      <c r="N274" s="63">
        <v>40.15</v>
      </c>
      <c r="O274" t="s">
        <v>36</v>
      </c>
      <c r="P274" t="s">
        <v>35</v>
      </c>
      <c r="Q274" s="436">
        <v>3</v>
      </c>
      <c r="R274" t="s">
        <v>155</v>
      </c>
      <c r="S274">
        <v>36.4</v>
      </c>
      <c r="T274" t="s">
        <v>4596</v>
      </c>
      <c r="U274"/>
      <c r="V274"/>
      <c r="W274"/>
      <c r="X274" s="62"/>
      <c r="Y274" s="63">
        <v>2</v>
      </c>
      <c r="Z274" s="63"/>
      <c r="AA274" s="64"/>
      <c r="AB274"/>
      <c r="AC274" s="65"/>
      <c r="AD274" s="62"/>
      <c r="AE274" s="62"/>
      <c r="AF274" s="63"/>
      <c r="AG274" s="62"/>
      <c r="AH274"/>
      <c r="AI274"/>
      <c r="AJ274"/>
      <c r="AK274" t="s">
        <v>6189</v>
      </c>
      <c r="AL274"/>
      <c r="AM274" s="16">
        <f t="shared" si="13"/>
        <v>29887.920298879206</v>
      </c>
    </row>
    <row r="275" spans="1:39" s="60" customFormat="1" ht="47.25" hidden="1" customHeight="1">
      <c r="A275" s="196">
        <v>28115136</v>
      </c>
      <c r="B275"/>
      <c r="C275" s="317">
        <v>45104</v>
      </c>
      <c r="D275" s="239" t="s">
        <v>6190</v>
      </c>
      <c r="E275" s="239" t="s">
        <v>6191</v>
      </c>
      <c r="F275" s="239" t="s">
        <v>6192</v>
      </c>
      <c r="G275" s="94">
        <v>15820000</v>
      </c>
      <c r="H275" s="94"/>
      <c r="I275" t="s">
        <v>611</v>
      </c>
      <c r="J275" t="s">
        <v>6193</v>
      </c>
      <c r="K275"/>
      <c r="L275" s="96">
        <v>45.188521000000001</v>
      </c>
      <c r="M275" s="96">
        <v>-73.342995999999999</v>
      </c>
      <c r="N275" s="63">
        <v>205.29</v>
      </c>
      <c r="O275" t="s">
        <v>18</v>
      </c>
      <c r="P275" t="s">
        <v>206</v>
      </c>
      <c r="Q275" s="436" t="s">
        <v>6194</v>
      </c>
      <c r="R275"/>
      <c r="S275">
        <v>179</v>
      </c>
      <c r="T275"/>
      <c r="U275"/>
      <c r="V275" s="43" t="s">
        <v>5038</v>
      </c>
      <c r="W275" s="43"/>
      <c r="X275" s="94"/>
      <c r="Y275" s="63"/>
      <c r="Z275" s="63"/>
      <c r="AA275" s="97"/>
      <c r="AB275"/>
      <c r="AC275" s="65"/>
      <c r="AD275" s="94"/>
      <c r="AE275" s="94"/>
      <c r="AF275" s="63"/>
      <c r="AG275" s="94"/>
      <c r="AH275"/>
      <c r="AI275"/>
      <c r="AJ275"/>
      <c r="AK275" t="s">
        <v>6195</v>
      </c>
      <c r="AL275"/>
      <c r="AM275" s="1">
        <f t="shared" si="13"/>
        <v>77061.717570266454</v>
      </c>
    </row>
    <row r="276" spans="1:39" s="60" customFormat="1" ht="47.25" hidden="1" customHeight="1">
      <c r="A276" s="233">
        <v>28119606</v>
      </c>
      <c r="B276" s="43"/>
      <c r="C276" s="51">
        <v>45105</v>
      </c>
      <c r="D276" s="43" t="s">
        <v>6196</v>
      </c>
      <c r="E276" s="43" t="s">
        <v>6197</v>
      </c>
      <c r="F276" s="45">
        <v>4698527</v>
      </c>
      <c r="G276" s="1">
        <v>200000</v>
      </c>
      <c r="H276" s="82"/>
      <c r="I276" s="43" t="s">
        <v>50</v>
      </c>
      <c r="J276" s="43" t="s">
        <v>51</v>
      </c>
      <c r="K276" s="43" t="s">
        <v>6198</v>
      </c>
      <c r="L276" s="4" t="s">
        <v>6199</v>
      </c>
      <c r="M276" s="4" t="s">
        <v>6200</v>
      </c>
      <c r="N276" s="46">
        <v>23.88</v>
      </c>
      <c r="O276" s="43" t="s">
        <v>18</v>
      </c>
      <c r="P276" s="43" t="s">
        <v>6201</v>
      </c>
      <c r="Q276" s="444">
        <v>7</v>
      </c>
      <c r="R276" s="43" t="s">
        <v>5056</v>
      </c>
      <c r="S276" s="43">
        <v>18.100000000000001</v>
      </c>
      <c r="T276" s="43" t="s">
        <v>4828</v>
      </c>
      <c r="U276" s="43"/>
      <c r="V276" s="43"/>
      <c r="W276" s="43"/>
      <c r="X276" s="1"/>
      <c r="Y276" s="46">
        <v>3.6</v>
      </c>
      <c r="Z276" s="46"/>
      <c r="AA276" s="2"/>
      <c r="AB276" s="43"/>
      <c r="AC276" s="87"/>
      <c r="AD276" s="1"/>
      <c r="AE276" s="1"/>
      <c r="AF276" s="46"/>
      <c r="AG276" s="1"/>
      <c r="AH276" s="43"/>
      <c r="AI276" s="43"/>
      <c r="AJ276" s="43"/>
      <c r="AK276" s="43" t="s">
        <v>6202</v>
      </c>
      <c r="AL276" s="43"/>
      <c r="AM276" s="18">
        <f t="shared" si="13"/>
        <v>8375.2093802345062</v>
      </c>
    </row>
    <row r="277" spans="1:39" s="60" customFormat="1" ht="47.25" hidden="1" customHeight="1">
      <c r="A277" s="194">
        <v>28126716</v>
      </c>
      <c r="B277" s="139"/>
      <c r="C277" s="148">
        <v>45110</v>
      </c>
      <c r="D277" s="60" t="s">
        <v>6203</v>
      </c>
      <c r="E277" s="60" t="s">
        <v>6204</v>
      </c>
      <c r="F277" s="140" t="s">
        <v>6205</v>
      </c>
      <c r="G277" s="141">
        <v>350000</v>
      </c>
      <c r="H277" s="141"/>
      <c r="I277" s="139" t="s">
        <v>321</v>
      </c>
      <c r="J277" s="139" t="s">
        <v>2388</v>
      </c>
      <c r="K277" s="139"/>
      <c r="L277" s="142">
        <v>46.410426000000001</v>
      </c>
      <c r="M277" s="143">
        <v>-71.664150000000006</v>
      </c>
      <c r="N277" s="144">
        <v>125.75</v>
      </c>
      <c r="O277" s="139" t="s">
        <v>36</v>
      </c>
      <c r="P277" s="60" t="s">
        <v>206</v>
      </c>
      <c r="Q277" s="439">
        <v>4</v>
      </c>
      <c r="R277" s="60" t="s">
        <v>4801</v>
      </c>
      <c r="S277" s="139">
        <v>24.7</v>
      </c>
      <c r="T277" s="139" t="s">
        <v>4596</v>
      </c>
      <c r="U277" s="139"/>
      <c r="V277" s="139"/>
      <c r="W277" s="139"/>
      <c r="X277" s="141"/>
      <c r="Y277" s="144">
        <v>101.05</v>
      </c>
      <c r="Z277" s="144"/>
      <c r="AA277" s="145"/>
      <c r="AB277" s="139"/>
      <c r="AC277" s="146"/>
      <c r="AD277" s="141"/>
      <c r="AE277" s="158"/>
      <c r="AF277" s="144"/>
      <c r="AG277" s="141"/>
      <c r="AH277" s="139"/>
      <c r="AI277" s="139"/>
      <c r="AJ277" s="139"/>
      <c r="AM277" s="141">
        <f t="shared" si="13"/>
        <v>2783.3001988071569</v>
      </c>
    </row>
    <row r="278" spans="1:39" s="60" customFormat="1" ht="47.25" hidden="1" customHeight="1">
      <c r="A278" s="187">
        <v>28138139</v>
      </c>
      <c r="B278" s="43"/>
      <c r="C278" s="51">
        <v>45113</v>
      </c>
      <c r="D278" s="37" t="s">
        <v>6206</v>
      </c>
      <c r="E278" s="37" t="s">
        <v>6207</v>
      </c>
      <c r="F278" s="43">
        <v>5743241</v>
      </c>
      <c r="G278" s="1">
        <v>400000</v>
      </c>
      <c r="H278" s="1"/>
      <c r="I278" s="43" t="s">
        <v>747</v>
      </c>
      <c r="J278" s="43" t="s">
        <v>929</v>
      </c>
      <c r="K278" s="43" t="s">
        <v>5972</v>
      </c>
      <c r="L278" s="1" t="s">
        <v>6208</v>
      </c>
      <c r="M278" s="1" t="s">
        <v>6209</v>
      </c>
      <c r="N278" s="46">
        <v>18.04</v>
      </c>
      <c r="O278" s="43" t="s">
        <v>18</v>
      </c>
      <c r="P278" s="47" t="s">
        <v>206</v>
      </c>
      <c r="Q278" s="442">
        <v>4</v>
      </c>
      <c r="R278" s="47" t="s">
        <v>4595</v>
      </c>
      <c r="S278" s="43">
        <v>10.3</v>
      </c>
      <c r="T278" s="43" t="s">
        <v>4596</v>
      </c>
      <c r="U278" s="43"/>
      <c r="V278" s="43"/>
      <c r="W278" s="43"/>
      <c r="X278" s="1"/>
      <c r="Y278" s="46">
        <v>6.4</v>
      </c>
      <c r="Z278" s="46"/>
      <c r="AA278" s="2"/>
      <c r="AB278" s="43"/>
      <c r="AC278" s="87"/>
      <c r="AD278" s="1"/>
      <c r="AE278" s="3"/>
      <c r="AF278" s="46"/>
      <c r="AG278" s="1"/>
      <c r="AH278" s="43"/>
      <c r="AI278" s="43"/>
      <c r="AJ278" s="43"/>
      <c r="AK278" s="37" t="s">
        <v>6210</v>
      </c>
      <c r="AL278" s="47"/>
      <c r="AM278" s="49">
        <f>Terre!$G79/Terre!$N79</f>
        <v>39458.850056369789</v>
      </c>
    </row>
    <row r="279" spans="1:39" s="60" customFormat="1" ht="47.25" hidden="1" customHeight="1">
      <c r="A279" s="187">
        <v>28142801</v>
      </c>
      <c r="B279" s="43"/>
      <c r="C279" s="51">
        <v>45114</v>
      </c>
      <c r="D279" s="37" t="s">
        <v>6211</v>
      </c>
      <c r="E279" s="37" t="s">
        <v>6212</v>
      </c>
      <c r="F279" s="45">
        <v>4549868</v>
      </c>
      <c r="G279" s="16">
        <v>150000</v>
      </c>
      <c r="H279" s="16"/>
      <c r="I279" s="43" t="s">
        <v>5507</v>
      </c>
      <c r="J279" s="43" t="s">
        <v>2246</v>
      </c>
      <c r="K279" s="43" t="s">
        <v>6213</v>
      </c>
      <c r="L279" s="25" t="s">
        <v>6214</v>
      </c>
      <c r="M279" s="26" t="s">
        <v>6215</v>
      </c>
      <c r="N279" s="46">
        <v>22.53</v>
      </c>
      <c r="O279" s="43" t="s">
        <v>36</v>
      </c>
      <c r="P279" s="60" t="s">
        <v>3970</v>
      </c>
      <c r="Q279" s="267">
        <v>2</v>
      </c>
      <c r="R279" s="47" t="s">
        <v>4669</v>
      </c>
      <c r="S279" s="43">
        <v>19</v>
      </c>
      <c r="T279" s="139" t="s">
        <v>6216</v>
      </c>
      <c r="U279" s="43">
        <f>Table3[[#This Row],[Superficie cultivée (ha)]]</f>
        <v>19</v>
      </c>
      <c r="V279" s="43"/>
      <c r="W279" s="43"/>
      <c r="X279" s="16"/>
      <c r="Y279" s="46">
        <v>2.9</v>
      </c>
      <c r="Z279" s="46"/>
      <c r="AA279" s="102"/>
      <c r="AB279" s="43"/>
      <c r="AC279" s="87"/>
      <c r="AD279" s="16"/>
      <c r="AE279" s="103"/>
      <c r="AF279" s="46" t="s">
        <v>6217</v>
      </c>
      <c r="AG279" s="16"/>
      <c r="AH279" s="43"/>
      <c r="AI279" s="43"/>
      <c r="AJ279" s="43"/>
      <c r="AK279" s="37"/>
      <c r="AL279" s="47"/>
      <c r="AM279" s="74">
        <f>G279/N279</f>
        <v>6657.789613848202</v>
      </c>
    </row>
    <row r="280" spans="1:39" s="60" customFormat="1" ht="47.25" hidden="1" customHeight="1">
      <c r="A280" s="196">
        <v>28141360</v>
      </c>
      <c r="B280"/>
      <c r="C280" s="318">
        <v>45114</v>
      </c>
      <c r="D280" s="20" t="s">
        <v>6218</v>
      </c>
      <c r="E280" t="s">
        <v>6219</v>
      </c>
      <c r="F280" t="s">
        <v>6220</v>
      </c>
      <c r="G280" s="93">
        <v>3500000</v>
      </c>
      <c r="H280" s="94"/>
      <c r="I280"/>
      <c r="J280" t="s">
        <v>388</v>
      </c>
      <c r="K280"/>
      <c r="L280" s="96" t="s">
        <v>6221</v>
      </c>
      <c r="M280" s="245" t="s">
        <v>6222</v>
      </c>
      <c r="N280" s="63">
        <f>22.76+0.46+13.83+14.18+23.99</f>
        <v>75.22</v>
      </c>
      <c r="O280" s="43" t="s">
        <v>36</v>
      </c>
      <c r="P280" t="s">
        <v>35</v>
      </c>
      <c r="Q280" s="436">
        <v>2</v>
      </c>
      <c r="R280" t="s">
        <v>4669</v>
      </c>
      <c r="S280">
        <f>55.4+2.2+3+10.1</f>
        <v>70.7</v>
      </c>
      <c r="T280"/>
      <c r="U280"/>
      <c r="V280"/>
      <c r="W280"/>
      <c r="X280" s="94"/>
      <c r="Y280" s="63"/>
      <c r="Z280" s="63"/>
      <c r="AA280" s="97"/>
      <c r="AB280"/>
      <c r="AC280" s="65"/>
      <c r="AD280" s="94"/>
      <c r="AE280" s="94"/>
      <c r="AF280" s="63"/>
      <c r="AG280" s="94"/>
      <c r="AH280"/>
      <c r="AI280"/>
      <c r="AJ280"/>
      <c r="AK280" t="s">
        <v>6223</v>
      </c>
      <c r="AL280"/>
      <c r="AM280" s="1">
        <f>G280/N280</f>
        <v>46530.178144110607</v>
      </c>
    </row>
    <row r="281" spans="1:39" s="60" customFormat="1" ht="47.25" hidden="1" customHeight="1">
      <c r="A281" s="196" t="s">
        <v>6224</v>
      </c>
      <c r="B281"/>
      <c r="C281" s="317">
        <v>45121</v>
      </c>
      <c r="D281"/>
      <c r="E281"/>
      <c r="F281" t="s">
        <v>6225</v>
      </c>
      <c r="G281" s="94">
        <v>600000</v>
      </c>
      <c r="H281" s="94"/>
      <c r="I281"/>
      <c r="J281"/>
      <c r="K281"/>
      <c r="L281" s="96"/>
      <c r="M281" s="96"/>
      <c r="N281" s="63">
        <v>19.11</v>
      </c>
      <c r="O281"/>
      <c r="P281"/>
      <c r="Q281" s="436"/>
      <c r="R281"/>
      <c r="S281"/>
      <c r="T281"/>
      <c r="U281"/>
      <c r="V281"/>
      <c r="W281"/>
      <c r="X281" s="94"/>
      <c r="Y281" s="63"/>
      <c r="Z281" s="63"/>
      <c r="AA281" s="97"/>
      <c r="AB281"/>
      <c r="AC281" s="65"/>
      <c r="AD281" s="94"/>
      <c r="AE281" s="94"/>
      <c r="AF281" s="63"/>
      <c r="AG281" s="94"/>
      <c r="AH281"/>
      <c r="AI281"/>
      <c r="AJ281"/>
      <c r="AK281"/>
      <c r="AL281"/>
      <c r="AM281" s="1">
        <f>G281/N281</f>
        <v>31397.174254317113</v>
      </c>
    </row>
    <row r="282" spans="1:39" s="60" customFormat="1" ht="47.25" hidden="1" customHeight="1">
      <c r="A282" s="187">
        <v>28506477</v>
      </c>
      <c r="B282" s="43"/>
      <c r="C282" s="51">
        <v>45121</v>
      </c>
      <c r="D282" s="37" t="s">
        <v>6226</v>
      </c>
      <c r="E282" s="37" t="s">
        <v>6227</v>
      </c>
      <c r="F282" s="45" t="s">
        <v>6228</v>
      </c>
      <c r="G282" s="16">
        <v>2200000</v>
      </c>
      <c r="H282" s="16"/>
      <c r="I282" s="43" t="s">
        <v>192</v>
      </c>
      <c r="J282" s="43" t="s">
        <v>5276</v>
      </c>
      <c r="K282" s="43" t="s">
        <v>6229</v>
      </c>
      <c r="L282" s="25"/>
      <c r="M282" s="26"/>
      <c r="N282" s="46">
        <v>30.520000000000003</v>
      </c>
      <c r="O282" s="43" t="s">
        <v>4996</v>
      </c>
      <c r="P282" s="47"/>
      <c r="Q282" s="267" t="s">
        <v>6230</v>
      </c>
      <c r="R282" s="47"/>
      <c r="S282" s="43" t="e">
        <v>#REF!</v>
      </c>
      <c r="T282" s="43"/>
      <c r="U282" s="43" t="e">
        <v>#REF!</v>
      </c>
      <c r="V282" s="43" t="s">
        <v>5529</v>
      </c>
      <c r="W282" s="43"/>
      <c r="X282" s="16"/>
      <c r="Y282" s="46">
        <v>0</v>
      </c>
      <c r="Z282" s="46"/>
      <c r="AA282" s="102"/>
      <c r="AB282" s="43"/>
      <c r="AC282" s="87"/>
      <c r="AD282" s="16"/>
      <c r="AE282" s="103"/>
      <c r="AF282" s="46"/>
      <c r="AG282" s="16"/>
      <c r="AH282" s="43"/>
      <c r="AI282" s="43"/>
      <c r="AJ282" s="43" t="s">
        <v>6231</v>
      </c>
      <c r="AK282" s="37"/>
      <c r="AL282" s="47"/>
      <c r="AM282" s="74">
        <f>G282/N282</f>
        <v>72083.879423328952</v>
      </c>
    </row>
    <row r="283" spans="1:39" s="60" customFormat="1" ht="47.25" hidden="1" customHeight="1">
      <c r="A283" s="187">
        <v>28506477</v>
      </c>
      <c r="B283" s="43" t="s">
        <v>4652</v>
      </c>
      <c r="C283" s="51">
        <v>45121</v>
      </c>
      <c r="D283" s="37" t="s">
        <v>6226</v>
      </c>
      <c r="E283" s="37" t="s">
        <v>6227</v>
      </c>
      <c r="F283" s="45" t="s">
        <v>6228</v>
      </c>
      <c r="G283" s="16">
        <v>2200000</v>
      </c>
      <c r="H283" s="16" t="s">
        <v>4652</v>
      </c>
      <c r="I283" s="43" t="s">
        <v>192</v>
      </c>
      <c r="J283" s="43" t="s">
        <v>5276</v>
      </c>
      <c r="K283" s="43" t="s">
        <v>6229</v>
      </c>
      <c r="L283" s="25" t="s">
        <v>4652</v>
      </c>
      <c r="M283" s="26" t="s">
        <v>4652</v>
      </c>
      <c r="N283" s="46" t="s">
        <v>6232</v>
      </c>
      <c r="O283" s="43" t="s">
        <v>36</v>
      </c>
      <c r="P283" s="47" t="s">
        <v>4652</v>
      </c>
      <c r="Q283" s="267" t="s">
        <v>6230</v>
      </c>
      <c r="R283" s="47" t="s">
        <v>4652</v>
      </c>
      <c r="S283" s="282">
        <v>29.6</v>
      </c>
      <c r="T283" s="43" t="s">
        <v>4652</v>
      </c>
      <c r="U283" s="43" t="s">
        <v>6233</v>
      </c>
      <c r="V283" s="43" t="s">
        <v>4652</v>
      </c>
      <c r="W283" s="43"/>
      <c r="X283" s="16" t="s">
        <v>4652</v>
      </c>
      <c r="Y283" s="46">
        <v>0</v>
      </c>
      <c r="Z283" s="46"/>
      <c r="AA283" s="102"/>
      <c r="AB283" s="43"/>
      <c r="AC283" s="87"/>
      <c r="AD283" s="16"/>
      <c r="AE283" s="103"/>
      <c r="AF283" s="46"/>
      <c r="AG283" s="16">
        <v>5000</v>
      </c>
      <c r="AH283" s="43">
        <v>75</v>
      </c>
      <c r="AI283" s="43"/>
      <c r="AJ283" s="43"/>
      <c r="AK283" s="37"/>
      <c r="AL283" s="47" t="s">
        <v>4996</v>
      </c>
      <c r="AM283" s="49">
        <f>Table3[[#This Row],[Prixdevente($)]]/Table3[[#This Row],[Superficie cultivée (ha)]]</f>
        <v>74324.32432432432</v>
      </c>
    </row>
    <row r="284" spans="1:39" s="60" customFormat="1" ht="47.25" hidden="1" customHeight="1">
      <c r="A284" s="187">
        <v>28164709</v>
      </c>
      <c r="B284" s="43"/>
      <c r="C284" s="51">
        <v>45124</v>
      </c>
      <c r="D284" s="37" t="s">
        <v>6234</v>
      </c>
      <c r="E284" s="37" t="s">
        <v>6235</v>
      </c>
      <c r="F284" s="45" t="s">
        <v>6236</v>
      </c>
      <c r="G284" s="16">
        <v>260000</v>
      </c>
      <c r="H284" s="16"/>
      <c r="I284" s="43"/>
      <c r="J284" s="43" t="s">
        <v>1648</v>
      </c>
      <c r="K284" s="43">
        <v>0</v>
      </c>
      <c r="L284" s="25"/>
      <c r="M284" s="26"/>
      <c r="N284" s="46">
        <v>7.21</v>
      </c>
      <c r="O284" s="43">
        <v>0</v>
      </c>
      <c r="P284" s="47"/>
      <c r="Q284" s="267" t="s">
        <v>6237</v>
      </c>
      <c r="R284" s="47"/>
      <c r="S284" s="43">
        <v>6.8</v>
      </c>
      <c r="T284" s="43"/>
      <c r="U284" s="43"/>
      <c r="V284" s="43"/>
      <c r="W284" s="43"/>
      <c r="X284" s="16"/>
      <c r="Y284" s="46">
        <v>0</v>
      </c>
      <c r="Z284" s="46"/>
      <c r="AA284" s="102"/>
      <c r="AB284" s="43"/>
      <c r="AC284" s="87"/>
      <c r="AD284" s="16"/>
      <c r="AE284" s="103"/>
      <c r="AF284" s="46"/>
      <c r="AG284" s="16"/>
      <c r="AH284" s="43"/>
      <c r="AI284" s="43"/>
      <c r="AJ284" s="43" t="s">
        <v>6238</v>
      </c>
      <c r="AK284" s="37"/>
      <c r="AL284" s="47"/>
      <c r="AM284" s="74">
        <f>G284/N284</f>
        <v>36061.026352288485</v>
      </c>
    </row>
    <row r="285" spans="1:39" s="60" customFormat="1" ht="47.25" hidden="1" customHeight="1">
      <c r="A285" s="196">
        <v>28171791</v>
      </c>
      <c r="B285"/>
      <c r="C285" s="317">
        <v>45127</v>
      </c>
      <c r="D285" t="s">
        <v>6239</v>
      </c>
      <c r="E285" s="249" t="s">
        <v>6240</v>
      </c>
      <c r="F285" s="271">
        <v>4775948</v>
      </c>
      <c r="G285" s="94">
        <v>4000000</v>
      </c>
      <c r="H285" s="94"/>
      <c r="I285" t="s">
        <v>611</v>
      </c>
      <c r="J285" t="s">
        <v>6241</v>
      </c>
      <c r="K285" t="s">
        <v>6242</v>
      </c>
      <c r="L285" s="96">
        <v>45.173572999999998</v>
      </c>
      <c r="M285" s="96">
        <v>-73.199544000000003</v>
      </c>
      <c r="N285" s="63">
        <v>75.680000000000007</v>
      </c>
      <c r="O285" t="s">
        <v>18</v>
      </c>
      <c r="P285" t="s">
        <v>35</v>
      </c>
      <c r="Q285" s="436" t="s">
        <v>5897</v>
      </c>
      <c r="R285" t="s">
        <v>155</v>
      </c>
      <c r="S285">
        <v>66.3</v>
      </c>
      <c r="T285"/>
      <c r="U285">
        <f>Table3[[#This Row],[Superficie cultivée (ha)]]</f>
        <v>66.3</v>
      </c>
      <c r="V285" s="43" t="s">
        <v>5038</v>
      </c>
      <c r="W285" s="43"/>
      <c r="X285" s="94"/>
      <c r="Y285" s="63"/>
      <c r="Z285" s="63"/>
      <c r="AA285" s="97"/>
      <c r="AB285"/>
      <c r="AC285" s="65"/>
      <c r="AD285" s="94"/>
      <c r="AE285" s="94"/>
      <c r="AF285" s="63"/>
      <c r="AG285" s="94"/>
      <c r="AH285"/>
      <c r="AI285"/>
      <c r="AJ285"/>
      <c r="AK285" t="s">
        <v>6243</v>
      </c>
      <c r="AL285"/>
      <c r="AM285" s="1">
        <f>G285/N285</f>
        <v>52854.122621564478</v>
      </c>
    </row>
    <row r="286" spans="1:39" s="60" customFormat="1" ht="47.25" customHeight="1">
      <c r="A286" s="187">
        <v>28171845</v>
      </c>
      <c r="B286" s="43"/>
      <c r="C286" s="51">
        <v>45127</v>
      </c>
      <c r="D286" s="37" t="s">
        <v>6244</v>
      </c>
      <c r="E286" s="37" t="s">
        <v>6245</v>
      </c>
      <c r="F286" s="45" t="s">
        <v>6246</v>
      </c>
      <c r="G286" s="16" t="s">
        <v>6247</v>
      </c>
      <c r="H286" s="16"/>
      <c r="I286" s="43" t="s">
        <v>4911</v>
      </c>
      <c r="J286" s="43" t="s">
        <v>5261</v>
      </c>
      <c r="K286" s="43" t="s">
        <v>5840</v>
      </c>
      <c r="L286" s="25"/>
      <c r="M286" s="26"/>
      <c r="N286" s="46"/>
      <c r="O286" s="43"/>
      <c r="P286" s="47"/>
      <c r="Q286" s="267"/>
      <c r="R286" s="47"/>
      <c r="S286" s="43"/>
      <c r="T286" s="43"/>
      <c r="U286" s="43"/>
      <c r="V286" s="43"/>
      <c r="W286" s="43"/>
      <c r="X286" s="16"/>
      <c r="Y286" s="46"/>
      <c r="Z286" s="46"/>
      <c r="AA286" s="102"/>
      <c r="AB286" s="43"/>
      <c r="AC286" s="87"/>
      <c r="AD286" s="16"/>
      <c r="AE286" s="103"/>
      <c r="AF286" s="46"/>
      <c r="AG286" s="16"/>
      <c r="AH286" s="43"/>
      <c r="AI286" s="43"/>
      <c r="AJ286" s="43" t="s">
        <v>5150</v>
      </c>
      <c r="AK286" s="37"/>
      <c r="AL286" s="47"/>
      <c r="AM286" s="74" t="e">
        <f>G286/N286</f>
        <v>#VALUE!</v>
      </c>
    </row>
    <row r="287" spans="1:39" s="60" customFormat="1" ht="47.25" customHeight="1">
      <c r="A287" s="187">
        <v>28187544</v>
      </c>
      <c r="B287" s="43"/>
      <c r="C287" s="51">
        <v>45134</v>
      </c>
      <c r="D287" s="37" t="s">
        <v>6248</v>
      </c>
      <c r="E287" s="37" t="s">
        <v>6249</v>
      </c>
      <c r="F287" s="45" t="s">
        <v>6250</v>
      </c>
      <c r="G287" s="16">
        <v>1430000</v>
      </c>
      <c r="H287" s="16"/>
      <c r="I287" s="43"/>
      <c r="J287" s="43" t="s">
        <v>5627</v>
      </c>
      <c r="K287" s="43" t="s">
        <v>6251</v>
      </c>
      <c r="L287" s="25"/>
      <c r="M287" s="26"/>
      <c r="N287" s="46"/>
      <c r="O287" s="43"/>
      <c r="P287" s="47"/>
      <c r="Q287" s="267"/>
      <c r="R287" s="47"/>
      <c r="S287" s="43"/>
      <c r="T287" s="43"/>
      <c r="U287" s="43"/>
      <c r="V287" s="43"/>
      <c r="W287" s="43"/>
      <c r="X287" s="16"/>
      <c r="Y287" s="46"/>
      <c r="Z287" s="46"/>
      <c r="AA287" s="102"/>
      <c r="AB287" s="43"/>
      <c r="AC287" s="87"/>
      <c r="AD287" s="16"/>
      <c r="AE287" s="103"/>
      <c r="AF287" s="46"/>
      <c r="AG287" s="16"/>
      <c r="AH287" s="43"/>
      <c r="AI287" s="43"/>
      <c r="AJ287" s="43" t="s">
        <v>6252</v>
      </c>
      <c r="AK287" s="37"/>
      <c r="AL287" s="47"/>
      <c r="AM287" s="74" t="e">
        <f>G287/N287</f>
        <v>#DIV/0!</v>
      </c>
    </row>
    <row r="288" spans="1:39" s="60" customFormat="1" ht="47.25" customHeight="1">
      <c r="A288" s="187">
        <v>28185434</v>
      </c>
      <c r="B288" s="43"/>
      <c r="C288" s="51">
        <v>45134</v>
      </c>
      <c r="D288" s="37" t="s">
        <v>6253</v>
      </c>
      <c r="E288" s="37" t="s">
        <v>6254</v>
      </c>
      <c r="F288" s="45">
        <v>3632576</v>
      </c>
      <c r="G288" s="16" t="s">
        <v>6255</v>
      </c>
      <c r="H288" s="16"/>
      <c r="I288" s="43" t="s">
        <v>4911</v>
      </c>
      <c r="J288" s="43" t="s">
        <v>5241</v>
      </c>
      <c r="K288" s="43" t="s">
        <v>6256</v>
      </c>
      <c r="L288" s="25"/>
      <c r="M288" s="26"/>
      <c r="N288" s="46"/>
      <c r="O288" s="43"/>
      <c r="P288" s="47"/>
      <c r="Q288" s="267"/>
      <c r="R288" s="47"/>
      <c r="S288" s="43"/>
      <c r="T288" s="43"/>
      <c r="U288" s="43"/>
      <c r="V288" s="43"/>
      <c r="W288" s="43"/>
      <c r="X288" s="16"/>
      <c r="Y288" s="46"/>
      <c r="Z288" s="46"/>
      <c r="AA288" s="102"/>
      <c r="AB288" s="43"/>
      <c r="AC288" s="87"/>
      <c r="AD288" s="16"/>
      <c r="AE288" s="103"/>
      <c r="AF288" s="46"/>
      <c r="AG288" s="16"/>
      <c r="AH288" s="43"/>
      <c r="AI288" s="43"/>
      <c r="AJ288" s="43" t="s">
        <v>5837</v>
      </c>
      <c r="AK288" s="37"/>
      <c r="AL288" s="47"/>
      <c r="AM288" s="74" t="e">
        <f>G288/N288</f>
        <v>#VALUE!</v>
      </c>
    </row>
    <row r="289" spans="1:39" s="60" customFormat="1" ht="47.25" hidden="1" customHeight="1">
      <c r="A289" s="187">
        <v>28190927</v>
      </c>
      <c r="B289" s="43"/>
      <c r="C289" s="51">
        <v>45138</v>
      </c>
      <c r="D289" s="37" t="s">
        <v>6257</v>
      </c>
      <c r="E289" s="37" t="s">
        <v>6258</v>
      </c>
      <c r="F289" s="45">
        <v>4852307</v>
      </c>
      <c r="G289" s="1">
        <v>22000</v>
      </c>
      <c r="H289" s="1"/>
      <c r="I289" s="43" t="s">
        <v>328</v>
      </c>
      <c r="J289" s="43" t="s">
        <v>962</v>
      </c>
      <c r="K289" s="43" t="s">
        <v>6259</v>
      </c>
      <c r="L289" s="4" t="s">
        <v>6260</v>
      </c>
      <c r="M289" s="7" t="s">
        <v>6261</v>
      </c>
      <c r="N289" s="46">
        <v>9.89</v>
      </c>
      <c r="O289" s="43" t="s">
        <v>18</v>
      </c>
      <c r="P289" s="47" t="s">
        <v>4702</v>
      </c>
      <c r="Q289" s="267" t="s">
        <v>4856</v>
      </c>
      <c r="R289" s="47" t="s">
        <v>4710</v>
      </c>
      <c r="S289" s="43">
        <v>8.6</v>
      </c>
      <c r="T289" s="43" t="s">
        <v>4596</v>
      </c>
      <c r="U289" s="43">
        <v>8.6</v>
      </c>
      <c r="V289" s="43" t="s">
        <v>4628</v>
      </c>
      <c r="W289" s="43"/>
      <c r="X289" s="1"/>
      <c r="Y289" s="46">
        <v>0</v>
      </c>
      <c r="Z289" s="46"/>
      <c r="AA289" s="2"/>
      <c r="AB289" s="43"/>
      <c r="AC289" s="87"/>
      <c r="AD289" s="1"/>
      <c r="AE289" s="3"/>
      <c r="AF289" s="46"/>
      <c r="AG289" s="1"/>
      <c r="AH289" s="43"/>
      <c r="AI289" s="43"/>
      <c r="AJ289" s="43"/>
      <c r="AK289" s="37"/>
      <c r="AL289" s="47" t="s">
        <v>6262</v>
      </c>
      <c r="AM289" s="49">
        <f>Terre!$G78/Terre!$N78</f>
        <v>8220.9799408089439</v>
      </c>
    </row>
    <row r="290" spans="1:39" s="60" customFormat="1" ht="47.25" hidden="1" customHeight="1">
      <c r="A290" s="196">
        <v>28208168</v>
      </c>
      <c r="B290"/>
      <c r="C290" s="317">
        <v>45149</v>
      </c>
      <c r="D290" s="266" t="s">
        <v>6263</v>
      </c>
      <c r="E290" s="266" t="s">
        <v>6264</v>
      </c>
      <c r="F290" s="266" t="s">
        <v>6265</v>
      </c>
      <c r="G290" s="94">
        <v>200000</v>
      </c>
      <c r="H290" s="94"/>
      <c r="I290" t="s">
        <v>3076</v>
      </c>
      <c r="J290" t="s">
        <v>6101</v>
      </c>
      <c r="K290"/>
      <c r="L290">
        <v>47.196810999999997</v>
      </c>
      <c r="M290" s="96">
        <v>-70.232699999999994</v>
      </c>
      <c r="N290" s="63">
        <v>31.2</v>
      </c>
      <c r="O290" t="s">
        <v>18</v>
      </c>
      <c r="P290" t="s">
        <v>35</v>
      </c>
      <c r="Q290" s="436">
        <v>4</v>
      </c>
      <c r="R290" t="s">
        <v>4801</v>
      </c>
      <c r="S290">
        <v>15.8</v>
      </c>
      <c r="T290"/>
      <c r="U290"/>
      <c r="V290"/>
      <c r="W290"/>
      <c r="X290" s="94"/>
      <c r="Y290" s="63">
        <v>10</v>
      </c>
      <c r="Z290" s="63"/>
      <c r="AA290" s="97"/>
      <c r="AB290"/>
      <c r="AC290" s="65"/>
      <c r="AD290" s="94"/>
      <c r="AE290" s="94"/>
      <c r="AF290" s="63"/>
      <c r="AG290" s="94"/>
      <c r="AH290"/>
      <c r="AI290"/>
      <c r="AJ290"/>
      <c r="AK290" t="s">
        <v>6266</v>
      </c>
      <c r="AL290"/>
      <c r="AM290" s="1">
        <f>G290/N290</f>
        <v>6410.2564102564102</v>
      </c>
    </row>
    <row r="291" spans="1:39" s="60" customFormat="1" ht="47.25" hidden="1" customHeight="1">
      <c r="A291" s="187">
        <v>28423716</v>
      </c>
      <c r="B291" s="43"/>
      <c r="C291" s="51">
        <v>45162</v>
      </c>
      <c r="D291" s="37" t="s">
        <v>6267</v>
      </c>
      <c r="E291" s="37" t="s">
        <v>6268</v>
      </c>
      <c r="F291" s="45" t="s">
        <v>6269</v>
      </c>
      <c r="G291" s="1">
        <v>5500000</v>
      </c>
      <c r="H291" s="1"/>
      <c r="I291" s="43" t="s">
        <v>1075</v>
      </c>
      <c r="J291" s="43" t="s">
        <v>45</v>
      </c>
      <c r="K291" s="43" t="s">
        <v>6270</v>
      </c>
      <c r="L291" s="4" t="s">
        <v>6271</v>
      </c>
      <c r="M291" s="7" t="s">
        <v>6272</v>
      </c>
      <c r="N291" s="46">
        <v>94.23</v>
      </c>
      <c r="O291" s="43" t="s">
        <v>18</v>
      </c>
      <c r="P291" s="47" t="s">
        <v>206</v>
      </c>
      <c r="Q291" s="267" t="s">
        <v>4856</v>
      </c>
      <c r="R291" s="47" t="s">
        <v>4669</v>
      </c>
      <c r="S291" s="43">
        <f>23.1+3.6+12.2+17.4+35.2</f>
        <v>91.5</v>
      </c>
      <c r="T291" s="43" t="s">
        <v>4596</v>
      </c>
      <c r="U291" s="43">
        <v>91.5</v>
      </c>
      <c r="V291" s="43" t="s">
        <v>4628</v>
      </c>
      <c r="W291" s="43"/>
      <c r="X291" s="1"/>
      <c r="Y291" s="46">
        <v>0</v>
      </c>
      <c r="Z291" s="46"/>
      <c r="AA291" s="2"/>
      <c r="AB291" s="43"/>
      <c r="AC291" s="87"/>
      <c r="AD291" s="1"/>
      <c r="AE291" s="3"/>
      <c r="AF291" s="46"/>
      <c r="AG291" s="1"/>
      <c r="AH291" s="43"/>
      <c r="AI291" s="43"/>
      <c r="AJ291" s="43"/>
      <c r="AK291" s="37" t="s">
        <v>1072</v>
      </c>
      <c r="AL291" s="47"/>
      <c r="AM291" s="49">
        <f>Terre!$G77/Terre!$N77</f>
        <v>24164.317358034637</v>
      </c>
    </row>
    <row r="292" spans="1:39" s="60" customFormat="1" ht="47.25" hidden="1" customHeight="1">
      <c r="A292" s="194">
        <v>28240904</v>
      </c>
      <c r="B292" s="139"/>
      <c r="C292" s="148">
        <v>45167</v>
      </c>
      <c r="D292" s="60" t="s">
        <v>6273</v>
      </c>
      <c r="E292" s="60" t="s">
        <v>6274</v>
      </c>
      <c r="F292" s="140" t="s">
        <v>6275</v>
      </c>
      <c r="G292" s="141">
        <v>385000</v>
      </c>
      <c r="H292" s="141"/>
      <c r="I292" s="139" t="s">
        <v>321</v>
      </c>
      <c r="J292" s="139" t="s">
        <v>890</v>
      </c>
      <c r="K292" s="139" t="s">
        <v>6276</v>
      </c>
      <c r="L292" s="142">
        <v>46.448245999999997</v>
      </c>
      <c r="M292" s="143">
        <v>-71.333594000000005</v>
      </c>
      <c r="N292" s="144">
        <v>66.430000000000007</v>
      </c>
      <c r="O292" s="139" t="s">
        <v>18</v>
      </c>
      <c r="P292" s="60" t="s">
        <v>384</v>
      </c>
      <c r="Q292" s="439">
        <v>4</v>
      </c>
      <c r="R292" s="60" t="s">
        <v>4801</v>
      </c>
      <c r="S292" s="139">
        <v>12.8</v>
      </c>
      <c r="T292" s="139" t="s">
        <v>4596</v>
      </c>
      <c r="U292" s="139"/>
      <c r="V292" s="139"/>
      <c r="W292" s="139"/>
      <c r="X292" s="141"/>
      <c r="Y292" s="144">
        <v>51.72</v>
      </c>
      <c r="Z292" s="144"/>
      <c r="AA292" s="145"/>
      <c r="AB292" s="139"/>
      <c r="AC292" s="146"/>
      <c r="AD292" s="141"/>
      <c r="AE292" s="158"/>
      <c r="AF292" s="144"/>
      <c r="AG292" s="141"/>
      <c r="AH292" s="139"/>
      <c r="AI292" s="139"/>
      <c r="AJ292" s="139"/>
      <c r="AK292" s="60" t="s">
        <v>6277</v>
      </c>
      <c r="AM292" s="141">
        <f>G292/N292</f>
        <v>5795.5742887249735</v>
      </c>
    </row>
    <row r="293" spans="1:39" s="60" customFormat="1" ht="47.25" hidden="1" customHeight="1">
      <c r="A293" s="187">
        <v>28492783</v>
      </c>
      <c r="B293" s="43"/>
      <c r="C293" s="51">
        <v>45168</v>
      </c>
      <c r="D293" s="37" t="s">
        <v>6278</v>
      </c>
      <c r="E293" s="37" t="s">
        <v>6279</v>
      </c>
      <c r="F293" s="45" t="s">
        <v>6280</v>
      </c>
      <c r="G293" s="1">
        <v>850000</v>
      </c>
      <c r="H293" s="1"/>
      <c r="I293" s="43" t="s">
        <v>611</v>
      </c>
      <c r="J293" s="43" t="s">
        <v>6010</v>
      </c>
      <c r="K293" s="43" t="s">
        <v>6281</v>
      </c>
      <c r="L293" s="7" t="s">
        <v>6282</v>
      </c>
      <c r="M293" s="7" t="s">
        <v>6283</v>
      </c>
      <c r="N293" s="46">
        <f>16.96+0.06</f>
        <v>17.02</v>
      </c>
      <c r="O293" s="43" t="s">
        <v>18</v>
      </c>
      <c r="P293" s="47" t="s">
        <v>206</v>
      </c>
      <c r="Q293" s="267" t="s">
        <v>4856</v>
      </c>
      <c r="R293" s="47" t="s">
        <v>4669</v>
      </c>
      <c r="S293" s="43">
        <f>9.9+6.1</f>
        <v>16</v>
      </c>
      <c r="T293" s="43" t="s">
        <v>4596</v>
      </c>
      <c r="U293" s="43">
        <f>16.96</f>
        <v>16.96</v>
      </c>
      <c r="V293" s="43" t="s">
        <v>5038</v>
      </c>
      <c r="W293" s="43"/>
      <c r="X293" s="1"/>
      <c r="Y293" s="46">
        <v>0</v>
      </c>
      <c r="Z293" s="46"/>
      <c r="AA293" s="2"/>
      <c r="AB293" s="43"/>
      <c r="AC293" s="87"/>
      <c r="AD293" s="1"/>
      <c r="AE293" s="3"/>
      <c r="AF293" s="46"/>
      <c r="AG293" s="1"/>
      <c r="AH293" s="43"/>
      <c r="AI293" s="43"/>
      <c r="AJ293" s="43"/>
      <c r="AK293" s="37" t="s">
        <v>6284</v>
      </c>
      <c r="AL293" s="47"/>
      <c r="AM293" s="49">
        <f>Terre!$G76/Terre!$N76</f>
        <v>84841.628959276015</v>
      </c>
    </row>
    <row r="294" spans="1:39" s="60" customFormat="1" ht="47.25" hidden="1" customHeight="1">
      <c r="A294" s="239" t="s">
        <v>6285</v>
      </c>
      <c r="B294"/>
      <c r="C294" s="317">
        <v>45169</v>
      </c>
      <c r="D294" s="249" t="s">
        <v>6286</v>
      </c>
      <c r="E294" s="249" t="s">
        <v>6287</v>
      </c>
      <c r="F294" t="s">
        <v>6288</v>
      </c>
      <c r="G294" s="94">
        <v>1500000</v>
      </c>
      <c r="H294" s="94"/>
      <c r="I294" t="s">
        <v>1597</v>
      </c>
      <c r="J294" t="s">
        <v>6178</v>
      </c>
      <c r="K294" s="249" t="s">
        <v>6289</v>
      </c>
      <c r="L294" s="96">
        <v>45.182887999999998</v>
      </c>
      <c r="M294" s="96">
        <v>-72.274675000000002</v>
      </c>
      <c r="N294" s="63">
        <v>69.42</v>
      </c>
      <c r="O294" t="s">
        <v>18</v>
      </c>
      <c r="P294" t="s">
        <v>19</v>
      </c>
      <c r="Q294" s="436">
        <v>5</v>
      </c>
      <c r="R294" t="s">
        <v>5056</v>
      </c>
      <c r="S294">
        <v>13.8</v>
      </c>
      <c r="T294" t="s">
        <v>6154</v>
      </c>
      <c r="U294"/>
      <c r="V294"/>
      <c r="W294"/>
      <c r="X294" s="94"/>
      <c r="Y294" s="63"/>
      <c r="Z294" s="63"/>
      <c r="AA294" s="97"/>
      <c r="AB294"/>
      <c r="AC294" s="65"/>
      <c r="AD294" s="94"/>
      <c r="AE294" s="94"/>
      <c r="AF294" s="63"/>
      <c r="AG294" s="94"/>
      <c r="AH294"/>
      <c r="AI294"/>
      <c r="AJ294"/>
      <c r="AK294" t="s">
        <v>6290</v>
      </c>
      <c r="AL294"/>
      <c r="AM294" s="1">
        <f>G294/N294</f>
        <v>21607.605877268797</v>
      </c>
    </row>
    <row r="295" spans="1:39" s="60" customFormat="1" ht="47.25" hidden="1" customHeight="1">
      <c r="A295" s="351">
        <v>28252208</v>
      </c>
      <c r="B295" s="66"/>
      <c r="C295" s="324">
        <v>45169</v>
      </c>
      <c r="D295" s="66" t="s">
        <v>6291</v>
      </c>
      <c r="E295" s="66" t="s">
        <v>6292</v>
      </c>
      <c r="F295" s="66" t="s">
        <v>6293</v>
      </c>
      <c r="G295" s="98">
        <v>50000</v>
      </c>
      <c r="H295" s="98"/>
      <c r="I295" s="66" t="s">
        <v>4767</v>
      </c>
      <c r="J295" s="66" t="s">
        <v>5946</v>
      </c>
      <c r="K295" s="66" t="s">
        <v>6294</v>
      </c>
      <c r="L295" s="100">
        <v>48.193353000000002</v>
      </c>
      <c r="M295" s="101" t="s">
        <v>6295</v>
      </c>
      <c r="N295" s="123">
        <v>42.01</v>
      </c>
      <c r="O295" s="66" t="s">
        <v>18</v>
      </c>
      <c r="P295" s="66" t="s">
        <v>206</v>
      </c>
      <c r="Q295" s="450" t="s">
        <v>5826</v>
      </c>
      <c r="R295" s="66" t="s">
        <v>5297</v>
      </c>
      <c r="S295" s="66">
        <v>8.9</v>
      </c>
      <c r="T295" s="66" t="s">
        <v>4596</v>
      </c>
      <c r="U295" s="66"/>
      <c r="V295" s="66"/>
      <c r="W295" s="66" t="s">
        <v>4774</v>
      </c>
      <c r="X295" s="98"/>
      <c r="Y295" s="123">
        <v>29.8</v>
      </c>
      <c r="Z295" s="123"/>
      <c r="AA295" s="99"/>
      <c r="AB295" s="66"/>
      <c r="AC295" s="124"/>
      <c r="AD295" s="98"/>
      <c r="AE295" s="98"/>
      <c r="AF295" s="123"/>
      <c r="AG295" s="98"/>
      <c r="AH295" s="66"/>
      <c r="AI295" s="66"/>
      <c r="AJ295" s="66"/>
      <c r="AK295" s="66" t="s">
        <v>6296</v>
      </c>
      <c r="AL295" s="66"/>
      <c r="AM295" s="465">
        <f>G295/N295</f>
        <v>1190.1928112354201</v>
      </c>
    </row>
    <row r="296" spans="1:39" s="60" customFormat="1" ht="47.25" hidden="1" customHeight="1">
      <c r="A296" s="187">
        <v>28294685</v>
      </c>
      <c r="B296" s="43"/>
      <c r="C296" s="51">
        <v>45170</v>
      </c>
      <c r="D296" s="37" t="s">
        <v>6297</v>
      </c>
      <c r="E296" s="37" t="s">
        <v>6298</v>
      </c>
      <c r="F296" s="45">
        <v>3023732</v>
      </c>
      <c r="G296" s="16">
        <v>200000</v>
      </c>
      <c r="H296" s="16"/>
      <c r="I296" s="43"/>
      <c r="J296" s="43" t="s">
        <v>5227</v>
      </c>
      <c r="K296" s="43" t="s">
        <v>6299</v>
      </c>
      <c r="L296" s="25"/>
      <c r="M296" s="26"/>
      <c r="N296" s="46">
        <v>0.41</v>
      </c>
      <c r="O296" s="43">
        <v>0</v>
      </c>
      <c r="P296" s="47"/>
      <c r="Q296" s="267" t="s">
        <v>5229</v>
      </c>
      <c r="R296" s="47"/>
      <c r="S296" s="43">
        <v>0.32800000000000001</v>
      </c>
      <c r="T296" s="43"/>
      <c r="U296" s="43"/>
      <c r="V296" s="43"/>
      <c r="W296" s="43"/>
      <c r="X296" s="16"/>
      <c r="Y296" s="46">
        <v>0</v>
      </c>
      <c r="Z296" s="46"/>
      <c r="AA296" s="102"/>
      <c r="AB296" s="43"/>
      <c r="AC296" s="87"/>
      <c r="AD296" s="16"/>
      <c r="AE296" s="103"/>
      <c r="AF296" s="46"/>
      <c r="AG296" s="16"/>
      <c r="AH296" s="43"/>
      <c r="AI296" s="43"/>
      <c r="AJ296" s="43" t="s">
        <v>6300</v>
      </c>
      <c r="AK296" s="37"/>
      <c r="AL296" s="47"/>
      <c r="AM296" s="74">
        <f>G296/N296</f>
        <v>487804.87804878049</v>
      </c>
    </row>
    <row r="297" spans="1:39" s="60" customFormat="1" ht="47.25" hidden="1" customHeight="1">
      <c r="A297" s="187">
        <v>28251842</v>
      </c>
      <c r="B297" s="43"/>
      <c r="C297" s="51">
        <v>45170</v>
      </c>
      <c r="D297" s="37" t="s">
        <v>6301</v>
      </c>
      <c r="E297" s="37" t="s">
        <v>6302</v>
      </c>
      <c r="F297" s="236" t="s">
        <v>6303</v>
      </c>
      <c r="G297" s="1">
        <v>625000</v>
      </c>
      <c r="H297" s="1"/>
      <c r="I297" s="43" t="s">
        <v>48</v>
      </c>
      <c r="J297" s="43" t="s">
        <v>6304</v>
      </c>
      <c r="K297" s="43" t="s">
        <v>6305</v>
      </c>
      <c r="L297" s="4">
        <v>45.574942999999998</v>
      </c>
      <c r="M297" s="7">
        <v>-72.382857999999999</v>
      </c>
      <c r="N297" s="46">
        <v>31.89</v>
      </c>
      <c r="O297" s="43" t="s">
        <v>36</v>
      </c>
      <c r="P297" s="47" t="s">
        <v>154</v>
      </c>
      <c r="Q297" s="267">
        <v>4</v>
      </c>
      <c r="R297" s="47" t="s">
        <v>6306</v>
      </c>
      <c r="S297" s="43">
        <v>4.4000000000000004</v>
      </c>
      <c r="T297" s="43" t="s">
        <v>4596</v>
      </c>
      <c r="U297" s="43"/>
      <c r="V297" s="43"/>
      <c r="W297" s="43"/>
      <c r="X297" s="1"/>
      <c r="Y297" s="46">
        <v>23.59</v>
      </c>
      <c r="Z297" s="46"/>
      <c r="AA297" s="2"/>
      <c r="AB297" s="43"/>
      <c r="AC297" s="87"/>
      <c r="AD297" s="1"/>
      <c r="AE297" s="3"/>
      <c r="AF297" s="46"/>
      <c r="AG297" s="1"/>
      <c r="AH297" s="43"/>
      <c r="AI297" s="43"/>
      <c r="AJ297" s="43"/>
      <c r="AK297" s="37" t="s">
        <v>6307</v>
      </c>
      <c r="AL297" s="47"/>
      <c r="AM297" s="1">
        <f>G297/N297</f>
        <v>19598.620257133898</v>
      </c>
    </row>
    <row r="298" spans="1:39" s="60" customFormat="1" ht="47.25" hidden="1" customHeight="1">
      <c r="A298" s="194">
        <v>28254939</v>
      </c>
      <c r="B298" s="139"/>
      <c r="C298" s="148">
        <v>45174</v>
      </c>
      <c r="D298" s="60" t="s">
        <v>6308</v>
      </c>
      <c r="E298" s="60" t="s">
        <v>6309</v>
      </c>
      <c r="F298" s="140" t="s">
        <v>6310</v>
      </c>
      <c r="G298" s="141">
        <v>50000</v>
      </c>
      <c r="H298" s="141"/>
      <c r="I298" s="139" t="s">
        <v>321</v>
      </c>
      <c r="J298" s="139" t="s">
        <v>6311</v>
      </c>
      <c r="K298" s="139" t="s">
        <v>6312</v>
      </c>
      <c r="L298" s="142">
        <v>46.358030999999997</v>
      </c>
      <c r="M298" s="143">
        <v>-71.236403999999993</v>
      </c>
      <c r="N298" s="144">
        <v>12.14</v>
      </c>
      <c r="O298" s="139" t="s">
        <v>36</v>
      </c>
      <c r="P298" s="60" t="s">
        <v>154</v>
      </c>
      <c r="Q298" s="439">
        <v>3</v>
      </c>
      <c r="R298" s="60" t="s">
        <v>5073</v>
      </c>
      <c r="S298" s="139">
        <v>2.5</v>
      </c>
      <c r="T298" s="139" t="s">
        <v>4596</v>
      </c>
      <c r="U298" s="139"/>
      <c r="V298" s="139"/>
      <c r="W298" s="139"/>
      <c r="X298" s="141"/>
      <c r="Y298" s="144">
        <v>9.64</v>
      </c>
      <c r="Z298" s="144"/>
      <c r="AA298" s="145"/>
      <c r="AB298" s="139"/>
      <c r="AC298" s="146"/>
      <c r="AD298" s="141"/>
      <c r="AE298" s="158"/>
      <c r="AF298" s="144"/>
      <c r="AG298" s="141"/>
      <c r="AH298" s="139"/>
      <c r="AI298" s="139"/>
      <c r="AJ298" s="139"/>
      <c r="AM298" s="141">
        <f>G298/N298</f>
        <v>4118.6161449752881</v>
      </c>
    </row>
    <row r="299" spans="1:39" s="60" customFormat="1" ht="47.25" hidden="1" customHeight="1">
      <c r="A299" s="187">
        <v>28350729</v>
      </c>
      <c r="B299" s="43"/>
      <c r="C299" s="51">
        <v>45174</v>
      </c>
      <c r="D299" s="37" t="s">
        <v>6313</v>
      </c>
      <c r="E299" s="37" t="s">
        <v>2551</v>
      </c>
      <c r="F299" s="43">
        <v>5728313</v>
      </c>
      <c r="G299" s="1">
        <v>50000</v>
      </c>
      <c r="H299" s="1"/>
      <c r="I299" s="43" t="s">
        <v>679</v>
      </c>
      <c r="J299" s="43" t="s">
        <v>812</v>
      </c>
      <c r="K299" s="43" t="s">
        <v>6314</v>
      </c>
      <c r="L299" s="1" t="s">
        <v>6315</v>
      </c>
      <c r="M299" s="1" t="s">
        <v>6316</v>
      </c>
      <c r="N299" s="46">
        <v>16.13</v>
      </c>
      <c r="O299" s="43" t="s">
        <v>66</v>
      </c>
      <c r="P299" s="47" t="s">
        <v>154</v>
      </c>
      <c r="Q299" s="442">
        <v>4</v>
      </c>
      <c r="R299" s="47" t="s">
        <v>4801</v>
      </c>
      <c r="S299" s="43">
        <f>1+0.4+1.4+1.2+1.9+0.7+0.5</f>
        <v>7.1000000000000005</v>
      </c>
      <c r="T299" s="43" t="s">
        <v>4836</v>
      </c>
      <c r="U299" s="43"/>
      <c r="V299" s="43"/>
      <c r="W299" s="43"/>
      <c r="X299" s="1"/>
      <c r="Y299" s="46">
        <v>7.8</v>
      </c>
      <c r="Z299" s="46"/>
      <c r="AA299" s="2"/>
      <c r="AB299" s="43"/>
      <c r="AC299" s="87"/>
      <c r="AD299" s="1"/>
      <c r="AE299" s="3"/>
      <c r="AF299" s="46"/>
      <c r="AG299" s="1"/>
      <c r="AH299" s="43"/>
      <c r="AI299" s="43"/>
      <c r="AJ299" s="43"/>
      <c r="AK299" s="37"/>
      <c r="AL299" s="47"/>
      <c r="AM299" s="49">
        <f>Terre!$G75/Terre!$N75</f>
        <v>122591.94395796848</v>
      </c>
    </row>
    <row r="300" spans="1:39" s="60" customFormat="1" ht="47.25" hidden="1" customHeight="1">
      <c r="A300" s="196" t="s">
        <v>6317</v>
      </c>
      <c r="B300"/>
      <c r="C300" s="317">
        <v>45177</v>
      </c>
      <c r="D300" t="s">
        <v>6318</v>
      </c>
      <c r="E300" t="s">
        <v>6319</v>
      </c>
      <c r="F300" s="20" t="s">
        <v>6320</v>
      </c>
      <c r="G300" s="94">
        <v>604650</v>
      </c>
      <c r="H300" s="94"/>
      <c r="I300" t="s">
        <v>6023</v>
      </c>
      <c r="J300" s="20" t="s">
        <v>6321</v>
      </c>
      <c r="K300" s="20" t="s">
        <v>6322</v>
      </c>
      <c r="L300" s="96">
        <v>45.184213999999997</v>
      </c>
      <c r="M300" s="245" t="s">
        <v>6323</v>
      </c>
      <c r="N300" s="63">
        <v>17.3</v>
      </c>
      <c r="O300" t="s">
        <v>36</v>
      </c>
      <c r="P300" t="s">
        <v>35</v>
      </c>
      <c r="Q300" s="436">
        <v>2</v>
      </c>
      <c r="R300" t="s">
        <v>4669</v>
      </c>
      <c r="S300">
        <v>14.7</v>
      </c>
      <c r="T300"/>
      <c r="U300"/>
      <c r="V300"/>
      <c r="W300"/>
      <c r="X300" s="94"/>
      <c r="Y300" s="63">
        <v>1</v>
      </c>
      <c r="Z300" s="63"/>
      <c r="AA300" s="97"/>
      <c r="AB300"/>
      <c r="AC300" s="65"/>
      <c r="AD300" s="94"/>
      <c r="AE300" s="94"/>
      <c r="AF300" s="63"/>
      <c r="AG300" s="94"/>
      <c r="AH300"/>
      <c r="AI300"/>
      <c r="AJ300"/>
      <c r="AK300"/>
      <c r="AL300"/>
      <c r="AM300" s="1">
        <f>G300/N300</f>
        <v>34950.867052023117</v>
      </c>
    </row>
    <row r="301" spans="1:39" s="60" customFormat="1" ht="47.25" hidden="1" customHeight="1">
      <c r="A301" s="187">
        <v>28756172</v>
      </c>
      <c r="B301" s="43"/>
      <c r="C301" s="51">
        <v>45177</v>
      </c>
      <c r="D301" s="37" t="s">
        <v>6324</v>
      </c>
      <c r="E301" s="37" t="s">
        <v>6325</v>
      </c>
      <c r="F301" s="45" t="s">
        <v>6326</v>
      </c>
      <c r="G301" s="1">
        <v>400000</v>
      </c>
      <c r="H301" s="1"/>
      <c r="I301" s="43" t="s">
        <v>201</v>
      </c>
      <c r="J301" s="43" t="s">
        <v>202</v>
      </c>
      <c r="K301" s="43" t="s">
        <v>6327</v>
      </c>
      <c r="L301" s="4" t="s">
        <v>6328</v>
      </c>
      <c r="M301" s="7" t="s">
        <v>6329</v>
      </c>
      <c r="N301" s="46">
        <f>20.91+6.7</f>
        <v>27.61</v>
      </c>
      <c r="O301" s="43" t="s">
        <v>18</v>
      </c>
      <c r="P301" s="47" t="s">
        <v>206</v>
      </c>
      <c r="Q301" s="267">
        <v>3</v>
      </c>
      <c r="R301" s="47" t="s">
        <v>4865</v>
      </c>
      <c r="S301" s="43">
        <f>18.9</f>
        <v>18.899999999999999</v>
      </c>
      <c r="T301" s="43" t="s">
        <v>4781</v>
      </c>
      <c r="U301" s="43"/>
      <c r="V301" s="43"/>
      <c r="W301" s="43"/>
      <c r="X301" s="1"/>
      <c r="Y301" s="46">
        <v>7.8</v>
      </c>
      <c r="Z301" s="46"/>
      <c r="AA301" s="2"/>
      <c r="AB301" s="43"/>
      <c r="AC301" s="87"/>
      <c r="AD301" s="1"/>
      <c r="AE301" s="94"/>
      <c r="AF301" s="268"/>
      <c r="AG301" s="46"/>
      <c r="AH301" s="1"/>
      <c r="AI301" s="43"/>
      <c r="AJ301" s="43"/>
      <c r="AK301" s="43" t="s">
        <v>6330</v>
      </c>
      <c r="AL301" s="37" t="s">
        <v>6331</v>
      </c>
      <c r="AM301" s="1">
        <f>G301/N301</f>
        <v>14487.504527345165</v>
      </c>
    </row>
    <row r="302" spans="1:39" s="60" customFormat="1" ht="47.25" hidden="1" customHeight="1">
      <c r="A302" s="196">
        <v>28271551</v>
      </c>
      <c r="B302"/>
      <c r="C302" s="317">
        <v>45182</v>
      </c>
      <c r="D302" s="247" t="s">
        <v>6332</v>
      </c>
      <c r="E302" s="247" t="s">
        <v>6333</v>
      </c>
      <c r="F302" s="247" t="s">
        <v>6334</v>
      </c>
      <c r="G302" s="94">
        <v>1596010</v>
      </c>
      <c r="H302" s="94"/>
      <c r="I302" t="s">
        <v>3076</v>
      </c>
      <c r="J302" t="s">
        <v>6335</v>
      </c>
      <c r="K302"/>
      <c r="L302" s="96">
        <v>47.297479000000003</v>
      </c>
      <c r="M302" s="96">
        <v>-70.146882000000005</v>
      </c>
      <c r="N302" s="63">
        <v>53.9</v>
      </c>
      <c r="O302" t="s">
        <v>18</v>
      </c>
      <c r="P302" t="s">
        <v>35</v>
      </c>
      <c r="Q302" s="436">
        <v>3</v>
      </c>
      <c r="R302" t="s">
        <v>4669</v>
      </c>
      <c r="S302">
        <v>53.2</v>
      </c>
      <c r="T302"/>
      <c r="U302"/>
      <c r="V302"/>
      <c r="W302"/>
      <c r="X302" s="94"/>
      <c r="Y302" s="63"/>
      <c r="Z302" s="63"/>
      <c r="AA302" s="97"/>
      <c r="AB302"/>
      <c r="AC302" s="65"/>
      <c r="AD302" s="94"/>
      <c r="AE302" s="94"/>
      <c r="AF302" s="63"/>
      <c r="AG302" s="94"/>
      <c r="AH302"/>
      <c r="AI302"/>
      <c r="AJ302"/>
      <c r="AK302" t="s">
        <v>6336</v>
      </c>
      <c r="AL302"/>
      <c r="AM302" s="1">
        <f>G302/N302</f>
        <v>29610.575139146567</v>
      </c>
    </row>
    <row r="303" spans="1:39" s="60" customFormat="1" ht="47.25" hidden="1" customHeight="1">
      <c r="A303" s="187">
        <v>28453356</v>
      </c>
      <c r="B303" s="43"/>
      <c r="C303" s="51">
        <v>45182</v>
      </c>
      <c r="D303" s="37" t="s">
        <v>6337</v>
      </c>
      <c r="E303" s="37" t="s">
        <v>6338</v>
      </c>
      <c r="F303" s="45" t="s">
        <v>6339</v>
      </c>
      <c r="G303" s="1">
        <v>270000</v>
      </c>
      <c r="H303" s="1"/>
      <c r="I303" s="43" t="s">
        <v>258</v>
      </c>
      <c r="J303" s="43" t="s">
        <v>1315</v>
      </c>
      <c r="K303" s="43" t="s">
        <v>6340</v>
      </c>
      <c r="L303" s="4" t="s">
        <v>6341</v>
      </c>
      <c r="M303" s="7" t="s">
        <v>6342</v>
      </c>
      <c r="N303" s="46">
        <v>66.23</v>
      </c>
      <c r="O303" s="43" t="s">
        <v>18</v>
      </c>
      <c r="P303" s="47" t="s">
        <v>206</v>
      </c>
      <c r="Q303" s="267">
        <v>4</v>
      </c>
      <c r="R303" s="47" t="s">
        <v>4604</v>
      </c>
      <c r="S303" s="43">
        <v>14.39</v>
      </c>
      <c r="T303" s="43" t="s">
        <v>4596</v>
      </c>
      <c r="U303" s="43">
        <v>0</v>
      </c>
      <c r="V303" s="43"/>
      <c r="W303" s="43"/>
      <c r="X303" s="1"/>
      <c r="Y303" s="46">
        <v>21.47</v>
      </c>
      <c r="Z303" s="46"/>
      <c r="AA303" s="2"/>
      <c r="AB303" s="43"/>
      <c r="AC303" s="87"/>
      <c r="AD303" s="1"/>
      <c r="AE303" s="3"/>
      <c r="AF303" s="46"/>
      <c r="AG303" s="1"/>
      <c r="AH303" s="43"/>
      <c r="AI303" s="43"/>
      <c r="AJ303" s="43"/>
      <c r="AK303" s="37" t="s">
        <v>6343</v>
      </c>
      <c r="AL303" s="47"/>
      <c r="AM303" s="49">
        <f>Terre!$G74/Terre!$N74</f>
        <v>21440.823327615781</v>
      </c>
    </row>
    <row r="304" spans="1:39" s="60" customFormat="1" ht="47.25" hidden="1" customHeight="1">
      <c r="A304" s="187">
        <v>28286027</v>
      </c>
      <c r="B304" s="43"/>
      <c r="C304" s="51">
        <v>45189</v>
      </c>
      <c r="D304" s="37" t="s">
        <v>6344</v>
      </c>
      <c r="E304" s="37" t="s">
        <v>6345</v>
      </c>
      <c r="F304" s="45" t="s">
        <v>6346</v>
      </c>
      <c r="G304" s="1">
        <v>793540</v>
      </c>
      <c r="H304" s="1"/>
      <c r="I304" s="43" t="s">
        <v>654</v>
      </c>
      <c r="J304" s="43" t="s">
        <v>1448</v>
      </c>
      <c r="K304" s="43" t="s">
        <v>6347</v>
      </c>
      <c r="L304" s="4">
        <v>46.749899999999997</v>
      </c>
      <c r="M304" s="4">
        <v>-71.836926000000005</v>
      </c>
      <c r="N304" s="46">
        <v>35.64</v>
      </c>
      <c r="O304" s="43" t="s">
        <v>5051</v>
      </c>
      <c r="P304" s="47" t="s">
        <v>4739</v>
      </c>
      <c r="Q304" s="442">
        <v>2</v>
      </c>
      <c r="R304" s="47" t="s">
        <v>4865</v>
      </c>
      <c r="S304" s="43">
        <v>25</v>
      </c>
      <c r="T304" s="43" t="s">
        <v>4596</v>
      </c>
      <c r="U304" s="43">
        <v>0</v>
      </c>
      <c r="V304" s="43" t="s">
        <v>5038</v>
      </c>
      <c r="W304" s="43"/>
      <c r="X304" s="1" t="s">
        <v>6348</v>
      </c>
      <c r="Y304" s="46">
        <v>9.9</v>
      </c>
      <c r="Z304" s="46"/>
      <c r="AA304" s="2"/>
      <c r="AB304" s="43"/>
      <c r="AC304" s="87"/>
      <c r="AD304" s="1"/>
      <c r="AE304" s="3"/>
      <c r="AF304" s="46"/>
      <c r="AG304" s="1"/>
      <c r="AH304" s="43"/>
      <c r="AI304" s="43"/>
      <c r="AJ304" s="43"/>
      <c r="AK304" s="37"/>
      <c r="AL304" s="47"/>
      <c r="AM304" s="49">
        <f>Terre!$G73/Terre!$N73</f>
        <v>16089.108910891089</v>
      </c>
    </row>
    <row r="305" spans="1:39" s="60" customFormat="1" ht="47.25" hidden="1" customHeight="1">
      <c r="A305" s="194">
        <v>28289305</v>
      </c>
      <c r="B305" s="139"/>
      <c r="C305" s="148">
        <v>45190</v>
      </c>
      <c r="D305" s="60" t="s">
        <v>6308</v>
      </c>
      <c r="E305" s="60" t="s">
        <v>6349</v>
      </c>
      <c r="F305" s="140" t="s">
        <v>6350</v>
      </c>
      <c r="G305" s="141">
        <v>270000</v>
      </c>
      <c r="H305" s="141"/>
      <c r="I305" s="139" t="s">
        <v>321</v>
      </c>
      <c r="J305" s="139" t="s">
        <v>6311</v>
      </c>
      <c r="K305" s="139" t="s">
        <v>6312</v>
      </c>
      <c r="L305" s="142">
        <v>46.356614999999998</v>
      </c>
      <c r="M305" s="143">
        <v>-71.235228000000006</v>
      </c>
      <c r="N305" s="144">
        <v>32.630000000000003</v>
      </c>
      <c r="O305" s="139" t="s">
        <v>36</v>
      </c>
      <c r="P305" s="60" t="s">
        <v>154</v>
      </c>
      <c r="Q305" s="439">
        <v>3</v>
      </c>
      <c r="R305" s="60" t="s">
        <v>5073</v>
      </c>
      <c r="S305" s="139">
        <v>22.9</v>
      </c>
      <c r="T305" s="139" t="s">
        <v>4596</v>
      </c>
      <c r="U305" s="139"/>
      <c r="V305" s="139"/>
      <c r="W305" s="139"/>
      <c r="X305" s="141"/>
      <c r="Y305" s="144">
        <v>8.73</v>
      </c>
      <c r="Z305" s="144"/>
      <c r="AA305" s="145"/>
      <c r="AB305" s="139"/>
      <c r="AC305" s="146"/>
      <c r="AD305" s="141"/>
      <c r="AE305" s="158"/>
      <c r="AF305" s="144">
        <v>3</v>
      </c>
      <c r="AG305" s="141"/>
      <c r="AH305" s="139"/>
      <c r="AI305" s="139"/>
      <c r="AJ305" s="139"/>
      <c r="AK305" s="60" t="s">
        <v>6351</v>
      </c>
      <c r="AM305" s="141">
        <f>G305/N305</f>
        <v>8274.5939319644494</v>
      </c>
    </row>
    <row r="306" spans="1:39" s="60" customFormat="1" ht="47.25" customHeight="1">
      <c r="A306" s="196" t="s">
        <v>6352</v>
      </c>
      <c r="B306"/>
      <c r="C306" s="19">
        <v>45197</v>
      </c>
      <c r="D306"/>
      <c r="E306"/>
      <c r="F306" t="s">
        <v>6353</v>
      </c>
      <c r="G306" s="94">
        <v>1200000</v>
      </c>
      <c r="H306" s="94"/>
      <c r="I306" t="s">
        <v>1363</v>
      </c>
      <c r="J306"/>
      <c r="K306"/>
      <c r="L306" s="96"/>
      <c r="M306" s="96"/>
      <c r="N306" s="63"/>
      <c r="O306"/>
      <c r="P306"/>
      <c r="Q306" s="436"/>
      <c r="R306"/>
      <c r="S306"/>
      <c r="T306"/>
      <c r="U306"/>
      <c r="V306"/>
      <c r="W306"/>
      <c r="X306" s="94"/>
      <c r="Y306" s="63"/>
      <c r="Z306" s="63"/>
      <c r="AA306" s="97"/>
      <c r="AB306"/>
      <c r="AC306" s="65"/>
      <c r="AD306" s="94"/>
      <c r="AE306" s="94"/>
      <c r="AF306" s="63"/>
      <c r="AG306" s="94"/>
      <c r="AH306"/>
      <c r="AI306"/>
      <c r="AJ306"/>
      <c r="AK306"/>
      <c r="AL306"/>
      <c r="AM306" s="1" t="e">
        <f>G306/N306</f>
        <v>#DIV/0!</v>
      </c>
    </row>
    <row r="307" spans="1:39" s="60" customFormat="1" ht="47.25" hidden="1" customHeight="1">
      <c r="A307" s="187">
        <v>29011239</v>
      </c>
      <c r="B307" s="43"/>
      <c r="C307" s="51">
        <v>45201</v>
      </c>
      <c r="D307" s="37" t="s">
        <v>6354</v>
      </c>
      <c r="E307" s="37" t="s">
        <v>6355</v>
      </c>
      <c r="F307" s="45" t="s">
        <v>6356</v>
      </c>
      <c r="G307" s="16">
        <v>1480000</v>
      </c>
      <c r="H307" s="16"/>
      <c r="I307" s="43" t="s">
        <v>4911</v>
      </c>
      <c r="J307" s="43" t="s">
        <v>5261</v>
      </c>
      <c r="K307" s="43" t="s">
        <v>6357</v>
      </c>
      <c r="L307" s="25"/>
      <c r="M307" s="26"/>
      <c r="N307" s="46">
        <v>25.22</v>
      </c>
      <c r="O307" s="43" t="s">
        <v>6358</v>
      </c>
      <c r="P307" s="47"/>
      <c r="Q307" s="267" t="s">
        <v>5085</v>
      </c>
      <c r="R307" s="47"/>
      <c r="S307" s="43">
        <v>23.4</v>
      </c>
      <c r="T307" s="43"/>
      <c r="U307" s="43">
        <v>2.5</v>
      </c>
      <c r="V307" s="43" t="s">
        <v>5288</v>
      </c>
      <c r="W307" s="43"/>
      <c r="X307" s="16"/>
      <c r="Y307" s="46">
        <v>0</v>
      </c>
      <c r="Z307" s="46"/>
      <c r="AA307" s="102"/>
      <c r="AB307" s="43"/>
      <c r="AC307" s="87"/>
      <c r="AD307" s="16"/>
      <c r="AE307" s="103"/>
      <c r="AF307" s="46"/>
      <c r="AG307" s="16"/>
      <c r="AH307" s="43"/>
      <c r="AI307" s="43"/>
      <c r="AJ307" s="43" t="s">
        <v>5150</v>
      </c>
      <c r="AK307" s="37">
        <v>0</v>
      </c>
      <c r="AL307" s="47"/>
      <c r="AM307" s="74">
        <f>G307/N307</f>
        <v>58683.584456780336</v>
      </c>
    </row>
    <row r="308" spans="1:39" s="60" customFormat="1" ht="47.25" customHeight="1">
      <c r="A308" s="196" t="s">
        <v>6359</v>
      </c>
      <c r="B308"/>
      <c r="C308" s="19">
        <v>45201</v>
      </c>
      <c r="D308"/>
      <c r="E308"/>
      <c r="F308" t="s">
        <v>6360</v>
      </c>
      <c r="G308" s="94">
        <v>2100000</v>
      </c>
      <c r="H308" s="94"/>
      <c r="I308" t="s">
        <v>1363</v>
      </c>
      <c r="J308"/>
      <c r="K308"/>
      <c r="L308" s="96"/>
      <c r="M308" s="96"/>
      <c r="N308" s="63"/>
      <c r="O308"/>
      <c r="P308"/>
      <c r="Q308" s="436"/>
      <c r="R308"/>
      <c r="S308"/>
      <c r="T308"/>
      <c r="U308"/>
      <c r="V308"/>
      <c r="W308"/>
      <c r="X308" s="94"/>
      <c r="Y308" s="63"/>
      <c r="Z308" s="63"/>
      <c r="AA308" s="97"/>
      <c r="AB308"/>
      <c r="AC308" s="65"/>
      <c r="AD308" s="94"/>
      <c r="AE308" s="94"/>
      <c r="AF308" s="63"/>
      <c r="AG308" s="94"/>
      <c r="AH308"/>
      <c r="AI308"/>
      <c r="AJ308"/>
      <c r="AK308"/>
      <c r="AL308"/>
      <c r="AM308" s="1" t="e">
        <f>G308/N308</f>
        <v>#DIV/0!</v>
      </c>
    </row>
    <row r="309" spans="1:39" s="60" customFormat="1" ht="47.25" hidden="1" customHeight="1">
      <c r="A309" s="187">
        <v>28311489</v>
      </c>
      <c r="B309" s="43"/>
      <c r="C309" s="51">
        <v>45202</v>
      </c>
      <c r="D309" s="37" t="s">
        <v>6344</v>
      </c>
      <c r="E309" s="37" t="s">
        <v>6361</v>
      </c>
      <c r="F309" s="45" t="s">
        <v>6362</v>
      </c>
      <c r="G309" s="1">
        <v>253000</v>
      </c>
      <c r="H309" s="1"/>
      <c r="I309" s="43" t="s">
        <v>6363</v>
      </c>
      <c r="J309" s="43" t="s">
        <v>1448</v>
      </c>
      <c r="K309" s="43" t="s">
        <v>6364</v>
      </c>
      <c r="L309" s="4">
        <v>46.734631</v>
      </c>
      <c r="M309" s="4">
        <v>-71.854562999999999</v>
      </c>
      <c r="N309" s="46">
        <v>9.27</v>
      </c>
      <c r="O309" s="43" t="s">
        <v>36</v>
      </c>
      <c r="P309" s="47" t="s">
        <v>206</v>
      </c>
      <c r="Q309" s="442">
        <v>2</v>
      </c>
      <c r="R309" s="47" t="s">
        <v>4865</v>
      </c>
      <c r="S309" s="43">
        <v>9.1999999999999993</v>
      </c>
      <c r="T309" s="43" t="s">
        <v>4596</v>
      </c>
      <c r="U309" s="43">
        <v>0</v>
      </c>
      <c r="V309" s="43" t="s">
        <v>5038</v>
      </c>
      <c r="W309" s="43"/>
      <c r="X309" s="1" t="s">
        <v>6365</v>
      </c>
      <c r="Y309" s="46">
        <v>0</v>
      </c>
      <c r="Z309" s="46"/>
      <c r="AA309" s="2"/>
      <c r="AB309" s="43"/>
      <c r="AC309" s="87"/>
      <c r="AD309" s="1"/>
      <c r="AE309" s="3"/>
      <c r="AF309" s="46"/>
      <c r="AG309" s="1"/>
      <c r="AH309" s="43"/>
      <c r="AI309" s="43"/>
      <c r="AJ309" s="43"/>
      <c r="AK309" s="37" t="s">
        <v>6366</v>
      </c>
      <c r="AL309" s="47"/>
      <c r="AM309" s="49">
        <f>Terre!$G72/Terre!$N72</f>
        <v>33997.594016423456</v>
      </c>
    </row>
    <row r="310" spans="1:39" s="60" customFormat="1" ht="47.25" hidden="1" customHeight="1">
      <c r="A310" s="187">
        <v>28330986</v>
      </c>
      <c r="B310" s="43"/>
      <c r="C310" s="51">
        <v>45212</v>
      </c>
      <c r="D310" s="37" t="s">
        <v>6367</v>
      </c>
      <c r="E310" s="37" t="s">
        <v>6368</v>
      </c>
      <c r="F310" s="45" t="s">
        <v>6369</v>
      </c>
      <c r="G310" s="1">
        <v>576000</v>
      </c>
      <c r="H310" s="1"/>
      <c r="I310" s="43" t="s">
        <v>602</v>
      </c>
      <c r="J310" s="43" t="s">
        <v>602</v>
      </c>
      <c r="K310" s="43" t="s">
        <v>6370</v>
      </c>
      <c r="L310" s="4" t="s">
        <v>6371</v>
      </c>
      <c r="M310" s="7" t="s">
        <v>6372</v>
      </c>
      <c r="N310" s="46">
        <v>23.49</v>
      </c>
      <c r="O310" s="43" t="s">
        <v>18</v>
      </c>
      <c r="P310" s="47" t="s">
        <v>206</v>
      </c>
      <c r="Q310" s="267" t="s">
        <v>4703</v>
      </c>
      <c r="R310" s="47" t="s">
        <v>4669</v>
      </c>
      <c r="S310" s="43">
        <v>19.7</v>
      </c>
      <c r="T310" s="43" t="s">
        <v>4596</v>
      </c>
      <c r="U310" s="43">
        <v>0</v>
      </c>
      <c r="V310" s="43" t="s">
        <v>4628</v>
      </c>
      <c r="W310" s="43"/>
      <c r="X310" s="1"/>
      <c r="Y310" s="46">
        <v>3.1</v>
      </c>
      <c r="Z310" s="46"/>
      <c r="AA310" s="2"/>
      <c r="AB310" s="43"/>
      <c r="AC310" s="87"/>
      <c r="AD310" s="1"/>
      <c r="AE310" s="3"/>
      <c r="AF310" s="46"/>
      <c r="AG310" s="1"/>
      <c r="AH310" s="43"/>
      <c r="AI310" s="43"/>
      <c r="AJ310" s="43"/>
      <c r="AK310" s="37"/>
      <c r="AL310" s="47"/>
      <c r="AM310" s="49">
        <f>Terre!$G71/Terre!$N71</f>
        <v>19286.403085824495</v>
      </c>
    </row>
    <row r="311" spans="1:39" s="60" customFormat="1" ht="47.25" hidden="1" customHeight="1">
      <c r="A311" s="187">
        <v>28372769</v>
      </c>
      <c r="B311" s="43"/>
      <c r="C311" s="51">
        <v>45215</v>
      </c>
      <c r="D311" s="37" t="s">
        <v>6373</v>
      </c>
      <c r="E311" s="37" t="s">
        <v>6374</v>
      </c>
      <c r="F311" s="45">
        <v>5310252</v>
      </c>
      <c r="G311" s="1">
        <v>860000</v>
      </c>
      <c r="H311" s="1"/>
      <c r="I311" s="43" t="s">
        <v>1075</v>
      </c>
      <c r="J311" s="43" t="s">
        <v>45</v>
      </c>
      <c r="K311" s="43" t="s">
        <v>6270</v>
      </c>
      <c r="L311" s="4" t="s">
        <v>6375</v>
      </c>
      <c r="M311" s="7" t="s">
        <v>6376</v>
      </c>
      <c r="N311" s="46">
        <v>15.2</v>
      </c>
      <c r="O311" s="43" t="s">
        <v>18</v>
      </c>
      <c r="P311" s="47" t="s">
        <v>35</v>
      </c>
      <c r="Q311" s="267" t="s">
        <v>4856</v>
      </c>
      <c r="R311" s="47" t="s">
        <v>4669</v>
      </c>
      <c r="S311" s="43">
        <f>2.2+12.5</f>
        <v>14.7</v>
      </c>
      <c r="T311" s="43" t="s">
        <v>4596</v>
      </c>
      <c r="U311" s="43">
        <v>14.7</v>
      </c>
      <c r="V311" s="43" t="s">
        <v>4628</v>
      </c>
      <c r="W311" s="43"/>
      <c r="X311" s="1"/>
      <c r="Y311" s="46">
        <v>0</v>
      </c>
      <c r="Z311" s="46"/>
      <c r="AA311" s="2"/>
      <c r="AB311" s="43"/>
      <c r="AC311" s="87"/>
      <c r="AD311" s="1"/>
      <c r="AE311" s="3"/>
      <c r="AF311" s="46"/>
      <c r="AG311" s="1"/>
      <c r="AH311" s="43"/>
      <c r="AI311" s="43"/>
      <c r="AJ311" s="43"/>
      <c r="AK311" s="37" t="s">
        <v>6377</v>
      </c>
      <c r="AL311" s="47"/>
      <c r="AM311" s="49">
        <f>Terre!$G70/Terre!$N70</f>
        <v>23255.813953488374</v>
      </c>
    </row>
    <row r="312" spans="1:39" s="60" customFormat="1" ht="47.25" hidden="1" customHeight="1">
      <c r="A312" s="187">
        <v>28423083</v>
      </c>
      <c r="B312" s="43"/>
      <c r="C312" s="51">
        <v>45216</v>
      </c>
      <c r="D312" s="37" t="s">
        <v>6378</v>
      </c>
      <c r="E312" s="37" t="s">
        <v>6379</v>
      </c>
      <c r="F312" s="45" t="s">
        <v>6380</v>
      </c>
      <c r="G312" s="1">
        <v>870000</v>
      </c>
      <c r="H312" s="1"/>
      <c r="I312" s="43" t="s">
        <v>1075</v>
      </c>
      <c r="J312" s="43" t="s">
        <v>45</v>
      </c>
      <c r="K312" s="43" t="s">
        <v>6270</v>
      </c>
      <c r="L312" s="4" t="s">
        <v>6381</v>
      </c>
      <c r="M312" s="7" t="s">
        <v>6382</v>
      </c>
      <c r="N312" s="46">
        <v>34.159999999999997</v>
      </c>
      <c r="O312" s="43" t="s">
        <v>18</v>
      </c>
      <c r="P312" s="47" t="s">
        <v>35</v>
      </c>
      <c r="Q312" s="267" t="s">
        <v>4856</v>
      </c>
      <c r="R312" s="47" t="s">
        <v>4669</v>
      </c>
      <c r="S312" s="43">
        <v>28.7</v>
      </c>
      <c r="T312" s="43" t="s">
        <v>4828</v>
      </c>
      <c r="U312" s="43">
        <v>28.7</v>
      </c>
      <c r="V312" s="43" t="s">
        <v>4628</v>
      </c>
      <c r="W312" s="43"/>
      <c r="X312" s="1"/>
      <c r="Y312" s="46">
        <v>3.9</v>
      </c>
      <c r="Z312" s="46"/>
      <c r="AA312" s="2"/>
      <c r="AB312" s="43"/>
      <c r="AC312" s="87"/>
      <c r="AD312" s="1"/>
      <c r="AE312" s="3"/>
      <c r="AF312" s="46"/>
      <c r="AG312" s="1"/>
      <c r="AH312" s="43"/>
      <c r="AI312" s="43"/>
      <c r="AJ312" s="43"/>
      <c r="AK312" s="37" t="s">
        <v>6383</v>
      </c>
      <c r="AL312" s="47">
        <v>409543</v>
      </c>
      <c r="AM312" s="49">
        <f>Terre!$G69/Terre!$N69</f>
        <v>14611.043933897623</v>
      </c>
    </row>
    <row r="313" spans="1:39" s="60" customFormat="1" ht="47.25" customHeight="1">
      <c r="A313" s="196" t="s">
        <v>6384</v>
      </c>
      <c r="B313"/>
      <c r="C313" s="317">
        <v>45216</v>
      </c>
      <c r="D313"/>
      <c r="E313"/>
      <c r="F313" t="s">
        <v>6385</v>
      </c>
      <c r="G313" s="94">
        <v>650000</v>
      </c>
      <c r="H313" s="94"/>
      <c r="I313" t="s">
        <v>1363</v>
      </c>
      <c r="J313"/>
      <c r="K313"/>
      <c r="L313" s="96"/>
      <c r="M313" s="96"/>
      <c r="N313" s="63"/>
      <c r="O313"/>
      <c r="P313"/>
      <c r="Q313" s="436"/>
      <c r="R313"/>
      <c r="S313"/>
      <c r="T313"/>
      <c r="U313"/>
      <c r="V313"/>
      <c r="W313"/>
      <c r="X313" s="94"/>
      <c r="Y313" s="63"/>
      <c r="Z313" s="63"/>
      <c r="AA313" s="97"/>
      <c r="AB313"/>
      <c r="AC313" s="65"/>
      <c r="AD313" s="94"/>
      <c r="AE313" s="94"/>
      <c r="AF313" s="63"/>
      <c r="AG313" s="94"/>
      <c r="AH313"/>
      <c r="AI313"/>
      <c r="AJ313"/>
      <c r="AK313"/>
      <c r="AL313"/>
      <c r="AM313" s="1" t="e">
        <f>G313/N313</f>
        <v>#DIV/0!</v>
      </c>
    </row>
    <row r="314" spans="1:39" s="60" customFormat="1" ht="47.25" hidden="1" customHeight="1">
      <c r="A314" s="187">
        <v>28362115</v>
      </c>
      <c r="B314" s="43"/>
      <c r="C314" s="51">
        <v>45219</v>
      </c>
      <c r="D314" s="37" t="s">
        <v>6386</v>
      </c>
      <c r="E314" s="37" t="s">
        <v>6387</v>
      </c>
      <c r="F314" s="45" t="s">
        <v>6388</v>
      </c>
      <c r="G314" s="16">
        <v>1000000</v>
      </c>
      <c r="H314" s="16"/>
      <c r="I314" s="43" t="s">
        <v>654</v>
      </c>
      <c r="J314" s="43" t="s">
        <v>6389</v>
      </c>
      <c r="K314" s="43" t="s">
        <v>6390</v>
      </c>
      <c r="L314" s="25">
        <v>46.683081000000001</v>
      </c>
      <c r="M314" s="25">
        <v>-72.030957000000001</v>
      </c>
      <c r="N314" s="46">
        <v>67.33</v>
      </c>
      <c r="O314" s="43" t="s">
        <v>36</v>
      </c>
      <c r="P314" s="47" t="s">
        <v>206</v>
      </c>
      <c r="Q314" s="442"/>
      <c r="R314" s="47"/>
      <c r="S314" s="43">
        <v>50.2</v>
      </c>
      <c r="T314" s="43" t="s">
        <v>4596</v>
      </c>
      <c r="U314" s="43">
        <v>0</v>
      </c>
      <c r="V314" s="43" t="s">
        <v>5038</v>
      </c>
      <c r="W314" s="43"/>
      <c r="X314" s="16" t="s">
        <v>6005</v>
      </c>
      <c r="Y314" s="46">
        <v>13.5</v>
      </c>
      <c r="Z314" s="46"/>
      <c r="AA314" s="102"/>
      <c r="AB314" s="43"/>
      <c r="AC314" s="87"/>
      <c r="AD314" s="16"/>
      <c r="AE314" s="103"/>
      <c r="AF314" s="46"/>
      <c r="AG314" s="16"/>
      <c r="AH314" s="43"/>
      <c r="AI314" s="43"/>
      <c r="AJ314" s="43"/>
      <c r="AK314" s="55"/>
      <c r="AL314" s="47"/>
      <c r="AM314" s="49">
        <f>Terre!$G68/Terre!$N68</f>
        <v>4030.6328093510683</v>
      </c>
    </row>
    <row r="315" spans="1:39" s="60" customFormat="1" ht="47.25" hidden="1" customHeight="1">
      <c r="A315" s="187">
        <v>28459934</v>
      </c>
      <c r="B315" s="43"/>
      <c r="C315" s="51">
        <v>45221</v>
      </c>
      <c r="D315" s="37" t="s">
        <v>6391</v>
      </c>
      <c r="E315" s="37" t="s">
        <v>6392</v>
      </c>
      <c r="F315" s="45" t="s">
        <v>6393</v>
      </c>
      <c r="G315" s="16">
        <v>500000</v>
      </c>
      <c r="H315" s="16"/>
      <c r="I315" s="43"/>
      <c r="J315" s="43" t="s">
        <v>6394</v>
      </c>
      <c r="K315" s="43" t="s">
        <v>6395</v>
      </c>
      <c r="L315" s="25"/>
      <c r="M315" s="26"/>
      <c r="N315" s="46">
        <v>9.2799999999999994</v>
      </c>
      <c r="O315" s="43" t="s">
        <v>71</v>
      </c>
      <c r="P315" s="47"/>
      <c r="Q315" s="267" t="s">
        <v>6396</v>
      </c>
      <c r="R315" s="47"/>
      <c r="S315" s="43" t="e">
        <v>#REF!</v>
      </c>
      <c r="T315" s="43"/>
      <c r="U315" s="43">
        <v>0</v>
      </c>
      <c r="V315" s="43" t="s">
        <v>5529</v>
      </c>
      <c r="W315" s="43"/>
      <c r="X315" s="16"/>
      <c r="Y315" s="46">
        <v>0</v>
      </c>
      <c r="Z315" s="46"/>
      <c r="AA315" s="102"/>
      <c r="AB315" s="43"/>
      <c r="AC315" s="87"/>
      <c r="AD315" s="16"/>
      <c r="AE315" s="103"/>
      <c r="AF315" s="46"/>
      <c r="AG315" s="16"/>
      <c r="AH315" s="43"/>
      <c r="AI315" s="43"/>
      <c r="AJ315" s="43"/>
      <c r="AK315" s="37"/>
      <c r="AL315" s="47"/>
      <c r="AM315" s="74">
        <f>G315/N315</f>
        <v>53879.310344827587</v>
      </c>
    </row>
    <row r="316" spans="1:39" s="60" customFormat="1" ht="47.25" hidden="1" customHeight="1">
      <c r="A316" s="187">
        <v>28459934</v>
      </c>
      <c r="B316" s="43" t="s">
        <v>4652</v>
      </c>
      <c r="C316" s="51">
        <v>45221</v>
      </c>
      <c r="D316" s="37" t="s">
        <v>6391</v>
      </c>
      <c r="E316" s="37" t="s">
        <v>6392</v>
      </c>
      <c r="F316" s="45" t="s">
        <v>6393</v>
      </c>
      <c r="G316" s="16">
        <v>500000</v>
      </c>
      <c r="H316" s="16" t="s">
        <v>4652</v>
      </c>
      <c r="I316" s="43" t="s">
        <v>4652</v>
      </c>
      <c r="J316" s="43" t="s">
        <v>6394</v>
      </c>
      <c r="K316" s="43" t="s">
        <v>6395</v>
      </c>
      <c r="L316" s="25" t="s">
        <v>4652</v>
      </c>
      <c r="M316" s="26" t="s">
        <v>4652</v>
      </c>
      <c r="N316" s="46" t="s">
        <v>6397</v>
      </c>
      <c r="O316" s="43" t="s">
        <v>36</v>
      </c>
      <c r="P316" s="47" t="s">
        <v>4652</v>
      </c>
      <c r="Q316" s="267" t="s">
        <v>6396</v>
      </c>
      <c r="R316" s="47" t="s">
        <v>4652</v>
      </c>
      <c r="S316" s="282">
        <v>8.18</v>
      </c>
      <c r="T316" s="43" t="s">
        <v>4652</v>
      </c>
      <c r="U316" s="43">
        <v>0</v>
      </c>
      <c r="V316" s="43" t="s">
        <v>4652</v>
      </c>
      <c r="W316" s="43"/>
      <c r="X316" s="16" t="s">
        <v>4652</v>
      </c>
      <c r="Y316" s="46">
        <v>0</v>
      </c>
      <c r="Z316" s="46"/>
      <c r="AA316" s="102"/>
      <c r="AB316" s="43"/>
      <c r="AC316" s="87"/>
      <c r="AD316" s="16"/>
      <c r="AE316" s="103"/>
      <c r="AF316" s="46"/>
      <c r="AG316" s="16" t="s">
        <v>4996</v>
      </c>
      <c r="AH316" s="43">
        <v>0</v>
      </c>
      <c r="AI316" s="43"/>
      <c r="AJ316" s="43"/>
      <c r="AK316" s="37"/>
      <c r="AL316" s="47" t="s">
        <v>71</v>
      </c>
      <c r="AM316" s="49">
        <f>Table3[[#This Row],[Prixdevente($)]]/Table3[[#This Row],[Superficie cultivée (ha)]]</f>
        <v>61124.694376528118</v>
      </c>
    </row>
    <row r="317" spans="1:39" s="60" customFormat="1" ht="47.25" hidden="1" customHeight="1">
      <c r="A317" s="187">
        <v>28353374</v>
      </c>
      <c r="B317" s="43"/>
      <c r="C317" s="51">
        <v>45224</v>
      </c>
      <c r="D317" s="37" t="s">
        <v>6398</v>
      </c>
      <c r="E317" s="37" t="s">
        <v>6399</v>
      </c>
      <c r="F317" s="43">
        <v>6572162</v>
      </c>
      <c r="G317" s="1">
        <v>230000</v>
      </c>
      <c r="H317" s="1"/>
      <c r="I317" s="43" t="s">
        <v>149</v>
      </c>
      <c r="J317" s="43" t="s">
        <v>5127</v>
      </c>
      <c r="K317" s="5" t="s">
        <v>6400</v>
      </c>
      <c r="L317" s="1" t="s">
        <v>6401</v>
      </c>
      <c r="M317" s="1" t="s">
        <v>6402</v>
      </c>
      <c r="N317" s="46">
        <v>10.130000000000001</v>
      </c>
      <c r="O317" s="5" t="s">
        <v>18</v>
      </c>
      <c r="P317" s="12" t="s">
        <v>206</v>
      </c>
      <c r="Q317" s="442">
        <v>3</v>
      </c>
      <c r="R317" s="47" t="s">
        <v>155</v>
      </c>
      <c r="S317" s="43">
        <v>6.1</v>
      </c>
      <c r="T317" s="43" t="s">
        <v>3124</v>
      </c>
      <c r="U317" s="43"/>
      <c r="V317" s="43"/>
      <c r="W317" s="43"/>
      <c r="X317" s="1"/>
      <c r="Y317" s="46">
        <v>3.8</v>
      </c>
      <c r="Z317" s="46"/>
      <c r="AA317" s="2"/>
      <c r="AB317" s="43"/>
      <c r="AC317" s="87"/>
      <c r="AD317" s="1"/>
      <c r="AE317" s="3"/>
      <c r="AF317" s="46"/>
      <c r="AG317" s="1"/>
      <c r="AH317" s="43"/>
      <c r="AI317" s="43"/>
      <c r="AJ317" s="43"/>
      <c r="AK317" s="47" t="s">
        <v>6403</v>
      </c>
      <c r="AL317" s="47" t="s">
        <v>6404</v>
      </c>
      <c r="AM317" s="49" t="e">
        <f>Terre!$G67/Terre!$N67</f>
        <v>#VALUE!</v>
      </c>
    </row>
    <row r="318" spans="1:39" s="60" customFormat="1" ht="47.25" hidden="1" customHeight="1">
      <c r="A318" s="196">
        <v>28353476</v>
      </c>
      <c r="B318"/>
      <c r="C318" s="317">
        <v>45225</v>
      </c>
      <c r="D318" s="249" t="s">
        <v>6405</v>
      </c>
      <c r="E318" s="249" t="s">
        <v>6406</v>
      </c>
      <c r="F318" s="249" t="s">
        <v>6407</v>
      </c>
      <c r="G318" s="94">
        <v>120000</v>
      </c>
      <c r="H318" s="94"/>
      <c r="I318" t="s">
        <v>3076</v>
      </c>
      <c r="J318" t="s">
        <v>3591</v>
      </c>
      <c r="K318" s="249" t="s">
        <v>6408</v>
      </c>
      <c r="L318" s="96">
        <v>46.954948000000002</v>
      </c>
      <c r="M318" s="96">
        <v>-69.959658000000005</v>
      </c>
      <c r="N318" s="63">
        <v>41.16</v>
      </c>
      <c r="O318" t="s">
        <v>18</v>
      </c>
      <c r="P318" t="s">
        <v>35</v>
      </c>
      <c r="Q318" s="436" t="s">
        <v>6409</v>
      </c>
      <c r="R318" t="s">
        <v>6410</v>
      </c>
      <c r="S318">
        <v>15.1</v>
      </c>
      <c r="T318"/>
      <c r="U318"/>
      <c r="V318"/>
      <c r="W318"/>
      <c r="X318" s="94"/>
      <c r="Y318" s="63">
        <v>23.5</v>
      </c>
      <c r="Z318" s="63"/>
      <c r="AA318" s="97"/>
      <c r="AB318"/>
      <c r="AC318" s="65"/>
      <c r="AD318" s="94"/>
      <c r="AE318" s="94"/>
      <c r="AF318" s="63"/>
      <c r="AG318" s="94"/>
      <c r="AH318"/>
      <c r="AI318"/>
      <c r="AJ318"/>
      <c r="AK318" t="s">
        <v>6411</v>
      </c>
      <c r="AL318"/>
      <c r="AM318" s="1">
        <f>G318/N318</f>
        <v>2915.4518950437318</v>
      </c>
    </row>
    <row r="319" spans="1:39" s="60" customFormat="1" ht="47.25" hidden="1" customHeight="1">
      <c r="A319" s="196" t="s">
        <v>6412</v>
      </c>
      <c r="B319"/>
      <c r="C319" s="317">
        <v>45226</v>
      </c>
      <c r="D319"/>
      <c r="E319"/>
      <c r="F319" t="s">
        <v>6413</v>
      </c>
      <c r="G319" s="94">
        <v>500000</v>
      </c>
      <c r="H319" s="94"/>
      <c r="I319" t="s">
        <v>6414</v>
      </c>
      <c r="J319" t="s">
        <v>6415</v>
      </c>
      <c r="K319"/>
      <c r="L319" s="96"/>
      <c r="M319" s="96"/>
      <c r="N319" s="63">
        <v>16.7</v>
      </c>
      <c r="O319"/>
      <c r="P319"/>
      <c r="Q319" s="436"/>
      <c r="R319"/>
      <c r="S319"/>
      <c r="T319"/>
      <c r="U319"/>
      <c r="V319"/>
      <c r="W319"/>
      <c r="X319" s="94"/>
      <c r="Y319" s="63"/>
      <c r="Z319" s="63"/>
      <c r="AA319" s="97"/>
      <c r="AB319"/>
      <c r="AC319" s="65"/>
      <c r="AD319" s="94"/>
      <c r="AE319" s="94"/>
      <c r="AF319" s="63"/>
      <c r="AG319" s="94"/>
      <c r="AH319"/>
      <c r="AI319"/>
      <c r="AJ319"/>
      <c r="AK319"/>
      <c r="AL319"/>
      <c r="AM319" s="1">
        <f>G319/N319</f>
        <v>29940.119760479043</v>
      </c>
    </row>
    <row r="320" spans="1:39" s="60" customFormat="1" ht="47.25" hidden="1" customHeight="1">
      <c r="A320" s="196">
        <v>28361486</v>
      </c>
      <c r="B320"/>
      <c r="C320" s="317">
        <v>45230</v>
      </c>
      <c r="D320" t="s">
        <v>6416</v>
      </c>
      <c r="E320" t="s">
        <v>6417</v>
      </c>
      <c r="F320" s="269">
        <v>6547897</v>
      </c>
      <c r="G320" s="94">
        <v>333450</v>
      </c>
      <c r="H320" s="94"/>
      <c r="I320"/>
      <c r="J320" t="s">
        <v>388</v>
      </c>
      <c r="K320" t="s">
        <v>6418</v>
      </c>
      <c r="L320" s="96" t="s">
        <v>6419</v>
      </c>
      <c r="M320" s="245" t="s">
        <v>6420</v>
      </c>
      <c r="N320" s="63">
        <f>73927/10000</f>
        <v>7.3926999999999996</v>
      </c>
      <c r="O320" s="43" t="s">
        <v>36</v>
      </c>
      <c r="P320" t="s">
        <v>35</v>
      </c>
      <c r="Q320" s="436">
        <v>2</v>
      </c>
      <c r="R320" t="s">
        <v>4669</v>
      </c>
      <c r="S320">
        <v>2.8</v>
      </c>
      <c r="T320"/>
      <c r="U320"/>
      <c r="V320"/>
      <c r="W320"/>
      <c r="X320" s="94"/>
      <c r="Y320" s="63">
        <v>2</v>
      </c>
      <c r="Z320" s="63"/>
      <c r="AA320" s="97"/>
      <c r="AB320"/>
      <c r="AC320" s="65"/>
      <c r="AD320" s="94"/>
      <c r="AE320" s="94"/>
      <c r="AF320" s="63"/>
      <c r="AG320" s="94"/>
      <c r="AH320"/>
      <c r="AI320"/>
      <c r="AJ320"/>
      <c r="AK320" t="s">
        <v>6421</v>
      </c>
      <c r="AL320" t="s">
        <v>6422</v>
      </c>
      <c r="AM320" s="1">
        <f>G320/N320</f>
        <v>45105.306586226958</v>
      </c>
    </row>
    <row r="321" spans="1:39" s="60" customFormat="1" ht="47.25" hidden="1" customHeight="1">
      <c r="A321" s="187">
        <v>28520417</v>
      </c>
      <c r="B321" s="43"/>
      <c r="C321" s="51">
        <v>45230</v>
      </c>
      <c r="D321" s="37" t="s">
        <v>6423</v>
      </c>
      <c r="E321" s="37" t="s">
        <v>6424</v>
      </c>
      <c r="F321" s="43" t="s">
        <v>6425</v>
      </c>
      <c r="G321" s="1">
        <v>1562000</v>
      </c>
      <c r="H321" s="1"/>
      <c r="I321" s="43" t="s">
        <v>16</v>
      </c>
      <c r="J321" s="43" t="s">
        <v>16</v>
      </c>
      <c r="K321" s="43" t="s">
        <v>6426</v>
      </c>
      <c r="L321" s="4" t="s">
        <v>6427</v>
      </c>
      <c r="M321" s="4" t="s">
        <v>6428</v>
      </c>
      <c r="N321" s="46">
        <f>6.58+3.61+26.74+12.76</f>
        <v>49.69</v>
      </c>
      <c r="O321" s="43" t="s">
        <v>18</v>
      </c>
      <c r="P321" s="47" t="s">
        <v>154</v>
      </c>
      <c r="Q321" s="442">
        <v>3</v>
      </c>
      <c r="R321" s="47" t="s">
        <v>4946</v>
      </c>
      <c r="S321" s="43">
        <f>6.4+3.4+1.1+1.1+0.8+6.8+10.3+8.7+2.6</f>
        <v>41.2</v>
      </c>
      <c r="T321" s="43" t="s">
        <v>4596</v>
      </c>
      <c r="U321" s="43">
        <f>-0.8+8.7+2.3</f>
        <v>10.199999999999999</v>
      </c>
      <c r="V321" s="43" t="s">
        <v>4837</v>
      </c>
      <c r="W321" s="43"/>
      <c r="X321" s="1"/>
      <c r="Y321" s="46">
        <v>5.6</v>
      </c>
      <c r="Z321" s="46"/>
      <c r="AA321" s="2"/>
      <c r="AB321" s="43"/>
      <c r="AC321" s="87"/>
      <c r="AD321" s="1"/>
      <c r="AE321" s="3"/>
      <c r="AF321" s="46" t="s">
        <v>6429</v>
      </c>
      <c r="AG321" s="1"/>
      <c r="AH321" s="43"/>
      <c r="AI321" s="43"/>
      <c r="AJ321" s="43"/>
      <c r="AK321" s="37"/>
      <c r="AL321" s="47"/>
      <c r="AM321" s="49">
        <f>Terre!$G66/Terre!$N66</f>
        <v>92902.348993288586</v>
      </c>
    </row>
    <row r="322" spans="1:39" s="60" customFormat="1" ht="47.25" hidden="1" customHeight="1">
      <c r="A322" s="187">
        <v>28372284</v>
      </c>
      <c r="B322" s="43"/>
      <c r="C322" s="51">
        <v>45233</v>
      </c>
      <c r="D322" s="37" t="s">
        <v>6430</v>
      </c>
      <c r="E322" s="37" t="s">
        <v>6431</v>
      </c>
      <c r="F322" s="43">
        <v>5275405</v>
      </c>
      <c r="G322" s="1">
        <v>145000</v>
      </c>
      <c r="H322" s="1"/>
      <c r="I322" s="43" t="s">
        <v>258</v>
      </c>
      <c r="J322" s="43" t="s">
        <v>6432</v>
      </c>
      <c r="K322" s="43" t="s">
        <v>6433</v>
      </c>
      <c r="L322" s="1" t="s">
        <v>6434</v>
      </c>
      <c r="M322" s="1" t="s">
        <v>6435</v>
      </c>
      <c r="N322" s="46">
        <v>6.22</v>
      </c>
      <c r="O322" s="43" t="s">
        <v>36</v>
      </c>
      <c r="P322" s="47" t="s">
        <v>206</v>
      </c>
      <c r="Q322" s="442">
        <v>3</v>
      </c>
      <c r="R322" s="47" t="s">
        <v>4946</v>
      </c>
      <c r="S322" s="43">
        <v>3.2</v>
      </c>
      <c r="T322" s="43" t="s">
        <v>4596</v>
      </c>
      <c r="U322" s="43"/>
      <c r="V322" s="43"/>
      <c r="W322" s="43"/>
      <c r="X322" s="1"/>
      <c r="Y322" s="46">
        <v>2.1</v>
      </c>
      <c r="Z322" s="46"/>
      <c r="AA322" s="2"/>
      <c r="AB322" s="43"/>
      <c r="AC322" s="87"/>
      <c r="AD322" s="1"/>
      <c r="AE322" s="3"/>
      <c r="AF322" s="46"/>
      <c r="AG322" s="1"/>
      <c r="AH322" s="43"/>
      <c r="AI322" s="43"/>
      <c r="AJ322" s="43"/>
      <c r="AK322" s="37" t="s">
        <v>6210</v>
      </c>
      <c r="AL322" s="47"/>
      <c r="AM322" s="49">
        <f>Terre!$G65/Terre!$N65</f>
        <v>6541.9225824882151</v>
      </c>
    </row>
    <row r="323" spans="1:39" s="60" customFormat="1" ht="47.25" hidden="1" customHeight="1">
      <c r="A323" s="187">
        <v>28511281</v>
      </c>
      <c r="B323" s="43" t="s">
        <v>4652</v>
      </c>
      <c r="C323" s="51">
        <v>45240</v>
      </c>
      <c r="D323" s="37" t="s">
        <v>6436</v>
      </c>
      <c r="E323" s="37" t="s">
        <v>6437</v>
      </c>
      <c r="F323" s="45" t="s">
        <v>6438</v>
      </c>
      <c r="G323" s="16">
        <v>1250000</v>
      </c>
      <c r="H323" s="16" t="s">
        <v>4652</v>
      </c>
      <c r="I323" s="43" t="s">
        <v>2560</v>
      </c>
      <c r="J323" s="43" t="s">
        <v>6439</v>
      </c>
      <c r="K323" s="43" t="s">
        <v>6440</v>
      </c>
      <c r="L323" s="25" t="s">
        <v>4652</v>
      </c>
      <c r="M323" s="26" t="s">
        <v>4652</v>
      </c>
      <c r="N323" s="46" t="s">
        <v>6441</v>
      </c>
      <c r="O323" s="43" t="s">
        <v>36</v>
      </c>
      <c r="P323" s="47" t="s">
        <v>4652</v>
      </c>
      <c r="Q323" s="267" t="s">
        <v>6442</v>
      </c>
      <c r="R323" s="47" t="s">
        <v>4652</v>
      </c>
      <c r="S323" s="282">
        <v>11.9</v>
      </c>
      <c r="T323" s="43" t="s">
        <v>4652</v>
      </c>
      <c r="U323" s="43">
        <v>0</v>
      </c>
      <c r="V323" s="43" t="s">
        <v>4652</v>
      </c>
      <c r="W323" s="43"/>
      <c r="X323" s="16" t="s">
        <v>4652</v>
      </c>
      <c r="Y323" s="46" t="s">
        <v>6443</v>
      </c>
      <c r="Z323" s="46"/>
      <c r="AA323" s="102"/>
      <c r="AB323" s="43"/>
      <c r="AC323" s="87"/>
      <c r="AD323" s="16"/>
      <c r="AE323" s="103"/>
      <c r="AF323" s="46"/>
      <c r="AG323" s="16">
        <v>2200</v>
      </c>
      <c r="AH323" s="43">
        <v>80</v>
      </c>
      <c r="AI323" s="43"/>
      <c r="AJ323" s="43"/>
      <c r="AK323" s="37"/>
      <c r="AL323" s="47" t="s">
        <v>4996</v>
      </c>
      <c r="AM323" s="49">
        <f>Table3[[#This Row],[Prixdevente($)]]/Table3[[#This Row],[Superficie cultivée (ha)]]</f>
        <v>105042.01680672269</v>
      </c>
    </row>
    <row r="324" spans="1:39" s="60" customFormat="1" ht="47.25" hidden="1" customHeight="1">
      <c r="A324" s="196">
        <v>28387181</v>
      </c>
      <c r="B324"/>
      <c r="C324" s="317">
        <v>45243</v>
      </c>
      <c r="D324" t="s">
        <v>6444</v>
      </c>
      <c r="E324" s="20" t="s">
        <v>6445</v>
      </c>
      <c r="F324" t="s">
        <v>6446</v>
      </c>
      <c r="G324" s="94">
        <f>765000+43295.45</f>
        <v>808295.45</v>
      </c>
      <c r="H324" s="94"/>
      <c r="I324" t="s">
        <v>6023</v>
      </c>
      <c r="J324" t="s">
        <v>6447</v>
      </c>
      <c r="K324" t="s">
        <v>6448</v>
      </c>
      <c r="L324" s="96">
        <v>45.233846999999997</v>
      </c>
      <c r="M324" s="245" t="s">
        <v>6449</v>
      </c>
      <c r="N324" s="327">
        <f>1.97+21.74</f>
        <v>23.709999999999997</v>
      </c>
      <c r="O324" t="s">
        <v>36</v>
      </c>
      <c r="P324" t="s">
        <v>35</v>
      </c>
      <c r="Q324" s="436">
        <v>4</v>
      </c>
      <c r="R324" t="s">
        <v>568</v>
      </c>
      <c r="S324">
        <v>23</v>
      </c>
      <c r="T324"/>
      <c r="U324"/>
      <c r="V324">
        <v>21.74</v>
      </c>
      <c r="W324"/>
      <c r="X324" s="94"/>
      <c r="Y324" s="63">
        <v>0.4</v>
      </c>
      <c r="Z324" s="63"/>
      <c r="AA324" s="97"/>
      <c r="AB324"/>
      <c r="AC324" s="65"/>
      <c r="AD324" s="94"/>
      <c r="AE324" s="94"/>
      <c r="AF324" s="63"/>
      <c r="AG324" s="94"/>
      <c r="AH324"/>
      <c r="AI324"/>
      <c r="AJ324"/>
      <c r="AK324"/>
      <c r="AL324"/>
      <c r="AM324" s="1">
        <f>G324/N324</f>
        <v>34090.90889919865</v>
      </c>
    </row>
    <row r="325" spans="1:39" s="60" customFormat="1" ht="47.25" hidden="1" customHeight="1">
      <c r="A325" s="196" t="s">
        <v>6450</v>
      </c>
      <c r="B325"/>
      <c r="C325" s="317">
        <v>45250</v>
      </c>
      <c r="D325" t="s">
        <v>6451</v>
      </c>
      <c r="E325" t="s">
        <v>6452</v>
      </c>
      <c r="F325" t="s">
        <v>6453</v>
      </c>
      <c r="G325" s="94">
        <v>500000</v>
      </c>
      <c r="H325" s="94"/>
      <c r="I325" t="s">
        <v>6023</v>
      </c>
      <c r="J325" t="s">
        <v>6447</v>
      </c>
      <c r="K325" t="s">
        <v>6454</v>
      </c>
      <c r="L325" s="96">
        <v>45.232801000000002</v>
      </c>
      <c r="M325" s="245" t="s">
        <v>6455</v>
      </c>
      <c r="N325" s="63">
        <f>3.86+2.87+5.07</f>
        <v>11.8</v>
      </c>
      <c r="O325" t="s">
        <v>36</v>
      </c>
      <c r="P325" t="s">
        <v>35</v>
      </c>
      <c r="Q325" s="436">
        <v>2</v>
      </c>
      <c r="R325" t="s">
        <v>4669</v>
      </c>
      <c r="S325">
        <v>9.4</v>
      </c>
      <c r="T325"/>
      <c r="U325"/>
      <c r="V325">
        <f>Table3[[#This Row],[Superficie cultivée (ha)]]</f>
        <v>9.4</v>
      </c>
      <c r="W325"/>
      <c r="X325" s="94"/>
      <c r="Y325" s="63">
        <v>1.1000000000000001</v>
      </c>
      <c r="Z325" s="63"/>
      <c r="AA325" s="97"/>
      <c r="AB325"/>
      <c r="AC325" s="65"/>
      <c r="AD325" s="94"/>
      <c r="AE325" s="94"/>
      <c r="AF325" s="63"/>
      <c r="AG325" s="94"/>
      <c r="AH325"/>
      <c r="AI325"/>
      <c r="AJ325"/>
      <c r="AK325"/>
      <c r="AL325"/>
      <c r="AM325" s="1">
        <f>G325/N325</f>
        <v>42372.881355932201</v>
      </c>
    </row>
    <row r="326" spans="1:39" s="60" customFormat="1" ht="90" hidden="1">
      <c r="A326" s="187">
        <v>28514962</v>
      </c>
      <c r="B326" s="43"/>
      <c r="C326" s="51">
        <v>45251</v>
      </c>
      <c r="D326" s="37" t="s">
        <v>6456</v>
      </c>
      <c r="E326" s="37" t="s">
        <v>6457</v>
      </c>
      <c r="F326" s="45" t="s">
        <v>6458</v>
      </c>
      <c r="G326" s="16">
        <v>1325000</v>
      </c>
      <c r="H326" s="16"/>
      <c r="I326" s="43" t="s">
        <v>2560</v>
      </c>
      <c r="J326" s="43" t="s">
        <v>6459</v>
      </c>
      <c r="K326" s="43" t="s">
        <v>6460</v>
      </c>
      <c r="L326" s="25"/>
      <c r="M326" s="26"/>
      <c r="N326" s="46">
        <v>24.400000000000002</v>
      </c>
      <c r="O326" s="43" t="s">
        <v>6461</v>
      </c>
      <c r="P326" s="47"/>
      <c r="Q326" s="267" t="s">
        <v>6462</v>
      </c>
      <c r="R326" s="47"/>
      <c r="S326" s="43" t="e">
        <v>#REF!</v>
      </c>
      <c r="T326" s="43"/>
      <c r="U326" s="43">
        <v>0</v>
      </c>
      <c r="V326" s="43" t="s">
        <v>5529</v>
      </c>
      <c r="W326" s="43"/>
      <c r="X326" s="16"/>
      <c r="Y326" s="46">
        <v>0</v>
      </c>
      <c r="Z326" s="46"/>
      <c r="AA326" s="102"/>
      <c r="AB326" s="43"/>
      <c r="AC326" s="87"/>
      <c r="AD326" s="16"/>
      <c r="AE326" s="103"/>
      <c r="AF326" s="46"/>
      <c r="AG326" s="16"/>
      <c r="AH326" s="43"/>
      <c r="AI326" s="43"/>
      <c r="AJ326" s="43"/>
      <c r="AK326" s="37"/>
      <c r="AL326" s="47"/>
      <c r="AM326" s="74">
        <f>G326/N326</f>
        <v>54303.278688524588</v>
      </c>
    </row>
    <row r="327" spans="1:39" s="60" customFormat="1" ht="47.25" hidden="1" customHeight="1">
      <c r="A327" s="189">
        <v>28402116</v>
      </c>
      <c r="B327" s="80"/>
      <c r="C327" s="319">
        <v>45251</v>
      </c>
      <c r="D327" s="80" t="s">
        <v>6463</v>
      </c>
      <c r="E327" s="80" t="s">
        <v>6464</v>
      </c>
      <c r="F327" s="80" t="s">
        <v>6465</v>
      </c>
      <c r="G327" s="134">
        <v>290000</v>
      </c>
      <c r="H327" s="80"/>
      <c r="I327" s="80" t="s">
        <v>29</v>
      </c>
      <c r="J327" s="20" t="s">
        <v>1490</v>
      </c>
      <c r="K327" s="43" t="s">
        <v>6466</v>
      </c>
      <c r="L327" s="80">
        <v>46.851295999999998</v>
      </c>
      <c r="M327" s="80">
        <v>-70.653672999999998</v>
      </c>
      <c r="N327" s="80">
        <v>80.290000000000006</v>
      </c>
      <c r="O327" s="139" t="s">
        <v>18</v>
      </c>
      <c r="P327" s="60" t="s">
        <v>154</v>
      </c>
      <c r="Q327" s="439">
        <v>3</v>
      </c>
      <c r="R327" s="60" t="s">
        <v>6052</v>
      </c>
      <c r="S327" s="139">
        <v>4.9000000000000004</v>
      </c>
      <c r="T327" s="139" t="s">
        <v>4596</v>
      </c>
      <c r="U327" s="139"/>
      <c r="V327" s="139"/>
      <c r="W327" s="139"/>
      <c r="X327" s="141"/>
      <c r="Y327" s="144">
        <v>75.39</v>
      </c>
      <c r="Z327" s="144"/>
      <c r="AA327" s="145"/>
      <c r="AB327" s="139"/>
      <c r="AC327" s="146"/>
      <c r="AD327" s="141"/>
      <c r="AE327" s="158"/>
      <c r="AF327" s="144"/>
      <c r="AG327" s="141"/>
      <c r="AH327" s="139"/>
      <c r="AI327" s="139"/>
      <c r="AJ327" s="139"/>
      <c r="AM327" s="141">
        <f>G327/N327</f>
        <v>3611.906837713289</v>
      </c>
    </row>
    <row r="328" spans="1:39" s="60" customFormat="1" ht="47.25" hidden="1" customHeight="1">
      <c r="A328" s="187">
        <v>28514962</v>
      </c>
      <c r="B328" s="43" t="s">
        <v>4652</v>
      </c>
      <c r="C328" s="51">
        <v>45251</v>
      </c>
      <c r="D328" s="37" t="s">
        <v>6456</v>
      </c>
      <c r="E328" s="37" t="s">
        <v>6457</v>
      </c>
      <c r="F328" s="45" t="s">
        <v>6458</v>
      </c>
      <c r="G328" s="16">
        <v>1325000</v>
      </c>
      <c r="H328" s="16" t="s">
        <v>4652</v>
      </c>
      <c r="I328" s="43" t="s">
        <v>2560</v>
      </c>
      <c r="J328" s="43" t="s">
        <v>6439</v>
      </c>
      <c r="K328" s="43" t="s">
        <v>6467</v>
      </c>
      <c r="L328" s="25" t="s">
        <v>4652</v>
      </c>
      <c r="M328" s="26" t="s">
        <v>4652</v>
      </c>
      <c r="N328" s="46" t="s">
        <v>6468</v>
      </c>
      <c r="O328" s="43" t="s">
        <v>36</v>
      </c>
      <c r="P328" s="47" t="s">
        <v>4652</v>
      </c>
      <c r="Q328" s="267" t="s">
        <v>6462</v>
      </c>
      <c r="R328" s="47" t="s">
        <v>4652</v>
      </c>
      <c r="S328" s="282">
        <v>23.7</v>
      </c>
      <c r="T328" s="43" t="s">
        <v>4652</v>
      </c>
      <c r="U328" s="43">
        <v>0</v>
      </c>
      <c r="V328" s="43" t="s">
        <v>4652</v>
      </c>
      <c r="W328" s="43"/>
      <c r="X328" s="16" t="s">
        <v>4652</v>
      </c>
      <c r="Y328" s="46">
        <v>0</v>
      </c>
      <c r="Z328" s="46"/>
      <c r="AA328" s="102"/>
      <c r="AB328" s="43"/>
      <c r="AC328" s="87"/>
      <c r="AD328" s="16"/>
      <c r="AE328" s="103"/>
      <c r="AF328" s="46"/>
      <c r="AG328" s="16" t="s">
        <v>4996</v>
      </c>
      <c r="AH328" s="43">
        <v>0</v>
      </c>
      <c r="AI328" s="43"/>
      <c r="AJ328" s="43"/>
      <c r="AK328" s="37"/>
      <c r="AL328" s="47" t="s">
        <v>6461</v>
      </c>
      <c r="AM328" s="49">
        <f>Table3[[#This Row],[Prixdevente($)]]/Table3[[#This Row],[Superficie cultivée (ha)]]</f>
        <v>55907.172995780595</v>
      </c>
    </row>
    <row r="329" spans="1:39" s="60" customFormat="1" ht="47.25" hidden="1" customHeight="1">
      <c r="A329" s="187">
        <v>28403393</v>
      </c>
      <c r="B329" s="43" t="s">
        <v>4652</v>
      </c>
      <c r="C329" s="51">
        <v>45252</v>
      </c>
      <c r="D329" s="37" t="s">
        <v>6469</v>
      </c>
      <c r="E329" s="37" t="s">
        <v>6470</v>
      </c>
      <c r="F329" s="45" t="s">
        <v>6471</v>
      </c>
      <c r="G329" s="1">
        <v>200000</v>
      </c>
      <c r="H329" s="1" t="s">
        <v>4652</v>
      </c>
      <c r="I329" s="43" t="s">
        <v>39</v>
      </c>
      <c r="J329" s="43" t="s">
        <v>6472</v>
      </c>
      <c r="K329" s="43" t="s">
        <v>6473</v>
      </c>
      <c r="L329" s="4" t="s">
        <v>4652</v>
      </c>
      <c r="M329" s="7" t="s">
        <v>4652</v>
      </c>
      <c r="N329" s="46" t="s">
        <v>6474</v>
      </c>
      <c r="O329" s="43" t="s">
        <v>36</v>
      </c>
      <c r="P329" s="47" t="s">
        <v>4652</v>
      </c>
      <c r="Q329" s="267" t="s">
        <v>6475</v>
      </c>
      <c r="R329" s="47" t="s">
        <v>4652</v>
      </c>
      <c r="S329" s="43">
        <v>4103592</v>
      </c>
      <c r="T329" s="43" t="s">
        <v>4652</v>
      </c>
      <c r="U329" s="43">
        <v>0</v>
      </c>
      <c r="V329" s="43" t="s">
        <v>4652</v>
      </c>
      <c r="W329" s="43"/>
      <c r="X329" s="1" t="s">
        <v>4652</v>
      </c>
      <c r="Y329" s="46">
        <v>7</v>
      </c>
      <c r="Z329" s="46"/>
      <c r="AA329" s="2"/>
      <c r="AB329" s="43"/>
      <c r="AC329" s="87"/>
      <c r="AD329" s="1"/>
      <c r="AE329" s="3"/>
      <c r="AF329" s="46"/>
      <c r="AG329" s="1">
        <v>0</v>
      </c>
      <c r="AH329" s="43">
        <v>0</v>
      </c>
      <c r="AI329" s="43"/>
      <c r="AJ329" s="43"/>
      <c r="AK329" s="37"/>
      <c r="AL329" s="47">
        <v>0</v>
      </c>
      <c r="AM329" s="49">
        <f>Table3[[#This Row],[Prixdevente($)]]/Table3[[#This Row],[Superficie cultivée (ha)]]</f>
        <v>4.8737788747029429E-2</v>
      </c>
    </row>
    <row r="330" spans="1:39" s="60" customFormat="1" ht="47.25" hidden="1" customHeight="1">
      <c r="A330" s="187">
        <v>28485653</v>
      </c>
      <c r="B330" s="43"/>
      <c r="C330" s="51">
        <v>45253</v>
      </c>
      <c r="D330" s="37" t="s">
        <v>6476</v>
      </c>
      <c r="E330" s="37" t="s">
        <v>6477</v>
      </c>
      <c r="F330" s="45" t="s">
        <v>6478</v>
      </c>
      <c r="G330" s="16">
        <v>820000</v>
      </c>
      <c r="H330" s="16"/>
      <c r="I330" s="43" t="s">
        <v>192</v>
      </c>
      <c r="J330" s="43" t="s">
        <v>6479</v>
      </c>
      <c r="K330" s="43" t="s">
        <v>3039</v>
      </c>
      <c r="L330" s="25"/>
      <c r="M330" s="26"/>
      <c r="N330" s="46">
        <v>14.77</v>
      </c>
      <c r="O330" s="43" t="s">
        <v>4996</v>
      </c>
      <c r="P330" s="47"/>
      <c r="Q330" s="267" t="s">
        <v>6480</v>
      </c>
      <c r="R330" s="47"/>
      <c r="S330" s="43" t="e">
        <v>#REF!</v>
      </c>
      <c r="T330" s="43"/>
      <c r="U330" s="43" t="e">
        <v>#REF!</v>
      </c>
      <c r="V330" s="43" t="s">
        <v>5529</v>
      </c>
      <c r="W330" s="43"/>
      <c r="X330" s="16"/>
      <c r="Y330" s="46">
        <v>0</v>
      </c>
      <c r="Z330" s="46"/>
      <c r="AA330" s="102"/>
      <c r="AB330" s="43"/>
      <c r="AC330" s="87"/>
      <c r="AD330" s="16"/>
      <c r="AE330" s="103"/>
      <c r="AF330" s="46"/>
      <c r="AG330" s="16"/>
      <c r="AH330" s="43"/>
      <c r="AI330" s="43"/>
      <c r="AJ330" s="43"/>
      <c r="AK330" s="37"/>
      <c r="AL330" s="47"/>
      <c r="AM330" s="74">
        <f>G330/N330</f>
        <v>55517.941773865947</v>
      </c>
    </row>
    <row r="331" spans="1:39" s="60" customFormat="1" ht="47.25" hidden="1" customHeight="1">
      <c r="A331" s="187">
        <v>28485653</v>
      </c>
      <c r="B331" s="43" t="s">
        <v>4652</v>
      </c>
      <c r="C331" s="51">
        <v>45253</v>
      </c>
      <c r="D331" s="37" t="s">
        <v>6476</v>
      </c>
      <c r="E331" s="37" t="s">
        <v>6477</v>
      </c>
      <c r="F331" s="45" t="s">
        <v>6478</v>
      </c>
      <c r="G331" s="16">
        <v>820000</v>
      </c>
      <c r="H331" s="16" t="s">
        <v>4652</v>
      </c>
      <c r="I331" s="43" t="s">
        <v>192</v>
      </c>
      <c r="J331" s="43" t="s">
        <v>6479</v>
      </c>
      <c r="K331" s="43" t="s">
        <v>3039</v>
      </c>
      <c r="L331" s="25" t="s">
        <v>4652</v>
      </c>
      <c r="M331" s="26" t="s">
        <v>4652</v>
      </c>
      <c r="N331" s="46" t="s">
        <v>6481</v>
      </c>
      <c r="O331" s="43" t="s">
        <v>36</v>
      </c>
      <c r="P331" s="47" t="s">
        <v>4652</v>
      </c>
      <c r="Q331" s="267" t="s">
        <v>6480</v>
      </c>
      <c r="R331" s="47" t="s">
        <v>4652</v>
      </c>
      <c r="S331" s="282">
        <v>14</v>
      </c>
      <c r="T331" s="43" t="s">
        <v>4652</v>
      </c>
      <c r="U331" s="43">
        <v>14</v>
      </c>
      <c r="V331" s="43" t="s">
        <v>4652</v>
      </c>
      <c r="W331" s="43"/>
      <c r="X331" s="16" t="s">
        <v>4652</v>
      </c>
      <c r="Y331" s="46">
        <v>0</v>
      </c>
      <c r="Z331" s="46"/>
      <c r="AA331" s="102"/>
      <c r="AB331" s="43"/>
      <c r="AC331" s="87"/>
      <c r="AD331" s="16"/>
      <c r="AE331" s="103"/>
      <c r="AF331" s="46"/>
      <c r="AG331" s="16" t="s">
        <v>4996</v>
      </c>
      <c r="AH331" s="43">
        <v>0</v>
      </c>
      <c r="AI331" s="43"/>
      <c r="AJ331" s="43"/>
      <c r="AK331" s="37"/>
      <c r="AL331" s="47" t="s">
        <v>4996</v>
      </c>
      <c r="AM331" s="49">
        <f>Table3[[#This Row],[Prixdevente($)]]/Table3[[#This Row],[Superficie cultivée (ha)]]</f>
        <v>58571.428571428572</v>
      </c>
    </row>
    <row r="332" spans="1:39" s="60" customFormat="1" ht="47.25" hidden="1" customHeight="1">
      <c r="A332" s="187">
        <v>28410959</v>
      </c>
      <c r="B332" s="43"/>
      <c r="C332" s="51">
        <v>45254</v>
      </c>
      <c r="D332" s="37" t="s">
        <v>6482</v>
      </c>
      <c r="E332" s="37" t="s">
        <v>6483</v>
      </c>
      <c r="F332" s="45" t="s">
        <v>6484</v>
      </c>
      <c r="G332" s="1">
        <v>500000</v>
      </c>
      <c r="H332" s="1"/>
      <c r="I332" s="43" t="s">
        <v>611</v>
      </c>
      <c r="J332" s="43" t="s">
        <v>6485</v>
      </c>
      <c r="K332" s="43" t="s">
        <v>6486</v>
      </c>
      <c r="L332" s="7" t="s">
        <v>6487</v>
      </c>
      <c r="M332" s="7" t="s">
        <v>6488</v>
      </c>
      <c r="N332" s="46">
        <v>6.42</v>
      </c>
      <c r="O332" s="43" t="s">
        <v>18</v>
      </c>
      <c r="P332" s="47" t="s">
        <v>206</v>
      </c>
      <c r="Q332" s="267" t="s">
        <v>4771</v>
      </c>
      <c r="R332" s="47" t="s">
        <v>4595</v>
      </c>
      <c r="S332" s="43">
        <v>6</v>
      </c>
      <c r="T332" s="43" t="s">
        <v>4596</v>
      </c>
      <c r="U332" s="43">
        <v>0</v>
      </c>
      <c r="V332" s="43" t="s">
        <v>5038</v>
      </c>
      <c r="W332" s="43"/>
      <c r="X332" s="1"/>
      <c r="Y332" s="46">
        <v>0</v>
      </c>
      <c r="Z332" s="46"/>
      <c r="AA332" s="2"/>
      <c r="AB332" s="43"/>
      <c r="AC332" s="87"/>
      <c r="AD332" s="1"/>
      <c r="AE332" s="3"/>
      <c r="AF332" s="46"/>
      <c r="AG332" s="1"/>
      <c r="AH332" s="43"/>
      <c r="AI332" s="43"/>
      <c r="AJ332" s="43"/>
      <c r="AK332" s="37" t="s">
        <v>6489</v>
      </c>
      <c r="AL332" s="47"/>
      <c r="AM332" s="49">
        <f>Terre!$G64/Terre!$N64</f>
        <v>81388.5075505001</v>
      </c>
    </row>
    <row r="333" spans="1:39" s="60" customFormat="1" ht="47.25" hidden="1" customHeight="1">
      <c r="A333" s="196">
        <v>28423682</v>
      </c>
      <c r="B333"/>
      <c r="C333" s="317">
        <v>45261</v>
      </c>
      <c r="D333" t="s">
        <v>6490</v>
      </c>
      <c r="E333" t="s">
        <v>6491</v>
      </c>
      <c r="F333" t="s">
        <v>6492</v>
      </c>
      <c r="G333" s="94">
        <v>5715000</v>
      </c>
      <c r="H333" s="94"/>
      <c r="I333"/>
      <c r="J333" t="s">
        <v>6493</v>
      </c>
      <c r="K333" t="s">
        <v>6494</v>
      </c>
      <c r="L333" s="96" t="s">
        <v>6495</v>
      </c>
      <c r="M333" s="245" t="s">
        <v>6496</v>
      </c>
      <c r="N333" s="63">
        <f>4.79+15.2+12.66+49.58</f>
        <v>82.22999999999999</v>
      </c>
      <c r="O333" s="43" t="s">
        <v>36</v>
      </c>
      <c r="P333" t="s">
        <v>35</v>
      </c>
      <c r="Q333" s="436">
        <v>2</v>
      </c>
      <c r="R333" t="s">
        <v>4669</v>
      </c>
      <c r="S333">
        <f>14.6+4.7+25.4+15.6+4.8+7.2+4.9</f>
        <v>77.200000000000017</v>
      </c>
      <c r="T333"/>
      <c r="U333">
        <f>Table3[[#This Row],[Superficie cultivée (ha)]]-4.7</f>
        <v>72.500000000000014</v>
      </c>
      <c r="V333"/>
      <c r="W333"/>
      <c r="X333" s="94"/>
      <c r="Y333" s="63"/>
      <c r="Z333" s="63"/>
      <c r="AA333" s="97"/>
      <c r="AB333"/>
      <c r="AC333" s="65"/>
      <c r="AD333" s="94"/>
      <c r="AE333" s="94"/>
      <c r="AF333" s="63"/>
      <c r="AG333" s="94"/>
      <c r="AH333"/>
      <c r="AI333"/>
      <c r="AJ333"/>
      <c r="AK333"/>
      <c r="AL333"/>
      <c r="AM333" s="1">
        <f>G333/N333</f>
        <v>69500.182415176954</v>
      </c>
    </row>
    <row r="334" spans="1:39" s="60" customFormat="1" ht="47.25" hidden="1" customHeight="1">
      <c r="A334" s="187">
        <v>28426843</v>
      </c>
      <c r="B334" s="43"/>
      <c r="C334" s="51">
        <v>45264</v>
      </c>
      <c r="D334" s="37" t="s">
        <v>6497</v>
      </c>
      <c r="E334" s="37" t="s">
        <v>6498</v>
      </c>
      <c r="F334" s="43" t="s">
        <v>6499</v>
      </c>
      <c r="G334" s="1">
        <v>425000</v>
      </c>
      <c r="H334" s="1"/>
      <c r="I334" s="43" t="s">
        <v>258</v>
      </c>
      <c r="J334" s="43" t="s">
        <v>1241</v>
      </c>
      <c r="K334" s="43" t="s">
        <v>6500</v>
      </c>
      <c r="L334" s="1" t="s">
        <v>6501</v>
      </c>
      <c r="M334" s="1" t="s">
        <v>6502</v>
      </c>
      <c r="N334" s="46">
        <f>28.72+48.65+57.58+17.5</f>
        <v>152.44999999999999</v>
      </c>
      <c r="O334" s="43" t="s">
        <v>36</v>
      </c>
      <c r="P334" s="47" t="s">
        <v>384</v>
      </c>
      <c r="Q334" s="442">
        <v>3</v>
      </c>
      <c r="R334" s="47" t="s">
        <v>4604</v>
      </c>
      <c r="S334" s="43">
        <f>2.7+3.9+5.7+2.2+4.8+0.2+2.7+2+0.3+0.3+1.2+1.7+7.8+0.9+1.7</f>
        <v>38.1</v>
      </c>
      <c r="T334" s="43" t="s">
        <v>4596</v>
      </c>
      <c r="U334" s="43"/>
      <c r="V334" s="43"/>
      <c r="W334" s="43"/>
      <c r="X334" s="1"/>
      <c r="Y334" s="46">
        <f>Terre!$N40-Terre!$S40</f>
        <v>108.59</v>
      </c>
      <c r="Z334" s="46"/>
      <c r="AA334" s="2"/>
      <c r="AB334" s="43"/>
      <c r="AC334" s="87"/>
      <c r="AD334" s="1"/>
      <c r="AE334" s="3"/>
      <c r="AF334" s="46"/>
      <c r="AG334" s="1"/>
      <c r="AH334" s="43"/>
      <c r="AI334" s="43"/>
      <c r="AJ334" s="43"/>
      <c r="AK334" s="37" t="s">
        <v>6210</v>
      </c>
      <c r="AL334" s="47"/>
      <c r="AM334" s="49">
        <f>Terre!$G63/Terre!$N63</f>
        <v>81388.5075505001</v>
      </c>
    </row>
    <row r="335" spans="1:39" s="60" customFormat="1" ht="47.25" hidden="1" customHeight="1">
      <c r="A335" s="190">
        <v>28432454</v>
      </c>
      <c r="B335" s="43"/>
      <c r="C335" s="51">
        <v>45267</v>
      </c>
      <c r="D335" s="43" t="s">
        <v>6503</v>
      </c>
      <c r="E335" s="43" t="s">
        <v>6504</v>
      </c>
      <c r="F335" s="43" t="s">
        <v>6505</v>
      </c>
      <c r="G335" s="1">
        <v>42000</v>
      </c>
      <c r="H335" s="82"/>
      <c r="I335" s="43" t="s">
        <v>24</v>
      </c>
      <c r="J335" s="43" t="s">
        <v>6506</v>
      </c>
      <c r="K335" s="43" t="s">
        <v>6507</v>
      </c>
      <c r="L335" s="4" t="s">
        <v>6508</v>
      </c>
      <c r="M335" s="4" t="s">
        <v>6509</v>
      </c>
      <c r="N335" s="46">
        <v>5.88</v>
      </c>
      <c r="O335" s="43" t="s">
        <v>18</v>
      </c>
      <c r="P335" s="43" t="s">
        <v>6201</v>
      </c>
      <c r="Q335" s="444">
        <v>5</v>
      </c>
      <c r="R335" s="43" t="s">
        <v>5993</v>
      </c>
      <c r="S335" s="43">
        <v>5.5</v>
      </c>
      <c r="T335" s="43" t="s">
        <v>5388</v>
      </c>
      <c r="U335" s="43"/>
      <c r="V335" s="43"/>
      <c r="W335" s="43"/>
      <c r="X335" s="1"/>
      <c r="Y335" s="46">
        <v>0.2</v>
      </c>
      <c r="Z335" s="180"/>
      <c r="AA335" s="2"/>
      <c r="AB335" s="43"/>
      <c r="AC335" s="87"/>
      <c r="AD335" s="1"/>
      <c r="AE335" s="1"/>
      <c r="AF335" s="46"/>
      <c r="AG335" s="1"/>
      <c r="AH335" s="43"/>
      <c r="AI335" s="43"/>
      <c r="AJ335" s="43"/>
      <c r="AK335" s="43" t="s">
        <v>4636</v>
      </c>
      <c r="AL335" s="43"/>
      <c r="AM335" s="1">
        <f>G335/N335</f>
        <v>7142.8571428571431</v>
      </c>
    </row>
    <row r="336" spans="1:39" s="60" customFormat="1" ht="47.25" hidden="1" customHeight="1">
      <c r="A336" s="187">
        <v>28558339</v>
      </c>
      <c r="B336" s="43"/>
      <c r="C336" s="51">
        <v>45267</v>
      </c>
      <c r="D336" s="37" t="s">
        <v>6510</v>
      </c>
      <c r="E336" s="37" t="s">
        <v>6511</v>
      </c>
      <c r="F336" s="45" t="s">
        <v>6512</v>
      </c>
      <c r="G336" s="16">
        <v>2750000</v>
      </c>
      <c r="H336" s="16"/>
      <c r="I336" s="43" t="s">
        <v>4911</v>
      </c>
      <c r="J336" s="43" t="s">
        <v>5261</v>
      </c>
      <c r="K336" s="43" t="s">
        <v>5030</v>
      </c>
      <c r="L336" s="25"/>
      <c r="M336" s="26"/>
      <c r="N336" s="46">
        <v>43.240000000000009</v>
      </c>
      <c r="O336" s="43" t="s">
        <v>6513</v>
      </c>
      <c r="P336" s="47"/>
      <c r="Q336" s="267" t="s">
        <v>6514</v>
      </c>
      <c r="R336" s="47"/>
      <c r="S336" s="43">
        <v>41.3</v>
      </c>
      <c r="T336" s="43"/>
      <c r="U336" s="43">
        <v>20.65</v>
      </c>
      <c r="V336" s="43" t="s">
        <v>5288</v>
      </c>
      <c r="W336" s="43"/>
      <c r="X336" s="16"/>
      <c r="Y336" s="46">
        <v>1.9400000000000119</v>
      </c>
      <c r="Z336" s="46"/>
      <c r="AA336" s="102"/>
      <c r="AB336" s="43"/>
      <c r="AC336" s="87"/>
      <c r="AD336" s="16"/>
      <c r="AE336" s="103"/>
      <c r="AF336" s="46"/>
      <c r="AG336" s="16"/>
      <c r="AH336" s="43"/>
      <c r="AI336" s="43"/>
      <c r="AJ336" s="43" t="s">
        <v>5150</v>
      </c>
      <c r="AK336" s="37">
        <v>0</v>
      </c>
      <c r="AL336" s="47"/>
      <c r="AM336" s="74">
        <f>G336/N336</f>
        <v>63598.519888991665</v>
      </c>
    </row>
    <row r="337" spans="1:39" s="60" customFormat="1" ht="47.25" hidden="1" customHeight="1">
      <c r="A337" s="187">
        <v>28558627</v>
      </c>
      <c r="B337" s="43"/>
      <c r="C337" s="51">
        <v>45268</v>
      </c>
      <c r="D337" s="37" t="s">
        <v>6515</v>
      </c>
      <c r="E337" s="116" t="s">
        <v>6516</v>
      </c>
      <c r="F337" s="45" t="s">
        <v>6517</v>
      </c>
      <c r="G337" s="1">
        <v>1266660</v>
      </c>
      <c r="H337" s="1"/>
      <c r="I337" s="43" t="s">
        <v>321</v>
      </c>
      <c r="J337" s="43" t="s">
        <v>6518</v>
      </c>
      <c r="K337" s="43" t="s">
        <v>6519</v>
      </c>
      <c r="L337" s="4" t="s">
        <v>6520</v>
      </c>
      <c r="M337" s="7" t="s">
        <v>6521</v>
      </c>
      <c r="N337" s="46">
        <f>18.39+41.92</f>
        <v>60.31</v>
      </c>
      <c r="O337" s="43" t="s">
        <v>18</v>
      </c>
      <c r="P337" s="47" t="s">
        <v>4985</v>
      </c>
      <c r="Q337" s="267">
        <v>4</v>
      </c>
      <c r="R337" s="47" t="s">
        <v>4604</v>
      </c>
      <c r="S337" s="43">
        <f>9.42+13.2+5.4+1.7+0.4+7.2+0.9</f>
        <v>38.219999999999992</v>
      </c>
      <c r="T337" s="43" t="s">
        <v>4596</v>
      </c>
      <c r="U337" s="43">
        <v>0</v>
      </c>
      <c r="V337" s="43" t="s">
        <v>5029</v>
      </c>
      <c r="W337" s="43"/>
      <c r="X337" s="1"/>
      <c r="Y337" s="46">
        <f>9.8+0.8+1.5+8.2</f>
        <v>20.3</v>
      </c>
      <c r="Z337" s="46"/>
      <c r="AA337" s="2"/>
      <c r="AB337" s="43"/>
      <c r="AC337" s="87"/>
      <c r="AD337" s="1"/>
      <c r="AE337" s="3"/>
      <c r="AF337" s="46"/>
      <c r="AG337" s="1"/>
      <c r="AH337" s="43"/>
      <c r="AI337" s="43"/>
      <c r="AJ337" s="43"/>
      <c r="AK337" s="37"/>
      <c r="AL337" s="47"/>
      <c r="AM337" s="49">
        <f>Terre!$G62/Terre!$N62</f>
        <v>41445.270988310309</v>
      </c>
    </row>
    <row r="338" spans="1:39" s="60" customFormat="1" ht="47.25" hidden="1" customHeight="1">
      <c r="A338" s="187">
        <v>28618442</v>
      </c>
      <c r="B338" s="43"/>
      <c r="C338" s="51">
        <v>45270</v>
      </c>
      <c r="D338" s="37" t="s">
        <v>6522</v>
      </c>
      <c r="E338" s="37" t="s">
        <v>6523</v>
      </c>
      <c r="F338" s="45">
        <v>6620178</v>
      </c>
      <c r="G338" s="16">
        <v>498916</v>
      </c>
      <c r="H338" s="16"/>
      <c r="I338" s="43" t="s">
        <v>5746</v>
      </c>
      <c r="J338" s="43" t="s">
        <v>5227</v>
      </c>
      <c r="K338" s="43" t="s">
        <v>6524</v>
      </c>
      <c r="L338" s="25"/>
      <c r="M338" s="26"/>
      <c r="N338" s="46">
        <v>6.73</v>
      </c>
      <c r="O338" s="43" t="s">
        <v>5030</v>
      </c>
      <c r="P338" s="47"/>
      <c r="Q338" s="267" t="s">
        <v>6525</v>
      </c>
      <c r="R338" s="47"/>
      <c r="S338" s="43">
        <v>6.1</v>
      </c>
      <c r="T338" s="43"/>
      <c r="U338" s="43" t="s">
        <v>71</v>
      </c>
      <c r="V338" s="43" t="s">
        <v>5230</v>
      </c>
      <c r="W338" s="43"/>
      <c r="X338" s="16"/>
      <c r="Y338" s="46">
        <v>0</v>
      </c>
      <c r="Z338" s="46"/>
      <c r="AA338" s="102"/>
      <c r="AB338" s="43"/>
      <c r="AC338" s="87"/>
      <c r="AD338" s="16"/>
      <c r="AE338" s="103"/>
      <c r="AF338" s="46"/>
      <c r="AG338" s="16"/>
      <c r="AH338" s="43"/>
      <c r="AI338" s="43"/>
      <c r="AJ338" s="43"/>
      <c r="AK338" s="37"/>
      <c r="AL338" s="47"/>
      <c r="AM338" s="74">
        <f>G338/N338</f>
        <v>74133.135215453192</v>
      </c>
    </row>
    <row r="339" spans="1:39" s="60" customFormat="1" ht="47.25" hidden="1" customHeight="1">
      <c r="A339" s="187">
        <v>28448960</v>
      </c>
      <c r="B339" s="43"/>
      <c r="C339" s="51">
        <v>45274</v>
      </c>
      <c r="D339" s="37" t="s">
        <v>6526</v>
      </c>
      <c r="E339" s="37" t="s">
        <v>6527</v>
      </c>
      <c r="F339" s="45">
        <v>6600219</v>
      </c>
      <c r="G339" s="1">
        <v>1300000</v>
      </c>
      <c r="H339" s="1"/>
      <c r="I339" s="43" t="s">
        <v>476</v>
      </c>
      <c r="J339" s="43" t="s">
        <v>6528</v>
      </c>
      <c r="K339" s="43" t="s">
        <v>6529</v>
      </c>
      <c r="L339" s="4" t="s">
        <v>6530</v>
      </c>
      <c r="M339" s="7" t="s">
        <v>6531</v>
      </c>
      <c r="N339" s="46">
        <v>58.11</v>
      </c>
      <c r="O339" s="43" t="s">
        <v>18</v>
      </c>
      <c r="P339" s="47" t="s">
        <v>4702</v>
      </c>
      <c r="Q339" s="267" t="s">
        <v>6532</v>
      </c>
      <c r="R339" s="47" t="s">
        <v>6533</v>
      </c>
      <c r="S339" s="43">
        <v>34.700000000000003</v>
      </c>
      <c r="T339" s="43" t="s">
        <v>4596</v>
      </c>
      <c r="U339" s="43"/>
      <c r="V339" s="43"/>
      <c r="W339" s="43"/>
      <c r="X339" s="1"/>
      <c r="Y339" s="46" t="s">
        <v>6534</v>
      </c>
      <c r="Z339" s="46"/>
      <c r="AA339" s="2"/>
      <c r="AB339" s="43"/>
      <c r="AC339" s="87"/>
      <c r="AD339" s="1"/>
      <c r="AE339" s="3"/>
      <c r="AF339" s="46"/>
      <c r="AG339" s="1"/>
      <c r="AH339" s="43"/>
      <c r="AI339" s="43"/>
      <c r="AJ339" s="43"/>
      <c r="AK339" s="37" t="s">
        <v>6535</v>
      </c>
      <c r="AL339" s="47"/>
      <c r="AM339" s="49">
        <f>Terre!$G61/Terre!$N61</f>
        <v>33475.349969567862</v>
      </c>
    </row>
    <row r="340" spans="1:39" s="60" customFormat="1" ht="47.25" hidden="1" customHeight="1">
      <c r="A340" s="239" t="s">
        <v>6536</v>
      </c>
      <c r="B340"/>
      <c r="C340" s="317">
        <v>45274</v>
      </c>
      <c r="D340" s="247" t="s">
        <v>6537</v>
      </c>
      <c r="E340" s="247" t="s">
        <v>6538</v>
      </c>
      <c r="F340" t="s">
        <v>6539</v>
      </c>
      <c r="G340" s="94">
        <v>1300000</v>
      </c>
      <c r="H340" s="94"/>
      <c r="I340" t="s">
        <v>1597</v>
      </c>
      <c r="J340" t="s">
        <v>6540</v>
      </c>
      <c r="K340" s="247" t="s">
        <v>6541</v>
      </c>
      <c r="L340" s="96">
        <v>45.220627999999998</v>
      </c>
      <c r="M340" s="96">
        <v>-71.953259000000003</v>
      </c>
      <c r="N340" s="63">
        <v>151.69</v>
      </c>
      <c r="O340" t="s">
        <v>18</v>
      </c>
      <c r="P340" t="s">
        <v>19</v>
      </c>
      <c r="Q340" s="436">
        <v>3</v>
      </c>
      <c r="R340" t="s">
        <v>6542</v>
      </c>
      <c r="S340">
        <v>15.8</v>
      </c>
      <c r="T340" t="s">
        <v>6154</v>
      </c>
      <c r="U340"/>
      <c r="V340"/>
      <c r="W340"/>
      <c r="X340" s="94"/>
      <c r="Y340" s="63"/>
      <c r="Z340" s="63"/>
      <c r="AA340" s="97"/>
      <c r="AB340"/>
      <c r="AC340" s="65"/>
      <c r="AD340" s="94"/>
      <c r="AE340" s="94"/>
      <c r="AF340" s="63"/>
      <c r="AG340" s="94"/>
      <c r="AH340"/>
      <c r="AI340"/>
      <c r="AJ340"/>
      <c r="AK340" t="s">
        <v>6543</v>
      </c>
      <c r="AL340"/>
      <c r="AM340" s="1">
        <f>G340/N340</f>
        <v>8570.1100929527329</v>
      </c>
    </row>
    <row r="341" spans="1:39" s="60" customFormat="1" ht="47.25" hidden="1" customHeight="1">
      <c r="A341" s="187">
        <v>28455660</v>
      </c>
      <c r="B341" s="43"/>
      <c r="C341" s="51">
        <v>45278</v>
      </c>
      <c r="D341" s="37" t="s">
        <v>6544</v>
      </c>
      <c r="E341" s="37" t="s">
        <v>6545</v>
      </c>
      <c r="F341" s="43" t="s">
        <v>6546</v>
      </c>
      <c r="G341" s="18">
        <v>300000</v>
      </c>
      <c r="H341" s="1"/>
      <c r="I341" s="43" t="s">
        <v>16</v>
      </c>
      <c r="J341" s="43" t="s">
        <v>6547</v>
      </c>
      <c r="K341" s="43" t="s">
        <v>6548</v>
      </c>
      <c r="L341" s="4">
        <v>46.518481999999999</v>
      </c>
      <c r="M341" s="4">
        <v>-70.788373000000007</v>
      </c>
      <c r="N341" s="46">
        <v>38.299999999999997</v>
      </c>
      <c r="O341" s="43" t="s">
        <v>36</v>
      </c>
      <c r="P341" s="47" t="s">
        <v>6201</v>
      </c>
      <c r="Q341" s="442">
        <v>4</v>
      </c>
      <c r="R341" s="47" t="s">
        <v>4620</v>
      </c>
      <c r="S341" s="43">
        <v>13.1</v>
      </c>
      <c r="T341" s="43" t="s">
        <v>4596</v>
      </c>
      <c r="U341" s="43">
        <v>0</v>
      </c>
      <c r="V341" s="43" t="s">
        <v>4837</v>
      </c>
      <c r="W341" s="43"/>
      <c r="X341" s="1" t="s">
        <v>6549</v>
      </c>
      <c r="Y341" s="46">
        <v>26</v>
      </c>
      <c r="Z341" s="46"/>
      <c r="AA341" s="2"/>
      <c r="AB341" s="43"/>
      <c r="AC341" s="87"/>
      <c r="AD341" s="1"/>
      <c r="AE341" s="3"/>
      <c r="AF341" s="46"/>
      <c r="AG341" s="1"/>
      <c r="AH341" s="43"/>
      <c r="AI341" s="43"/>
      <c r="AJ341" s="43"/>
      <c r="AK341" s="37" t="s">
        <v>6550</v>
      </c>
      <c r="AL341" s="47"/>
      <c r="AM341" s="49">
        <f>Terre!$G60/Terre!$N60</f>
        <v>40436.71653861706</v>
      </c>
    </row>
    <row r="342" spans="1:39" s="60" customFormat="1" ht="47.25" hidden="1" customHeight="1">
      <c r="A342" s="187">
        <v>28461500</v>
      </c>
      <c r="B342" s="43"/>
      <c r="C342" s="51">
        <v>45279</v>
      </c>
      <c r="D342" s="37" t="s">
        <v>6551</v>
      </c>
      <c r="E342" s="37" t="s">
        <v>6552</v>
      </c>
      <c r="F342" s="45">
        <v>6599152</v>
      </c>
      <c r="G342" s="16">
        <v>50000</v>
      </c>
      <c r="H342" s="16"/>
      <c r="I342" s="43" t="s">
        <v>6363</v>
      </c>
      <c r="J342" s="43" t="s">
        <v>6135</v>
      </c>
      <c r="K342" s="43" t="s">
        <v>6553</v>
      </c>
      <c r="L342" s="25">
        <v>46.721738999999999</v>
      </c>
      <c r="M342" s="25">
        <v>-72.135484000000005</v>
      </c>
      <c r="N342" s="46">
        <v>2.11</v>
      </c>
      <c r="O342" s="43" t="s">
        <v>5051</v>
      </c>
      <c r="P342" s="47" t="s">
        <v>206</v>
      </c>
      <c r="Q342" s="442">
        <v>7</v>
      </c>
      <c r="R342" s="47" t="s">
        <v>6554</v>
      </c>
      <c r="S342" s="43">
        <v>2</v>
      </c>
      <c r="T342" s="43" t="s">
        <v>4596</v>
      </c>
      <c r="U342" s="43">
        <v>0</v>
      </c>
      <c r="V342" s="43" t="s">
        <v>5038</v>
      </c>
      <c r="W342" s="43"/>
      <c r="X342" s="16"/>
      <c r="Y342" s="46">
        <v>0</v>
      </c>
      <c r="Z342" s="46"/>
      <c r="AA342" s="102"/>
      <c r="AB342" s="43"/>
      <c r="AC342" s="87"/>
      <c r="AD342" s="16"/>
      <c r="AE342" s="103"/>
      <c r="AF342" s="46"/>
      <c r="AG342" s="16"/>
      <c r="AH342" s="43"/>
      <c r="AI342" s="43"/>
      <c r="AJ342" s="43"/>
      <c r="AK342" s="37"/>
      <c r="AL342" s="47">
        <v>106748</v>
      </c>
      <c r="AM342" s="49">
        <f>Terre!$G59/Terre!$N59</f>
        <v>87976.539589442807</v>
      </c>
    </row>
    <row r="343" spans="1:39" s="60" customFormat="1" ht="47.25" hidden="1" customHeight="1">
      <c r="A343" s="187">
        <v>28458653</v>
      </c>
      <c r="B343" s="43"/>
      <c r="C343" s="51">
        <v>45279</v>
      </c>
      <c r="D343" s="37" t="s">
        <v>6207</v>
      </c>
      <c r="E343" s="37" t="s">
        <v>6555</v>
      </c>
      <c r="F343" s="43">
        <v>5743241</v>
      </c>
      <c r="G343" s="1">
        <v>400000</v>
      </c>
      <c r="H343" s="1"/>
      <c r="I343" s="43" t="s">
        <v>747</v>
      </c>
      <c r="J343" s="43" t="s">
        <v>929</v>
      </c>
      <c r="K343" s="43" t="s">
        <v>5972</v>
      </c>
      <c r="L343" s="1" t="s">
        <v>6208</v>
      </c>
      <c r="M343" s="1" t="s">
        <v>6209</v>
      </c>
      <c r="N343" s="46">
        <v>18.04</v>
      </c>
      <c r="O343" s="43" t="s">
        <v>18</v>
      </c>
      <c r="P343" s="47" t="s">
        <v>206</v>
      </c>
      <c r="Q343" s="442">
        <v>4</v>
      </c>
      <c r="R343" s="47" t="s">
        <v>4595</v>
      </c>
      <c r="S343" s="43">
        <v>10.3</v>
      </c>
      <c r="T343" s="43" t="s">
        <v>4596</v>
      </c>
      <c r="U343" s="43"/>
      <c r="V343" s="43"/>
      <c r="W343" s="43"/>
      <c r="X343" s="1"/>
      <c r="Y343" s="46">
        <v>6.4</v>
      </c>
      <c r="Z343" s="46"/>
      <c r="AA343" s="2"/>
      <c r="AB343" s="43"/>
      <c r="AC343" s="87"/>
      <c r="AD343" s="1"/>
      <c r="AE343" s="3"/>
      <c r="AF343" s="46"/>
      <c r="AG343" s="1"/>
      <c r="AH343" s="43"/>
      <c r="AI343" s="43"/>
      <c r="AJ343" s="43"/>
      <c r="AK343" s="37"/>
      <c r="AL343" s="47"/>
      <c r="AM343" s="49">
        <f>Terre!$G58/Terre!$N58</f>
        <v>3683.7631056956648</v>
      </c>
    </row>
    <row r="344" spans="1:39" s="60" customFormat="1" ht="47.25" hidden="1" customHeight="1">
      <c r="A344" s="187">
        <v>28460047</v>
      </c>
      <c r="B344" s="43"/>
      <c r="C344" s="51">
        <v>45279</v>
      </c>
      <c r="D344" s="37"/>
      <c r="E344" s="37"/>
      <c r="F344" s="45" t="s">
        <v>6556</v>
      </c>
      <c r="G344" s="1">
        <v>1050000</v>
      </c>
      <c r="H344" s="1"/>
      <c r="I344" s="43" t="s">
        <v>53</v>
      </c>
      <c r="J344" s="43" t="s">
        <v>1963</v>
      </c>
      <c r="K344" s="43" t="s">
        <v>6557</v>
      </c>
      <c r="L344" s="4" t="s">
        <v>6558</v>
      </c>
      <c r="M344" s="7" t="s">
        <v>6559</v>
      </c>
      <c r="N344" s="46">
        <f>9.78+24.41+0.44+0.12+51.87+9.05+14.53</f>
        <v>110.19999999999999</v>
      </c>
      <c r="O344" s="43" t="s">
        <v>18</v>
      </c>
      <c r="P344" s="47" t="s">
        <v>6560</v>
      </c>
      <c r="Q344" s="267">
        <v>4</v>
      </c>
      <c r="R344" s="47" t="s">
        <v>6561</v>
      </c>
      <c r="S344" s="43">
        <f>33.2+1.3+1.4+2.5+2.9+6.3+21.9</f>
        <v>69.5</v>
      </c>
      <c r="T344" s="43" t="s">
        <v>4596</v>
      </c>
      <c r="U344" s="43"/>
      <c r="V344" s="43"/>
      <c r="W344" s="43"/>
      <c r="X344" s="1"/>
      <c r="Y344" s="46">
        <f>18.1+8.2+3.4+1.6</f>
        <v>31.3</v>
      </c>
      <c r="Z344" s="46"/>
      <c r="AA344" s="2"/>
      <c r="AB344" s="43"/>
      <c r="AC344" s="87" t="s">
        <v>6562</v>
      </c>
      <c r="AD344" s="1"/>
      <c r="AE344" s="3"/>
      <c r="AF344" s="46" t="s">
        <v>6563</v>
      </c>
      <c r="AG344" s="1"/>
      <c r="AH344" s="43"/>
      <c r="AI344" s="43"/>
      <c r="AJ344" s="43"/>
      <c r="AK344" s="37" t="s">
        <v>6564</v>
      </c>
      <c r="AL344" s="47" t="s">
        <v>6565</v>
      </c>
      <c r="AM344" s="1">
        <f t="shared" ref="AM344:AM360" si="14">G344/N344</f>
        <v>9528.1306715063529</v>
      </c>
    </row>
    <row r="345" spans="1:39" s="60" customFormat="1" ht="47.25" customHeight="1">
      <c r="A345" s="187">
        <v>28466061</v>
      </c>
      <c r="B345" s="43"/>
      <c r="C345" s="51">
        <v>45281</v>
      </c>
      <c r="D345" s="37" t="s">
        <v>6566</v>
      </c>
      <c r="E345" s="37" t="s">
        <v>6567</v>
      </c>
      <c r="F345" s="45" t="s">
        <v>6568</v>
      </c>
      <c r="G345" s="16">
        <v>792040</v>
      </c>
      <c r="H345" s="16"/>
      <c r="I345" s="43"/>
      <c r="J345" s="43" t="s">
        <v>5227</v>
      </c>
      <c r="K345" s="43">
        <v>0</v>
      </c>
      <c r="L345" s="25"/>
      <c r="M345" s="26"/>
      <c r="N345" s="46"/>
      <c r="O345" s="43"/>
      <c r="P345" s="47"/>
      <c r="Q345" s="267"/>
      <c r="R345" s="47"/>
      <c r="S345" s="43"/>
      <c r="T345" s="43"/>
      <c r="U345" s="43"/>
      <c r="V345" s="43"/>
      <c r="W345" s="43"/>
      <c r="X345" s="16"/>
      <c r="Y345" s="46"/>
      <c r="Z345" s="46"/>
      <c r="AA345" s="102"/>
      <c r="AB345" s="43"/>
      <c r="AC345" s="87"/>
      <c r="AD345" s="16"/>
      <c r="AE345" s="103"/>
      <c r="AF345" s="46"/>
      <c r="AG345" s="16"/>
      <c r="AH345" s="43"/>
      <c r="AI345" s="43"/>
      <c r="AJ345" s="43" t="s">
        <v>6252</v>
      </c>
      <c r="AK345" s="37"/>
      <c r="AL345" s="47"/>
      <c r="AM345" s="74" t="e">
        <f t="shared" si="14"/>
        <v>#DIV/0!</v>
      </c>
    </row>
    <row r="346" spans="1:39" ht="47.25" hidden="1" customHeight="1">
      <c r="A346" s="196">
        <v>28469573</v>
      </c>
      <c r="C346" s="317">
        <v>45287</v>
      </c>
      <c r="D346" s="247" t="s">
        <v>6569</v>
      </c>
      <c r="E346" s="247" t="s">
        <v>6570</v>
      </c>
      <c r="F346" t="s">
        <v>6571</v>
      </c>
      <c r="G346" s="94">
        <v>315000</v>
      </c>
      <c r="I346" t="s">
        <v>53</v>
      </c>
      <c r="J346" t="s">
        <v>6572</v>
      </c>
      <c r="L346" s="96">
        <v>47.676296000000001</v>
      </c>
      <c r="M346" s="96">
        <v>-69.014110000000002</v>
      </c>
      <c r="N346" s="63">
        <v>84.07</v>
      </c>
      <c r="O346" t="s">
        <v>18</v>
      </c>
      <c r="P346" t="s">
        <v>173</v>
      </c>
      <c r="Q346" s="436">
        <v>5</v>
      </c>
      <c r="R346" t="s">
        <v>6573</v>
      </c>
      <c r="S346">
        <v>52.6</v>
      </c>
      <c r="AK346" t="s">
        <v>6574</v>
      </c>
      <c r="AM346" s="1">
        <f t="shared" si="14"/>
        <v>3746.8776019983352</v>
      </c>
    </row>
    <row r="347" spans="1:39" ht="47.25" hidden="1" customHeight="1">
      <c r="A347" s="196">
        <v>28470904</v>
      </c>
      <c r="C347" s="317">
        <v>45288</v>
      </c>
      <c r="D347" s="249" t="s">
        <v>6575</v>
      </c>
      <c r="E347" s="249" t="s">
        <v>6576</v>
      </c>
      <c r="F347" s="310" t="s">
        <v>6577</v>
      </c>
      <c r="G347" s="94">
        <v>500000</v>
      </c>
      <c r="I347" t="s">
        <v>611</v>
      </c>
      <c r="J347" t="s">
        <v>6578</v>
      </c>
      <c r="L347" s="96">
        <v>45.058059</v>
      </c>
      <c r="M347" s="96">
        <v>-73.198272000000003</v>
      </c>
      <c r="N347" s="63">
        <v>32.049999999999997</v>
      </c>
      <c r="O347" t="s">
        <v>18</v>
      </c>
      <c r="P347" t="s">
        <v>35</v>
      </c>
      <c r="Q347" s="436">
        <v>3</v>
      </c>
      <c r="R347" t="s">
        <v>155</v>
      </c>
      <c r="S347">
        <v>19.02</v>
      </c>
      <c r="U347">
        <f>Table3[[#This Row],[Superficie cultivée (ha)]]-0.7-7.8</f>
        <v>10.52</v>
      </c>
      <c r="V347" s="43" t="s">
        <v>5038</v>
      </c>
      <c r="W347" s="43"/>
      <c r="Y347" s="63">
        <f>Table3[[#This Row],[Superficie totale (ha)]]-Table3[[#This Row],[Superficie cultivée (ha)]]</f>
        <v>13.029999999999998</v>
      </c>
      <c r="AK347" t="s">
        <v>6579</v>
      </c>
      <c r="AM347" s="1">
        <f t="shared" si="14"/>
        <v>15600.624024961</v>
      </c>
    </row>
    <row r="348" spans="1:39" ht="47.25" hidden="1" customHeight="1">
      <c r="A348" s="187">
        <v>28734846</v>
      </c>
      <c r="B348" s="43"/>
      <c r="C348" s="51">
        <v>45306</v>
      </c>
      <c r="D348" s="37" t="s">
        <v>6580</v>
      </c>
      <c r="E348" s="37" t="s">
        <v>6581</v>
      </c>
      <c r="F348" s="45" t="s">
        <v>6582</v>
      </c>
      <c r="G348" s="16">
        <v>510000</v>
      </c>
      <c r="H348" s="16"/>
      <c r="I348" s="43" t="s">
        <v>654</v>
      </c>
      <c r="J348" s="43" t="s">
        <v>4143</v>
      </c>
      <c r="K348" s="43" t="s">
        <v>6583</v>
      </c>
      <c r="L348" s="25" t="s">
        <v>6584</v>
      </c>
      <c r="M348" s="26" t="s">
        <v>6585</v>
      </c>
      <c r="N348" s="46">
        <f>5.25+26.24</f>
        <v>31.49</v>
      </c>
      <c r="O348" s="43" t="s">
        <v>18</v>
      </c>
      <c r="P348" s="47" t="s">
        <v>206</v>
      </c>
      <c r="Q348" s="267">
        <v>3</v>
      </c>
      <c r="R348" s="47" t="s">
        <v>155</v>
      </c>
      <c r="S348" s="43">
        <f>6.2+3.2+5.8+3.4+1.6</f>
        <v>20.2</v>
      </c>
      <c r="T348" s="43" t="s">
        <v>4781</v>
      </c>
      <c r="U348" s="43"/>
      <c r="V348" s="43"/>
      <c r="W348" s="43"/>
      <c r="X348" s="16"/>
      <c r="Y348" s="46">
        <f>5.4+3.6</f>
        <v>9</v>
      </c>
      <c r="Z348" s="46"/>
      <c r="AA348" s="102"/>
      <c r="AB348" s="43"/>
      <c r="AC348" s="87"/>
      <c r="AD348" s="16"/>
      <c r="AE348" s="103"/>
      <c r="AF348" s="46"/>
      <c r="AG348" s="16"/>
      <c r="AH348" s="43"/>
      <c r="AI348" s="43"/>
      <c r="AJ348" s="43"/>
      <c r="AK348" s="37"/>
      <c r="AL348" s="47" t="s">
        <v>6586</v>
      </c>
      <c r="AM348" s="16">
        <f t="shared" si="14"/>
        <v>16195.617656398857</v>
      </c>
    </row>
    <row r="349" spans="1:39" ht="47.25" hidden="1" customHeight="1">
      <c r="A349" s="187">
        <v>28487851</v>
      </c>
      <c r="B349" s="43"/>
      <c r="C349" s="51">
        <v>45307</v>
      </c>
      <c r="D349" s="37" t="s">
        <v>6587</v>
      </c>
      <c r="E349" s="37" t="s">
        <v>6588</v>
      </c>
      <c r="F349" s="45">
        <v>3023246</v>
      </c>
      <c r="G349" s="16">
        <v>800000</v>
      </c>
      <c r="H349" s="16"/>
      <c r="I349" s="43" t="s">
        <v>5746</v>
      </c>
      <c r="J349" s="43" t="s">
        <v>5227</v>
      </c>
      <c r="K349" s="43" t="s">
        <v>6524</v>
      </c>
      <c r="L349" s="25"/>
      <c r="M349" s="26"/>
      <c r="N349" s="46">
        <v>12.76</v>
      </c>
      <c r="O349" s="43">
        <v>0</v>
      </c>
      <c r="P349" s="47"/>
      <c r="Q349" s="267" t="s">
        <v>6589</v>
      </c>
      <c r="R349" s="47"/>
      <c r="S349" s="43">
        <v>11</v>
      </c>
      <c r="T349" s="43"/>
      <c r="U349" s="43" t="s">
        <v>71</v>
      </c>
      <c r="V349" s="43" t="s">
        <v>6590</v>
      </c>
      <c r="W349" s="43"/>
      <c r="X349" s="16"/>
      <c r="Y349" s="46">
        <v>0.7</v>
      </c>
      <c r="Z349" s="46"/>
      <c r="AA349" s="102"/>
      <c r="AB349" s="43"/>
      <c r="AC349" s="87"/>
      <c r="AD349" s="16"/>
      <c r="AE349" s="103"/>
      <c r="AF349" s="46"/>
      <c r="AG349" s="16"/>
      <c r="AH349" s="43"/>
      <c r="AI349" s="43"/>
      <c r="AJ349" s="43"/>
      <c r="AK349" s="37"/>
      <c r="AL349" s="47"/>
      <c r="AM349" s="74">
        <f t="shared" si="14"/>
        <v>62695.924764890282</v>
      </c>
    </row>
    <row r="350" spans="1:39" ht="59.25" hidden="1" customHeight="1">
      <c r="A350" s="196">
        <v>28486307</v>
      </c>
      <c r="C350" s="317">
        <v>45307</v>
      </c>
      <c r="F350" s="269">
        <v>3480730</v>
      </c>
      <c r="G350" s="62">
        <v>210000</v>
      </c>
      <c r="H350" s="62"/>
      <c r="I350" s="43" t="s">
        <v>58</v>
      </c>
      <c r="J350" t="s">
        <v>2346</v>
      </c>
      <c r="K350" t="s">
        <v>6591</v>
      </c>
      <c r="L350" s="288" t="s">
        <v>6592</v>
      </c>
      <c r="M350" s="288" t="s">
        <v>6593</v>
      </c>
      <c r="N350" s="63">
        <v>15.74</v>
      </c>
      <c r="O350" s="43" t="s">
        <v>52</v>
      </c>
      <c r="P350" s="47" t="s">
        <v>35</v>
      </c>
      <c r="Q350" s="436">
        <v>5</v>
      </c>
      <c r="R350" t="s">
        <v>4780</v>
      </c>
      <c r="S350">
        <v>14.5</v>
      </c>
      <c r="T350" s="43" t="s">
        <v>4596</v>
      </c>
      <c r="X350" s="62"/>
      <c r="Y350" s="63">
        <v>0.5</v>
      </c>
      <c r="AA350" s="64"/>
      <c r="AD350" s="62"/>
      <c r="AE350" s="62"/>
      <c r="AG350" s="62"/>
      <c r="AK350" t="s">
        <v>6594</v>
      </c>
      <c r="AM350" s="16">
        <f t="shared" si="14"/>
        <v>13341.804320203304</v>
      </c>
    </row>
    <row r="351" spans="1:39" ht="47.25" customHeight="1">
      <c r="A351" s="187">
        <v>28496528</v>
      </c>
      <c r="B351" s="43"/>
      <c r="C351" s="51">
        <v>45310</v>
      </c>
      <c r="D351" s="37" t="s">
        <v>6595</v>
      </c>
      <c r="E351" s="37" t="s">
        <v>6596</v>
      </c>
      <c r="F351" s="45">
        <v>6591457</v>
      </c>
      <c r="G351" s="16">
        <v>650000</v>
      </c>
      <c r="H351" s="16"/>
      <c r="I351" s="43"/>
      <c r="J351" s="43" t="s">
        <v>6597</v>
      </c>
      <c r="K351" s="43" t="s">
        <v>5525</v>
      </c>
      <c r="L351" s="25"/>
      <c r="M351" s="26"/>
      <c r="N351" s="46"/>
      <c r="O351" s="43"/>
      <c r="P351" s="47"/>
      <c r="Q351" s="267"/>
      <c r="R351" s="47"/>
      <c r="S351" s="43"/>
      <c r="T351" s="43"/>
      <c r="U351" s="43"/>
      <c r="V351" s="43"/>
      <c r="W351" s="43"/>
      <c r="X351" s="16"/>
      <c r="Y351" s="46"/>
      <c r="Z351" s="46"/>
      <c r="AA351" s="102"/>
      <c r="AB351" s="43"/>
      <c r="AC351" s="87"/>
      <c r="AD351" s="16"/>
      <c r="AE351" s="103"/>
      <c r="AF351" s="46"/>
      <c r="AG351" s="16"/>
      <c r="AH351" s="43"/>
      <c r="AI351" s="43"/>
      <c r="AJ351" s="43" t="s">
        <v>6252</v>
      </c>
      <c r="AK351" s="37"/>
      <c r="AL351" s="47"/>
      <c r="AM351" s="74" t="e">
        <f t="shared" si="14"/>
        <v>#DIV/0!</v>
      </c>
    </row>
    <row r="352" spans="1:39" ht="47.25" hidden="1" customHeight="1">
      <c r="A352" s="194">
        <v>28496638</v>
      </c>
      <c r="B352" s="139"/>
      <c r="C352" s="148">
        <v>45313</v>
      </c>
      <c r="D352" s="60" t="s">
        <v>2135</v>
      </c>
      <c r="E352" s="60" t="s">
        <v>6598</v>
      </c>
      <c r="F352" s="140" t="s">
        <v>6599</v>
      </c>
      <c r="G352" s="150">
        <v>400000</v>
      </c>
      <c r="H352" s="150"/>
      <c r="I352" s="139" t="s">
        <v>48</v>
      </c>
      <c r="J352" s="139" t="s">
        <v>6600</v>
      </c>
      <c r="K352" s="139" t="s">
        <v>6601</v>
      </c>
      <c r="L352" s="151">
        <v>45.618385000000004</v>
      </c>
      <c r="M352" s="155" t="s">
        <v>6602</v>
      </c>
      <c r="N352" s="144">
        <v>13.86</v>
      </c>
      <c r="O352" s="139" t="s">
        <v>36</v>
      </c>
      <c r="P352" s="60" t="s">
        <v>1679</v>
      </c>
      <c r="Q352" s="439">
        <v>3</v>
      </c>
      <c r="R352" s="60" t="s">
        <v>4687</v>
      </c>
      <c r="S352" s="139">
        <v>3.9</v>
      </c>
      <c r="T352" s="139" t="s">
        <v>4596</v>
      </c>
      <c r="U352" s="139"/>
      <c r="V352" s="139"/>
      <c r="W352" s="139"/>
      <c r="X352" s="150"/>
      <c r="Y352" s="144">
        <f>Table3[[#This Row],[Superficie totale (ha)]]-Table3[[#This Row],[Superficie cultivée (ha)]]</f>
        <v>9.9599999999999991</v>
      </c>
      <c r="Z352" s="144"/>
      <c r="AA352" s="152"/>
      <c r="AB352" s="139"/>
      <c r="AC352" s="146"/>
      <c r="AD352" s="150"/>
      <c r="AE352" s="159"/>
      <c r="AF352" s="144"/>
      <c r="AG352" s="150"/>
      <c r="AH352" s="139"/>
      <c r="AI352" s="139"/>
      <c r="AJ352" s="139"/>
      <c r="AK352" s="60"/>
      <c r="AL352" s="60"/>
      <c r="AM352" s="150">
        <f t="shared" si="14"/>
        <v>28860.028860028862</v>
      </c>
    </row>
    <row r="353" spans="1:39" ht="47.25" hidden="1" customHeight="1">
      <c r="A353" s="239" t="s">
        <v>6603</v>
      </c>
      <c r="C353" s="317">
        <v>45316</v>
      </c>
      <c r="D353" s="239" t="s">
        <v>6604</v>
      </c>
      <c r="E353" s="239" t="s">
        <v>6605</v>
      </c>
      <c r="F353" s="239" t="s">
        <v>6606</v>
      </c>
      <c r="G353" s="94">
        <v>750000</v>
      </c>
      <c r="I353" t="s">
        <v>1597</v>
      </c>
      <c r="J353" t="s">
        <v>6607</v>
      </c>
      <c r="K353" s="239" t="s">
        <v>6608</v>
      </c>
      <c r="L353" s="96">
        <v>45.215100999999997</v>
      </c>
      <c r="M353" s="96">
        <v>-72.069153999999997</v>
      </c>
      <c r="N353" s="63">
        <v>43.76</v>
      </c>
      <c r="O353" t="s">
        <v>18</v>
      </c>
      <c r="P353" t="s">
        <v>35</v>
      </c>
      <c r="Q353" s="436">
        <v>3</v>
      </c>
      <c r="R353" t="s">
        <v>6542</v>
      </c>
      <c r="S353">
        <v>5.6</v>
      </c>
      <c r="T353" t="s">
        <v>6609</v>
      </c>
      <c r="Y353" s="63">
        <v>10.1</v>
      </c>
      <c r="AK353" t="s">
        <v>6610</v>
      </c>
      <c r="AM353" s="1">
        <f t="shared" si="14"/>
        <v>17138.939670932359</v>
      </c>
    </row>
    <row r="354" spans="1:39" ht="47.25" hidden="1" customHeight="1">
      <c r="A354" s="196">
        <v>28505429</v>
      </c>
      <c r="C354" s="317">
        <v>45317</v>
      </c>
      <c r="F354" t="s">
        <v>6611</v>
      </c>
      <c r="G354" s="62">
        <v>555000</v>
      </c>
      <c r="H354" s="62"/>
      <c r="I354" s="43" t="s">
        <v>58</v>
      </c>
      <c r="J354" t="s">
        <v>61</v>
      </c>
      <c r="K354" t="s">
        <v>6612</v>
      </c>
      <c r="L354" s="288" t="s">
        <v>6613</v>
      </c>
      <c r="M354" s="289" t="s">
        <v>6614</v>
      </c>
      <c r="N354" s="63">
        <f>5.74+28.65+2.29</f>
        <v>36.68</v>
      </c>
      <c r="O354" s="43" t="s">
        <v>18</v>
      </c>
      <c r="P354" s="47" t="s">
        <v>35</v>
      </c>
      <c r="Q354" s="436">
        <v>3</v>
      </c>
      <c r="R354" t="s">
        <v>6052</v>
      </c>
      <c r="S354">
        <f>7.7+8.9+9.4+9.3</f>
        <v>35.299999999999997</v>
      </c>
      <c r="T354" s="43" t="s">
        <v>4596</v>
      </c>
      <c r="X354" s="62"/>
      <c r="AA354" s="64"/>
      <c r="AD354" s="62"/>
      <c r="AE354" s="62"/>
      <c r="AG354" s="62"/>
      <c r="AM354" s="16">
        <f t="shared" si="14"/>
        <v>15130.861504907307</v>
      </c>
    </row>
    <row r="355" spans="1:39" ht="47.25" customHeight="1">
      <c r="A355" s="196" t="s">
        <v>6615</v>
      </c>
      <c r="C355" s="317">
        <v>45320</v>
      </c>
      <c r="F355" t="s">
        <v>6616</v>
      </c>
      <c r="I355" t="s">
        <v>39</v>
      </c>
      <c r="J355" t="s">
        <v>40</v>
      </c>
      <c r="AM355" s="1" t="e">
        <f t="shared" si="14"/>
        <v>#DIV/0!</v>
      </c>
    </row>
    <row r="356" spans="1:39" ht="47.25" hidden="1" customHeight="1">
      <c r="A356" s="187">
        <v>28512708</v>
      </c>
      <c r="B356" s="43"/>
      <c r="C356" s="51">
        <v>45321</v>
      </c>
      <c r="D356" s="37" t="s">
        <v>6617</v>
      </c>
      <c r="E356" s="37" t="s">
        <v>6618</v>
      </c>
      <c r="F356" s="45" t="s">
        <v>6619</v>
      </c>
      <c r="G356" s="16">
        <v>1048000</v>
      </c>
      <c r="H356" s="16"/>
      <c r="I356" s="43" t="s">
        <v>5746</v>
      </c>
      <c r="J356" s="43" t="s">
        <v>5463</v>
      </c>
      <c r="K356" s="43" t="s">
        <v>6620</v>
      </c>
      <c r="L356" s="25"/>
      <c r="M356" s="26"/>
      <c r="N356" s="46">
        <v>32.700000000000003</v>
      </c>
      <c r="O356" s="43" t="s">
        <v>5030</v>
      </c>
      <c r="P356" s="47"/>
      <c r="Q356" s="267" t="s">
        <v>6621</v>
      </c>
      <c r="R356" s="47"/>
      <c r="S356" s="43">
        <v>14.9</v>
      </c>
      <c r="T356" s="43"/>
      <c r="U356" s="43" t="s">
        <v>71</v>
      </c>
      <c r="V356" s="43" t="s">
        <v>6622</v>
      </c>
      <c r="W356" s="43"/>
      <c r="X356" s="16"/>
      <c r="Y356" s="46">
        <v>17.700000000000003</v>
      </c>
      <c r="Z356" s="46"/>
      <c r="AA356" s="102"/>
      <c r="AB356" s="43"/>
      <c r="AC356" s="87"/>
      <c r="AD356" s="16"/>
      <c r="AE356" s="103"/>
      <c r="AF356" s="46"/>
      <c r="AG356" s="16"/>
      <c r="AH356" s="43"/>
      <c r="AI356" s="43"/>
      <c r="AJ356" s="43"/>
      <c r="AK356" s="37"/>
      <c r="AL356" s="47"/>
      <c r="AM356" s="74">
        <f t="shared" si="14"/>
        <v>32048.92966360856</v>
      </c>
    </row>
    <row r="357" spans="1:39" s="178" customFormat="1" ht="29.25" hidden="1" customHeight="1">
      <c r="A357" s="196">
        <v>28527200</v>
      </c>
      <c r="B357"/>
      <c r="C357" s="317">
        <v>45330</v>
      </c>
      <c r="D357" s="249" t="s">
        <v>5848</v>
      </c>
      <c r="E357" t="s">
        <v>6623</v>
      </c>
      <c r="F357" s="249" t="s">
        <v>6624</v>
      </c>
      <c r="G357" s="94">
        <v>204710</v>
      </c>
      <c r="H357" s="94"/>
      <c r="I357" t="s">
        <v>29</v>
      </c>
      <c r="J357" t="s">
        <v>6625</v>
      </c>
      <c r="K357" s="249" t="s">
        <v>6626</v>
      </c>
      <c r="L357" s="96">
        <v>47.006129000000001</v>
      </c>
      <c r="M357" s="96">
        <v>-70.442141000000007</v>
      </c>
      <c r="N357" s="63">
        <v>32.65</v>
      </c>
      <c r="O357" t="s">
        <v>18</v>
      </c>
      <c r="P357" t="s">
        <v>35</v>
      </c>
      <c r="Q357" s="436">
        <v>3</v>
      </c>
      <c r="R357" t="s">
        <v>4669</v>
      </c>
      <c r="S357">
        <v>15.2</v>
      </c>
      <c r="T357"/>
      <c r="U357"/>
      <c r="V357"/>
      <c r="W357"/>
      <c r="X357" s="94"/>
      <c r="Y357" s="63">
        <v>16.399999999999999</v>
      </c>
      <c r="Z357" s="63"/>
      <c r="AA357" s="97"/>
      <c r="AB357"/>
      <c r="AC357" s="65"/>
      <c r="AD357" s="94"/>
      <c r="AE357" s="94"/>
      <c r="AF357" s="63"/>
      <c r="AG357" s="94"/>
      <c r="AH357"/>
      <c r="AI357"/>
      <c r="AJ357"/>
      <c r="AK357" t="s">
        <v>6627</v>
      </c>
      <c r="AL357"/>
      <c r="AM357" s="1">
        <f t="shared" si="14"/>
        <v>6269.8315467075045</v>
      </c>
    </row>
    <row r="358" spans="1:39" ht="47.25" customHeight="1">
      <c r="A358" s="187">
        <v>28532523</v>
      </c>
      <c r="B358" s="43"/>
      <c r="C358" s="51">
        <v>45334</v>
      </c>
      <c r="D358" s="37" t="s">
        <v>6628</v>
      </c>
      <c r="E358" s="37" t="s">
        <v>6629</v>
      </c>
      <c r="F358" s="45">
        <v>4828925</v>
      </c>
      <c r="G358" s="16" t="s">
        <v>6630</v>
      </c>
      <c r="H358" s="16"/>
      <c r="I358" s="43"/>
      <c r="J358" s="43" t="s">
        <v>6597</v>
      </c>
      <c r="K358" s="43">
        <v>0</v>
      </c>
      <c r="L358" s="25"/>
      <c r="M358" s="26"/>
      <c r="N358" s="46"/>
      <c r="O358" s="43"/>
      <c r="P358" s="47"/>
      <c r="Q358" s="267"/>
      <c r="R358" s="47"/>
      <c r="S358" s="43"/>
      <c r="T358" s="43"/>
      <c r="U358" s="43"/>
      <c r="V358" s="43"/>
      <c r="W358" s="43"/>
      <c r="X358" s="16"/>
      <c r="Y358" s="46"/>
      <c r="Z358" s="46"/>
      <c r="AA358" s="102"/>
      <c r="AB358" s="43"/>
      <c r="AC358" s="87"/>
      <c r="AD358" s="16"/>
      <c r="AE358" s="103"/>
      <c r="AF358" s="46"/>
      <c r="AG358" s="16"/>
      <c r="AH358" s="43"/>
      <c r="AI358" s="43"/>
      <c r="AJ358" s="43" t="s">
        <v>5061</v>
      </c>
      <c r="AK358" s="37"/>
      <c r="AL358" s="47"/>
      <c r="AM358" s="74" t="e">
        <f t="shared" si="14"/>
        <v>#VALUE!</v>
      </c>
    </row>
    <row r="359" spans="1:39" ht="47.25" customHeight="1">
      <c r="A359" s="196" t="s">
        <v>6631</v>
      </c>
      <c r="C359" s="317">
        <v>45334</v>
      </c>
      <c r="F359" t="s">
        <v>6632</v>
      </c>
      <c r="G359" s="94">
        <v>2145000</v>
      </c>
      <c r="I359" t="s">
        <v>1363</v>
      </c>
      <c r="AM359" s="1" t="e">
        <f t="shared" si="14"/>
        <v>#DIV/0!</v>
      </c>
    </row>
    <row r="360" spans="1:39" ht="47.25" hidden="1" customHeight="1">
      <c r="A360" s="187">
        <v>28537190</v>
      </c>
      <c r="B360" s="43"/>
      <c r="C360" s="51">
        <v>45337</v>
      </c>
      <c r="D360" s="249" t="s">
        <v>6633</v>
      </c>
      <c r="E360" s="249" t="s">
        <v>6634</v>
      </c>
      <c r="F360" s="249" t="s">
        <v>6635</v>
      </c>
      <c r="G360" s="1">
        <v>395000</v>
      </c>
      <c r="H360" s="1"/>
      <c r="I360" s="43" t="s">
        <v>654</v>
      </c>
      <c r="J360" s="43" t="s">
        <v>4143</v>
      </c>
      <c r="K360" s="249" t="s">
        <v>6089</v>
      </c>
      <c r="L360" s="4">
        <v>46.785333000000001</v>
      </c>
      <c r="M360" s="7">
        <v>-71.710106999999994</v>
      </c>
      <c r="N360" s="46">
        <v>21.26</v>
      </c>
      <c r="O360" s="43" t="s">
        <v>18</v>
      </c>
      <c r="P360" s="47" t="s">
        <v>6201</v>
      </c>
      <c r="Q360" s="267">
        <v>3</v>
      </c>
      <c r="R360" s="47" t="s">
        <v>155</v>
      </c>
      <c r="S360" s="43">
        <v>11.26</v>
      </c>
      <c r="T360" s="43" t="s">
        <v>4596</v>
      </c>
      <c r="U360" s="43"/>
      <c r="V360" s="43"/>
      <c r="W360" s="43"/>
      <c r="X360" s="1"/>
      <c r="Y360" s="46">
        <v>9</v>
      </c>
      <c r="Z360" s="46"/>
      <c r="AA360" s="2"/>
      <c r="AB360" s="43"/>
      <c r="AC360" s="87"/>
      <c r="AD360" s="1"/>
      <c r="AE360" s="3"/>
      <c r="AF360" s="46"/>
      <c r="AG360" s="1"/>
      <c r="AH360" s="43"/>
      <c r="AI360" s="43"/>
      <c r="AJ360" s="43"/>
      <c r="AK360" s="37" t="s">
        <v>6636</v>
      </c>
      <c r="AL360" s="47"/>
      <c r="AM360" s="1">
        <f t="shared" si="14"/>
        <v>18579.492003762934</v>
      </c>
    </row>
    <row r="361" spans="1:39" ht="47.25" hidden="1" customHeight="1">
      <c r="A361" s="187">
        <v>28540323</v>
      </c>
      <c r="B361" s="43"/>
      <c r="C361" s="51">
        <v>45338</v>
      </c>
      <c r="D361" s="37" t="s">
        <v>6637</v>
      </c>
      <c r="E361" s="37" t="s">
        <v>6638</v>
      </c>
      <c r="F361" s="133" t="s">
        <v>6639</v>
      </c>
      <c r="G361" s="94">
        <v>1600000</v>
      </c>
      <c r="H361" s="1"/>
      <c r="I361" s="43" t="s">
        <v>4880</v>
      </c>
      <c r="J361" s="43" t="s">
        <v>1031</v>
      </c>
      <c r="K361" s="43" t="s">
        <v>6640</v>
      </c>
      <c r="L361" s="4">
        <v>46.558352999999997</v>
      </c>
      <c r="M361" s="7" t="s">
        <v>6641</v>
      </c>
      <c r="N361" s="46">
        <v>22.92</v>
      </c>
      <c r="O361" s="43" t="s">
        <v>18</v>
      </c>
      <c r="P361" s="47" t="s">
        <v>35</v>
      </c>
      <c r="Q361" s="267">
        <v>4</v>
      </c>
      <c r="R361" s="47" t="s">
        <v>4801</v>
      </c>
      <c r="S361" s="43">
        <v>20.399999999999999</v>
      </c>
      <c r="T361" s="43" t="s">
        <v>4828</v>
      </c>
      <c r="U361" s="43">
        <v>0</v>
      </c>
      <c r="V361" s="43" t="s">
        <v>4628</v>
      </c>
      <c r="W361" s="43"/>
      <c r="X361" s="1"/>
      <c r="Y361" s="46">
        <v>0.92</v>
      </c>
      <c r="Z361" s="46"/>
      <c r="AA361" s="2"/>
      <c r="AB361" s="43"/>
      <c r="AC361" s="87"/>
      <c r="AD361" s="1"/>
      <c r="AE361" s="3"/>
      <c r="AF361" s="46"/>
      <c r="AG361" s="1"/>
      <c r="AH361" s="43"/>
      <c r="AI361" s="43"/>
      <c r="AJ361" s="43"/>
      <c r="AK361" s="37"/>
      <c r="AL361" s="47"/>
      <c r="AM361" s="49">
        <f>Terre!$G57/Terre!$N57</f>
        <v>43494.825323976038</v>
      </c>
    </row>
    <row r="362" spans="1:39" ht="47.25" hidden="1" customHeight="1">
      <c r="A362" s="187">
        <v>28741455</v>
      </c>
      <c r="B362" s="43"/>
      <c r="C362" s="51">
        <v>45341</v>
      </c>
      <c r="D362" s="37" t="s">
        <v>6642</v>
      </c>
      <c r="E362" s="37" t="s">
        <v>6643</v>
      </c>
      <c r="F362" s="45">
        <v>5725921</v>
      </c>
      <c r="G362" s="16">
        <v>100000</v>
      </c>
      <c r="H362" s="16"/>
      <c r="I362" s="43" t="s">
        <v>16</v>
      </c>
      <c r="J362" s="43" t="s">
        <v>6644</v>
      </c>
      <c r="K362" s="43" t="s">
        <v>6645</v>
      </c>
      <c r="L362" s="25" t="s">
        <v>6646</v>
      </c>
      <c r="M362" s="26" t="s">
        <v>6647</v>
      </c>
      <c r="N362" s="46">
        <v>3.03</v>
      </c>
      <c r="O362" s="43" t="s">
        <v>18</v>
      </c>
      <c r="P362" s="47" t="s">
        <v>4702</v>
      </c>
      <c r="Q362" s="267" t="s">
        <v>4703</v>
      </c>
      <c r="R362" s="47" t="s">
        <v>4595</v>
      </c>
      <c r="S362" s="43">
        <v>3.03</v>
      </c>
      <c r="T362" s="43" t="s">
        <v>4828</v>
      </c>
      <c r="U362" s="43">
        <v>0</v>
      </c>
      <c r="V362" s="43" t="s">
        <v>5029</v>
      </c>
      <c r="W362" s="43"/>
      <c r="X362" s="16"/>
      <c r="Y362" s="46">
        <v>0</v>
      </c>
      <c r="Z362" s="46"/>
      <c r="AA362" s="102"/>
      <c r="AB362" s="43"/>
      <c r="AC362" s="87"/>
      <c r="AD362" s="16"/>
      <c r="AE362" s="103"/>
      <c r="AF362" s="46"/>
      <c r="AG362" s="16"/>
      <c r="AH362" s="43"/>
      <c r="AI362" s="43"/>
      <c r="AJ362" s="43"/>
      <c r="AK362" s="37"/>
      <c r="AL362" s="47"/>
      <c r="AM362" s="49">
        <f>Terre!$G56/Terre!$N56</f>
        <v>42066.845946984249</v>
      </c>
    </row>
    <row r="363" spans="1:39" ht="47.25" hidden="1" customHeight="1">
      <c r="A363" s="196">
        <v>28542859</v>
      </c>
      <c r="C363" s="317">
        <v>45342</v>
      </c>
      <c r="D363" t="s">
        <v>6648</v>
      </c>
      <c r="E363" t="s">
        <v>6649</v>
      </c>
      <c r="F363" t="s">
        <v>6650</v>
      </c>
      <c r="G363" s="94">
        <f>43740+1740600+840600</f>
        <v>2624940</v>
      </c>
      <c r="I363" t="s">
        <v>37</v>
      </c>
      <c r="J363" t="s">
        <v>4903</v>
      </c>
      <c r="K363" t="s">
        <v>4904</v>
      </c>
      <c r="L363" s="96" t="s">
        <v>6651</v>
      </c>
      <c r="M363" s="245" t="s">
        <v>6652</v>
      </c>
      <c r="N363" s="63">
        <f>33.06+0.83+15.96</f>
        <v>49.85</v>
      </c>
      <c r="O363" s="43" t="s">
        <v>36</v>
      </c>
      <c r="P363" t="s">
        <v>35</v>
      </c>
      <c r="Q363" s="436">
        <v>2</v>
      </c>
      <c r="R363" t="s">
        <v>4669</v>
      </c>
      <c r="S363">
        <v>48.5</v>
      </c>
      <c r="U363">
        <f>Table3[[#This Row],[Superficie cultivée (ha)]]-0.7</f>
        <v>47.8</v>
      </c>
      <c r="AM363" s="1">
        <f t="shared" ref="AM363:AM373" si="15">G363/N363</f>
        <v>52656.770310932799</v>
      </c>
    </row>
    <row r="364" spans="1:39" ht="47.25" customHeight="1">
      <c r="A364" s="196" t="s">
        <v>6653</v>
      </c>
      <c r="C364" s="317">
        <v>45342</v>
      </c>
      <c r="F364" t="s">
        <v>6654</v>
      </c>
      <c r="I364" t="s">
        <v>39</v>
      </c>
      <c r="J364" t="s">
        <v>3371</v>
      </c>
      <c r="AM364" s="1" t="e">
        <f t="shared" si="15"/>
        <v>#DIV/0!</v>
      </c>
    </row>
    <row r="365" spans="1:39" ht="47.25" hidden="1" customHeight="1">
      <c r="A365" s="196">
        <v>28546140</v>
      </c>
      <c r="C365" s="317">
        <v>45343</v>
      </c>
      <c r="D365" t="s">
        <v>6655</v>
      </c>
      <c r="E365" t="s">
        <v>6656</v>
      </c>
      <c r="F365" t="s">
        <v>6657</v>
      </c>
      <c r="G365" s="94">
        <v>850000</v>
      </c>
      <c r="I365" t="s">
        <v>37</v>
      </c>
      <c r="J365" t="s">
        <v>4903</v>
      </c>
      <c r="K365" t="s">
        <v>6658</v>
      </c>
      <c r="L365" s="96" t="s">
        <v>6659</v>
      </c>
      <c r="M365" s="245" t="s">
        <v>6660</v>
      </c>
      <c r="N365" s="63">
        <f>16.28+0.35</f>
        <v>16.630000000000003</v>
      </c>
      <c r="O365" s="43" t="s">
        <v>36</v>
      </c>
      <c r="P365" t="s">
        <v>35</v>
      </c>
      <c r="Q365" s="436">
        <v>2</v>
      </c>
      <c r="R365" t="s">
        <v>4669</v>
      </c>
      <c r="S365">
        <v>10.5</v>
      </c>
      <c r="Y365" s="63">
        <v>1.2</v>
      </c>
      <c r="AF365" s="63" t="s">
        <v>6661</v>
      </c>
      <c r="AK365" t="s">
        <v>6662</v>
      </c>
      <c r="AM365" s="1">
        <f t="shared" si="15"/>
        <v>51112.44738424533</v>
      </c>
    </row>
    <row r="366" spans="1:39" ht="47.25" hidden="1" customHeight="1">
      <c r="A366" s="187">
        <v>28546224</v>
      </c>
      <c r="B366" s="43"/>
      <c r="C366" s="51">
        <v>45343</v>
      </c>
      <c r="D366" s="37" t="s">
        <v>6663</v>
      </c>
      <c r="E366" s="247" t="s">
        <v>6664</v>
      </c>
      <c r="F366" s="247" t="s">
        <v>6665</v>
      </c>
      <c r="G366" s="1">
        <v>400000</v>
      </c>
      <c r="H366" s="1"/>
      <c r="I366" s="43" t="s">
        <v>1171</v>
      </c>
      <c r="J366" s="43" t="s">
        <v>6666</v>
      </c>
      <c r="K366" s="43" t="s">
        <v>6667</v>
      </c>
      <c r="L366" s="4">
        <v>45.820068999999997</v>
      </c>
      <c r="M366" s="7">
        <v>-71.715429</v>
      </c>
      <c r="N366" s="46">
        <v>66.63</v>
      </c>
      <c r="O366" s="43" t="s">
        <v>18</v>
      </c>
      <c r="P366" s="47" t="s">
        <v>154</v>
      </c>
      <c r="Q366" s="267">
        <v>5</v>
      </c>
      <c r="R366" s="47" t="s">
        <v>6573</v>
      </c>
      <c r="S366" s="43">
        <v>14.7</v>
      </c>
      <c r="T366" s="43" t="s">
        <v>4596</v>
      </c>
      <c r="U366" s="43"/>
      <c r="V366" s="43"/>
      <c r="W366" s="43"/>
      <c r="X366" s="1"/>
      <c r="Y366" s="46">
        <v>18.899999999999999</v>
      </c>
      <c r="Z366" s="46"/>
      <c r="AA366" s="2"/>
      <c r="AB366" s="43"/>
      <c r="AC366" s="87"/>
      <c r="AD366" s="1"/>
      <c r="AE366" s="3"/>
      <c r="AF366" s="46"/>
      <c r="AG366" s="1"/>
      <c r="AH366" s="43"/>
      <c r="AI366" s="43"/>
      <c r="AJ366" s="43"/>
      <c r="AK366" s="37" t="s">
        <v>6668</v>
      </c>
      <c r="AL366" s="47"/>
      <c r="AM366" s="1">
        <f t="shared" si="15"/>
        <v>6003.3018159987996</v>
      </c>
    </row>
    <row r="367" spans="1:39" ht="47.25" hidden="1" customHeight="1">
      <c r="A367" s="196">
        <v>28547961</v>
      </c>
      <c r="C367" s="317">
        <v>45344</v>
      </c>
      <c r="D367" t="s">
        <v>6669</v>
      </c>
      <c r="E367" t="s">
        <v>6670</v>
      </c>
      <c r="F367" t="s">
        <v>6671</v>
      </c>
      <c r="G367" s="94">
        <v>300000</v>
      </c>
      <c r="I367" t="s">
        <v>4726</v>
      </c>
      <c r="J367" t="s">
        <v>4970</v>
      </c>
      <c r="K367" t="s">
        <v>6672</v>
      </c>
      <c r="L367" s="96" t="s">
        <v>6673</v>
      </c>
      <c r="M367" s="245" t="s">
        <v>6674</v>
      </c>
      <c r="N367" s="63">
        <f>25.09+3.4+0.11</f>
        <v>28.599999999999998</v>
      </c>
      <c r="Q367" s="436">
        <v>2</v>
      </c>
      <c r="R367" t="s">
        <v>4669</v>
      </c>
      <c r="S367">
        <v>25.499999999999996</v>
      </c>
      <c r="AF367" s="63" t="s">
        <v>6675</v>
      </c>
      <c r="AK367" t="s">
        <v>6676</v>
      </c>
      <c r="AM367" s="1">
        <f t="shared" si="15"/>
        <v>10489.510489510491</v>
      </c>
    </row>
    <row r="368" spans="1:39" ht="47.25" hidden="1" customHeight="1">
      <c r="A368" s="194">
        <v>28548650</v>
      </c>
      <c r="B368" s="139"/>
      <c r="C368" s="148">
        <v>45344</v>
      </c>
      <c r="D368" s="60" t="s">
        <v>6677</v>
      </c>
      <c r="E368" s="60" t="s">
        <v>6678</v>
      </c>
      <c r="F368" s="140" t="s">
        <v>6679</v>
      </c>
      <c r="G368" s="141">
        <v>155000</v>
      </c>
      <c r="H368" s="141"/>
      <c r="I368" s="80" t="s">
        <v>29</v>
      </c>
      <c r="J368" s="139" t="s">
        <v>6680</v>
      </c>
      <c r="K368" s="139" t="s">
        <v>6681</v>
      </c>
      <c r="L368" s="142">
        <v>46.770091000000001</v>
      </c>
      <c r="M368" s="143">
        <v>-70.461669999999998</v>
      </c>
      <c r="N368" s="144">
        <v>39.83</v>
      </c>
      <c r="O368" s="139" t="s">
        <v>18</v>
      </c>
      <c r="P368" s="60" t="s">
        <v>3789</v>
      </c>
      <c r="Q368" s="439">
        <v>5</v>
      </c>
      <c r="R368" s="60" t="s">
        <v>4604</v>
      </c>
      <c r="S368" s="139">
        <v>7.1</v>
      </c>
      <c r="T368" s="139" t="s">
        <v>4596</v>
      </c>
      <c r="U368" s="139"/>
      <c r="V368" s="139"/>
      <c r="W368" s="139"/>
      <c r="X368" s="141"/>
      <c r="Y368" s="144">
        <v>32.729999999999997</v>
      </c>
      <c r="Z368" s="144"/>
      <c r="AA368" s="145"/>
      <c r="AB368" s="139"/>
      <c r="AC368" s="146"/>
      <c r="AD368" s="141"/>
      <c r="AE368" s="158"/>
      <c r="AF368" s="144"/>
      <c r="AG368" s="141"/>
      <c r="AH368" s="139"/>
      <c r="AI368" s="139"/>
      <c r="AJ368" s="139"/>
      <c r="AK368" s="60"/>
      <c r="AL368" s="60"/>
      <c r="AM368" s="141">
        <f t="shared" si="15"/>
        <v>3891.5390409239267</v>
      </c>
    </row>
    <row r="369" spans="1:39" ht="47.25" hidden="1" customHeight="1">
      <c r="A369" s="196">
        <v>28552432</v>
      </c>
      <c r="C369" s="317">
        <v>45348</v>
      </c>
      <c r="D369" s="249" t="s">
        <v>6682</v>
      </c>
      <c r="E369" s="249" t="s">
        <v>6683</v>
      </c>
      <c r="F369" s="249" t="s">
        <v>6684</v>
      </c>
      <c r="G369" s="94">
        <v>5447092</v>
      </c>
      <c r="I369" t="s">
        <v>611</v>
      </c>
      <c r="J369" t="s">
        <v>6193</v>
      </c>
      <c r="K369" t="s">
        <v>6685</v>
      </c>
      <c r="L369" s="96">
        <v>45.211024999999999</v>
      </c>
      <c r="M369" s="96">
        <v>-73.291079999999994</v>
      </c>
      <c r="N369" s="63">
        <v>87.02</v>
      </c>
      <c r="O369" t="s">
        <v>18</v>
      </c>
      <c r="P369" t="s">
        <v>35</v>
      </c>
      <c r="Q369" s="436">
        <v>2</v>
      </c>
      <c r="R369" t="s">
        <v>4669</v>
      </c>
      <c r="S369">
        <v>68.599999999999994</v>
      </c>
      <c r="U369">
        <f>Table3[[#This Row],[Superficie cultivée (ha)]]</f>
        <v>68.599999999999994</v>
      </c>
      <c r="V369" s="43" t="s">
        <v>5038</v>
      </c>
      <c r="W369" s="43"/>
      <c r="AK369" t="s">
        <v>6686</v>
      </c>
      <c r="AM369" s="1">
        <f t="shared" si="15"/>
        <v>62595.863019995406</v>
      </c>
    </row>
    <row r="370" spans="1:39" ht="47.25" hidden="1" customHeight="1">
      <c r="A370" s="196">
        <v>28553996</v>
      </c>
      <c r="C370" s="317">
        <v>45349</v>
      </c>
      <c r="D370" t="s">
        <v>6687</v>
      </c>
      <c r="E370" t="s">
        <v>6688</v>
      </c>
      <c r="F370" t="s">
        <v>6689</v>
      </c>
      <c r="G370" s="94">
        <v>1700000</v>
      </c>
      <c r="I370" t="s">
        <v>4917</v>
      </c>
      <c r="J370" t="s">
        <v>6690</v>
      </c>
      <c r="K370" t="s">
        <v>6691</v>
      </c>
      <c r="L370" s="96" t="s">
        <v>6692</v>
      </c>
      <c r="M370" s="245" t="s">
        <v>6693</v>
      </c>
      <c r="N370" s="63">
        <f>4.93+18.74+9.47+0.87</f>
        <v>34.01</v>
      </c>
      <c r="O370" s="43" t="s">
        <v>36</v>
      </c>
      <c r="P370" t="s">
        <v>35</v>
      </c>
      <c r="Q370" s="436">
        <v>2</v>
      </c>
      <c r="R370" t="s">
        <v>4669</v>
      </c>
      <c r="S370">
        <f>3.6+3.1+4.2+8.1+6.6</f>
        <v>25.6</v>
      </c>
      <c r="U370">
        <f>Table3[[#This Row],[Superficie cultivée (ha)]]</f>
        <v>25.6</v>
      </c>
      <c r="Y370" s="63">
        <v>0.6</v>
      </c>
      <c r="AF370" s="63" t="s">
        <v>6694</v>
      </c>
      <c r="AK370" t="s">
        <v>6695</v>
      </c>
      <c r="AM370" s="1">
        <f t="shared" si="15"/>
        <v>49985.298441634819</v>
      </c>
    </row>
    <row r="371" spans="1:39" ht="47.25" hidden="1" customHeight="1">
      <c r="A371" s="187">
        <v>28558398</v>
      </c>
      <c r="B371" s="43"/>
      <c r="C371" s="51">
        <v>45351</v>
      </c>
      <c r="D371" s="37" t="s">
        <v>6696</v>
      </c>
      <c r="E371" s="37" t="s">
        <v>6697</v>
      </c>
      <c r="F371" s="45" t="s">
        <v>6698</v>
      </c>
      <c r="G371" s="16">
        <v>160000</v>
      </c>
      <c r="H371" s="16"/>
      <c r="I371" s="43" t="s">
        <v>5507</v>
      </c>
      <c r="J371" s="43" t="s">
        <v>3032</v>
      </c>
      <c r="K371" s="43" t="s">
        <v>6699</v>
      </c>
      <c r="L371" s="25" t="s">
        <v>6700</v>
      </c>
      <c r="M371" s="26" t="s">
        <v>6701</v>
      </c>
      <c r="N371" s="46">
        <f>6.97+9.1+5.85</f>
        <v>21.92</v>
      </c>
      <c r="O371" s="43" t="s">
        <v>36</v>
      </c>
      <c r="P371" s="60" t="s">
        <v>3970</v>
      </c>
      <c r="Q371" s="267">
        <v>3</v>
      </c>
      <c r="R371" s="47" t="s">
        <v>155</v>
      </c>
      <c r="S371" s="43">
        <f>0.8+3.6+2.9+0.3+5.8-1</f>
        <v>12.4</v>
      </c>
      <c r="T371" s="139" t="s">
        <v>6216</v>
      </c>
      <c r="U371" s="43"/>
      <c r="V371" s="43"/>
      <c r="W371" s="43"/>
      <c r="X371" s="16"/>
      <c r="Y371" s="46">
        <v>8</v>
      </c>
      <c r="Z371" s="46"/>
      <c r="AA371" s="102"/>
      <c r="AB371" s="43"/>
      <c r="AC371" s="87"/>
      <c r="AD371" s="16"/>
      <c r="AE371" s="103"/>
      <c r="AF371" s="46"/>
      <c r="AG371" s="16"/>
      <c r="AH371" s="43"/>
      <c r="AI371" s="43"/>
      <c r="AJ371" s="43"/>
      <c r="AK371" s="37"/>
      <c r="AL371" s="47"/>
      <c r="AM371" s="74">
        <f t="shared" si="15"/>
        <v>7299.2700729927001</v>
      </c>
    </row>
    <row r="372" spans="1:39" ht="47.25" hidden="1" customHeight="1">
      <c r="A372" s="187">
        <v>28559508</v>
      </c>
      <c r="B372" s="43"/>
      <c r="C372" s="51">
        <v>45351</v>
      </c>
      <c r="D372" s="37" t="s">
        <v>6702</v>
      </c>
      <c r="E372" s="37" t="s">
        <v>6703</v>
      </c>
      <c r="F372" s="45" t="s">
        <v>6704</v>
      </c>
      <c r="G372" s="1">
        <v>340000</v>
      </c>
      <c r="H372" s="1"/>
      <c r="I372" s="43" t="s">
        <v>408</v>
      </c>
      <c r="J372" s="43" t="s">
        <v>6705</v>
      </c>
      <c r="K372" s="43" t="s">
        <v>6706</v>
      </c>
      <c r="L372" s="4">
        <v>45.834797000000002</v>
      </c>
      <c r="M372" s="7">
        <v>-71.871707000000001</v>
      </c>
      <c r="N372" s="46">
        <v>36.56</v>
      </c>
      <c r="O372" s="43" t="s">
        <v>18</v>
      </c>
      <c r="P372" s="47" t="s">
        <v>384</v>
      </c>
      <c r="Q372" s="267">
        <v>7</v>
      </c>
      <c r="R372" s="47" t="s">
        <v>4620</v>
      </c>
      <c r="S372" s="43">
        <v>20.7</v>
      </c>
      <c r="T372" s="43" t="s">
        <v>4596</v>
      </c>
      <c r="U372" s="43"/>
      <c r="V372" s="43"/>
      <c r="W372" s="43"/>
      <c r="X372" s="1"/>
      <c r="Y372" s="46">
        <v>14.66</v>
      </c>
      <c r="Z372" s="46"/>
      <c r="AA372" s="2"/>
      <c r="AB372" s="43"/>
      <c r="AC372" s="87"/>
      <c r="AD372" s="1"/>
      <c r="AE372" s="3"/>
      <c r="AF372" s="46"/>
      <c r="AG372" s="1"/>
      <c r="AH372" s="43"/>
      <c r="AI372" s="43"/>
      <c r="AJ372" s="43"/>
      <c r="AK372" s="37" t="s">
        <v>6707</v>
      </c>
      <c r="AL372" s="47"/>
      <c r="AM372" s="1">
        <f t="shared" si="15"/>
        <v>9299.7811816192552</v>
      </c>
    </row>
    <row r="373" spans="1:39" ht="47.25" hidden="1" customHeight="1">
      <c r="A373" s="194">
        <v>28560893</v>
      </c>
      <c r="B373" s="139"/>
      <c r="C373" s="148">
        <v>45351</v>
      </c>
      <c r="D373" s="60" t="s">
        <v>6708</v>
      </c>
      <c r="E373" s="60" t="s">
        <v>6709</v>
      </c>
      <c r="F373" s="140" t="s">
        <v>6710</v>
      </c>
      <c r="G373" s="141">
        <v>160000</v>
      </c>
      <c r="H373" s="141"/>
      <c r="I373" s="139" t="s">
        <v>2163</v>
      </c>
      <c r="J373" s="139" t="s">
        <v>6040</v>
      </c>
      <c r="K373" s="139" t="s">
        <v>6711</v>
      </c>
      <c r="L373" s="142">
        <v>48.641339000000002</v>
      </c>
      <c r="M373" s="143">
        <v>-67.958107999999996</v>
      </c>
      <c r="N373" s="144">
        <v>77.099999999999994</v>
      </c>
      <c r="O373" s="139" t="s">
        <v>18</v>
      </c>
      <c r="P373" s="60" t="s">
        <v>3789</v>
      </c>
      <c r="Q373" s="439">
        <v>3</v>
      </c>
      <c r="R373" s="60" t="s">
        <v>5016</v>
      </c>
      <c r="S373" s="139">
        <v>24.5</v>
      </c>
      <c r="T373" s="139" t="s">
        <v>4596</v>
      </c>
      <c r="U373" s="139"/>
      <c r="V373" s="139"/>
      <c r="W373" s="139"/>
      <c r="X373" s="141"/>
      <c r="Y373" s="144">
        <v>52.1</v>
      </c>
      <c r="Z373" s="144"/>
      <c r="AA373" s="145"/>
      <c r="AB373" s="139"/>
      <c r="AC373" s="146"/>
      <c r="AD373" s="141"/>
      <c r="AE373" s="158"/>
      <c r="AF373" s="144"/>
      <c r="AG373" s="141"/>
      <c r="AH373" s="139"/>
      <c r="AI373" s="139"/>
      <c r="AJ373" s="139"/>
      <c r="AK373" s="60" t="s">
        <v>6712</v>
      </c>
      <c r="AL373" s="60"/>
      <c r="AM373" s="141">
        <f t="shared" si="15"/>
        <v>2075.2269779507137</v>
      </c>
    </row>
    <row r="374" spans="1:39" ht="47.25" hidden="1" customHeight="1">
      <c r="A374" s="187">
        <v>28562711</v>
      </c>
      <c r="B374" s="43"/>
      <c r="C374" s="51">
        <v>45352</v>
      </c>
      <c r="D374" s="37" t="s">
        <v>6713</v>
      </c>
      <c r="E374" s="37" t="s">
        <v>5958</v>
      </c>
      <c r="F374" s="45" t="s">
        <v>6714</v>
      </c>
      <c r="G374" s="1">
        <v>120000</v>
      </c>
      <c r="H374" s="1"/>
      <c r="I374" s="43" t="s">
        <v>5423</v>
      </c>
      <c r="J374" s="43" t="s">
        <v>231</v>
      </c>
      <c r="K374" s="43" t="s">
        <v>5960</v>
      </c>
      <c r="L374" s="4" t="s">
        <v>6715</v>
      </c>
      <c r="M374" s="7" t="s">
        <v>6716</v>
      </c>
      <c r="N374" s="46">
        <v>14.13</v>
      </c>
      <c r="O374" s="43" t="s">
        <v>18</v>
      </c>
      <c r="P374" s="37" t="s">
        <v>206</v>
      </c>
      <c r="Q374" s="267" t="s">
        <v>5891</v>
      </c>
      <c r="R374" s="47" t="s">
        <v>5963</v>
      </c>
      <c r="S374" s="43">
        <v>5.0999999999999996</v>
      </c>
      <c r="T374" s="43" t="s">
        <v>4828</v>
      </c>
      <c r="U374" s="43">
        <v>0</v>
      </c>
      <c r="V374" s="43" t="s">
        <v>4628</v>
      </c>
      <c r="W374" s="43"/>
      <c r="X374" s="1"/>
      <c r="Y374" s="46">
        <v>0</v>
      </c>
      <c r="Z374" s="46"/>
      <c r="AA374" s="2"/>
      <c r="AB374" s="43"/>
      <c r="AC374" s="87"/>
      <c r="AD374" s="1"/>
      <c r="AE374" s="3"/>
      <c r="AF374" s="46"/>
      <c r="AG374" s="1"/>
      <c r="AH374" s="43"/>
      <c r="AI374" s="43"/>
      <c r="AJ374" s="43"/>
      <c r="AK374" s="37" t="s">
        <v>6717</v>
      </c>
      <c r="AL374" s="47"/>
      <c r="AM374" s="49">
        <f>Table3[[#This Row],[Prixdevente($)]]/Table3[[#This Row],[Superficie totale (ha)]]</f>
        <v>8492.5690021231421</v>
      </c>
    </row>
    <row r="375" spans="1:39" ht="47.25" hidden="1" customHeight="1">
      <c r="A375" s="187">
        <v>28632253</v>
      </c>
      <c r="B375" s="43"/>
      <c r="C375" s="51">
        <v>45355</v>
      </c>
      <c r="D375" s="37" t="s">
        <v>6718</v>
      </c>
      <c r="E375" s="37" t="s">
        <v>6719</v>
      </c>
      <c r="F375" s="43">
        <v>6160659</v>
      </c>
      <c r="G375" s="1">
        <v>400000</v>
      </c>
      <c r="H375" s="1"/>
      <c r="I375" s="43" t="s">
        <v>16</v>
      </c>
      <c r="J375" s="43" t="s">
        <v>2233</v>
      </c>
      <c r="K375" s="43" t="s">
        <v>6720</v>
      </c>
      <c r="L375" s="4" t="s">
        <v>6721</v>
      </c>
      <c r="M375" s="7" t="s">
        <v>6722</v>
      </c>
      <c r="N375" s="46">
        <v>10.1</v>
      </c>
      <c r="O375" s="43" t="s">
        <v>18</v>
      </c>
      <c r="P375" s="47" t="s">
        <v>4702</v>
      </c>
      <c r="Q375" s="267" t="s">
        <v>4703</v>
      </c>
      <c r="R375" s="47" t="s">
        <v>4946</v>
      </c>
      <c r="S375" s="43">
        <v>9.6999999999999993</v>
      </c>
      <c r="T375" s="43" t="s">
        <v>4596</v>
      </c>
      <c r="U375" s="43">
        <v>0</v>
      </c>
      <c r="V375" s="43" t="s">
        <v>4628</v>
      </c>
      <c r="W375" s="43"/>
      <c r="X375" s="1"/>
      <c r="Y375" s="46">
        <v>0</v>
      </c>
      <c r="Z375" s="46"/>
      <c r="AA375" s="2"/>
      <c r="AB375" s="43"/>
      <c r="AC375" s="87"/>
      <c r="AD375" s="1"/>
      <c r="AE375" s="3"/>
      <c r="AF375" s="46"/>
      <c r="AG375" s="1"/>
      <c r="AH375" s="43"/>
      <c r="AI375" s="43"/>
      <c r="AJ375" s="43"/>
      <c r="AK375" s="37" t="s">
        <v>6723</v>
      </c>
      <c r="AL375" s="47"/>
      <c r="AM375" s="49">
        <f>Terre!$G54/Terre!$N54</f>
        <v>64243.001235076168</v>
      </c>
    </row>
    <row r="376" spans="1:39" ht="47.25" hidden="1" customHeight="1">
      <c r="A376" s="187">
        <v>28669005</v>
      </c>
      <c r="B376" s="43"/>
      <c r="C376" s="51">
        <v>45356</v>
      </c>
      <c r="D376" s="37" t="s">
        <v>6724</v>
      </c>
      <c r="E376" s="37" t="s">
        <v>6725</v>
      </c>
      <c r="F376" s="45" t="s">
        <v>6726</v>
      </c>
      <c r="G376" s="1">
        <v>3075000</v>
      </c>
      <c r="H376" s="1"/>
      <c r="I376" s="43" t="s">
        <v>747</v>
      </c>
      <c r="J376" s="43" t="s">
        <v>838</v>
      </c>
      <c r="K376" s="43" t="s">
        <v>6727</v>
      </c>
      <c r="L376" s="4" t="s">
        <v>6728</v>
      </c>
      <c r="M376" s="7" t="s">
        <v>6729</v>
      </c>
      <c r="N376" s="46">
        <v>65.37</v>
      </c>
      <c r="O376" s="43" t="s">
        <v>18</v>
      </c>
      <c r="P376" s="47" t="s">
        <v>206</v>
      </c>
      <c r="Q376" s="267" t="s">
        <v>4856</v>
      </c>
      <c r="R376" s="47" t="s">
        <v>4595</v>
      </c>
      <c r="S376" s="43">
        <v>58.6</v>
      </c>
      <c r="T376" s="43" t="s">
        <v>4596</v>
      </c>
      <c r="U376" s="43">
        <v>0</v>
      </c>
      <c r="V376" s="43" t="s">
        <v>4628</v>
      </c>
      <c r="W376" s="43"/>
      <c r="X376" s="1"/>
      <c r="Y376" s="46">
        <v>3.3</v>
      </c>
      <c r="Z376" s="46"/>
      <c r="AA376" s="2"/>
      <c r="AB376" s="43"/>
      <c r="AC376" s="87"/>
      <c r="AD376" s="1"/>
      <c r="AE376" s="3"/>
      <c r="AF376" s="46"/>
      <c r="AG376" s="1"/>
      <c r="AH376" s="43"/>
      <c r="AI376" s="43"/>
      <c r="AJ376" s="43"/>
      <c r="AK376" s="37" t="s">
        <v>6730</v>
      </c>
      <c r="AL376" s="47"/>
      <c r="AM376" s="49">
        <f>Terre!$G53/Terre!$N53</f>
        <v>4175.9523607354695</v>
      </c>
    </row>
    <row r="377" spans="1:39" ht="47.25" hidden="1" customHeight="1">
      <c r="A377" s="196">
        <v>28571588</v>
      </c>
      <c r="C377" s="317">
        <v>45359</v>
      </c>
      <c r="D377" s="239" t="s">
        <v>6731</v>
      </c>
      <c r="E377" t="s">
        <v>6732</v>
      </c>
      <c r="F377" s="239" t="s">
        <v>6733</v>
      </c>
      <c r="G377" s="94">
        <v>100000</v>
      </c>
      <c r="I377" t="s">
        <v>50</v>
      </c>
      <c r="J377" t="s">
        <v>6734</v>
      </c>
      <c r="K377" s="239" t="s">
        <v>6735</v>
      </c>
      <c r="L377" s="96">
        <v>46.078277</v>
      </c>
      <c r="M377" s="96">
        <v>-70.680893999999995</v>
      </c>
      <c r="N377" s="63">
        <v>20.95</v>
      </c>
      <c r="O377" t="s">
        <v>18</v>
      </c>
      <c r="P377" t="s">
        <v>154</v>
      </c>
      <c r="Q377" s="436">
        <v>7</v>
      </c>
      <c r="R377" t="s">
        <v>6306</v>
      </c>
      <c r="S377">
        <v>6.7</v>
      </c>
      <c r="Y377" s="63">
        <f>20.95-6.4</f>
        <v>14.549999999999999</v>
      </c>
      <c r="AK377" t="s">
        <v>6736</v>
      </c>
      <c r="AM377" s="1">
        <f>Table3[[#This Row],[Prixdevente($)]]/Table3[[#This Row],[Superficie totale (ha)]]</f>
        <v>4773.2696897374699</v>
      </c>
    </row>
    <row r="378" spans="1:39" ht="47.25" hidden="1" customHeight="1">
      <c r="A378" s="187">
        <v>28724122</v>
      </c>
      <c r="B378" s="43"/>
      <c r="C378" s="51">
        <v>45362</v>
      </c>
      <c r="D378" s="37" t="s">
        <v>6737</v>
      </c>
      <c r="E378" s="37" t="s">
        <v>6738</v>
      </c>
      <c r="F378" s="45" t="s">
        <v>6739</v>
      </c>
      <c r="G378" s="1">
        <v>135000</v>
      </c>
      <c r="H378" s="1"/>
      <c r="I378" s="43" t="s">
        <v>679</v>
      </c>
      <c r="J378" s="43" t="s">
        <v>680</v>
      </c>
      <c r="K378" s="43" t="s">
        <v>6740</v>
      </c>
      <c r="L378" s="4" t="s">
        <v>6741</v>
      </c>
      <c r="M378" s="7" t="s">
        <v>6742</v>
      </c>
      <c r="N378" s="46">
        <f>17.07+0.02+26.75</f>
        <v>43.84</v>
      </c>
      <c r="O378" s="43" t="s">
        <v>18</v>
      </c>
      <c r="P378" s="47" t="s">
        <v>3732</v>
      </c>
      <c r="Q378" s="267">
        <v>3</v>
      </c>
      <c r="R378" s="47" t="s">
        <v>4620</v>
      </c>
      <c r="S378" s="43">
        <f>1.7+1.3+3.1+2.4+1.9+2.5+2.1+2.1</f>
        <v>17.100000000000001</v>
      </c>
      <c r="T378" s="43" t="s">
        <v>5103</v>
      </c>
      <c r="U378" s="43">
        <v>0</v>
      </c>
      <c r="V378" s="43"/>
      <c r="W378" s="43"/>
      <c r="X378" s="1"/>
      <c r="Y378" s="46">
        <f>17.07-2.1+1.9+6.4</f>
        <v>23.270000000000003</v>
      </c>
      <c r="Z378" s="46"/>
      <c r="AA378" s="2"/>
      <c r="AB378" s="43"/>
      <c r="AC378" s="87"/>
      <c r="AD378" s="1"/>
      <c r="AE378" s="3"/>
      <c r="AF378" s="46"/>
      <c r="AG378" s="1"/>
      <c r="AH378" s="43"/>
      <c r="AI378" s="43"/>
      <c r="AJ378" s="43"/>
      <c r="AK378" s="37" t="s">
        <v>6743</v>
      </c>
      <c r="AL378" s="47" t="s">
        <v>6744</v>
      </c>
      <c r="AM378" s="49">
        <f>Terre!$G52/Terre!$N52</f>
        <v>46948.356807511736</v>
      </c>
    </row>
    <row r="379" spans="1:39" ht="47.25" hidden="1" customHeight="1">
      <c r="A379" s="187">
        <v>28628135</v>
      </c>
      <c r="B379" s="43"/>
      <c r="C379" s="51">
        <v>45365</v>
      </c>
      <c r="D379" s="37" t="s">
        <v>6745</v>
      </c>
      <c r="E379" s="37" t="s">
        <v>6746</v>
      </c>
      <c r="F379" s="45" t="s">
        <v>6747</v>
      </c>
      <c r="G379" s="16">
        <v>901000</v>
      </c>
      <c r="H379" s="16"/>
      <c r="I379" s="43"/>
      <c r="J379" s="43" t="s">
        <v>5154</v>
      </c>
      <c r="K379" s="43" t="s">
        <v>6748</v>
      </c>
      <c r="L379" s="25"/>
      <c r="M379" s="26"/>
      <c r="N379" s="46">
        <v>21.14</v>
      </c>
      <c r="O379" s="43" t="s">
        <v>4996</v>
      </c>
      <c r="P379" s="47"/>
      <c r="Q379" s="267" t="s">
        <v>6589</v>
      </c>
      <c r="R379" s="47"/>
      <c r="S379" s="43">
        <v>14.500000000000002</v>
      </c>
      <c r="T379" s="43"/>
      <c r="U379" s="43">
        <v>0</v>
      </c>
      <c r="V379" s="43" t="s">
        <v>6749</v>
      </c>
      <c r="W379" s="43"/>
      <c r="X379" s="16"/>
      <c r="Y379" s="46">
        <v>6.6399999999999988</v>
      </c>
      <c r="Z379" s="46"/>
      <c r="AA379" s="102"/>
      <c r="AB379" s="43"/>
      <c r="AC379" s="87"/>
      <c r="AD379" s="16"/>
      <c r="AE379" s="103"/>
      <c r="AF379" s="46"/>
      <c r="AG379" s="16"/>
      <c r="AH379" s="43"/>
      <c r="AI379" s="43"/>
      <c r="AJ379" s="43" t="s">
        <v>5150</v>
      </c>
      <c r="AK379" s="37">
        <v>0</v>
      </c>
      <c r="AL379" s="47"/>
      <c r="AM379" s="74">
        <f>G379/N379</f>
        <v>42620.624408703879</v>
      </c>
    </row>
    <row r="380" spans="1:39" ht="47.25" customHeight="1">
      <c r="A380" s="196" t="s">
        <v>6750</v>
      </c>
      <c r="C380" s="317">
        <v>45365</v>
      </c>
      <c r="F380" t="s">
        <v>6751</v>
      </c>
      <c r="G380" s="94">
        <v>650000</v>
      </c>
      <c r="I380" t="s">
        <v>1363</v>
      </c>
      <c r="AM380" s="1" t="e">
        <f>G380/N380</f>
        <v>#DIV/0!</v>
      </c>
    </row>
    <row r="381" spans="1:39" ht="47.25" hidden="1" customHeight="1">
      <c r="A381" s="187">
        <v>28590778</v>
      </c>
      <c r="B381" s="43"/>
      <c r="C381" s="51">
        <v>45372</v>
      </c>
      <c r="D381" s="37" t="s">
        <v>6752</v>
      </c>
      <c r="E381" s="37" t="s">
        <v>6753</v>
      </c>
      <c r="F381" s="45">
        <v>3023142</v>
      </c>
      <c r="G381" s="16">
        <v>300000</v>
      </c>
      <c r="H381" s="16"/>
      <c r="I381" s="43" t="s">
        <v>5746</v>
      </c>
      <c r="J381" s="43" t="s">
        <v>5227</v>
      </c>
      <c r="K381" s="43" t="s">
        <v>6754</v>
      </c>
      <c r="L381" s="25"/>
      <c r="M381" s="26"/>
      <c r="N381" s="46">
        <v>8.67</v>
      </c>
      <c r="O381" s="43" t="s">
        <v>5030</v>
      </c>
      <c r="P381" s="47"/>
      <c r="Q381" s="267" t="s">
        <v>6755</v>
      </c>
      <c r="R381" s="47"/>
      <c r="S381" s="43">
        <v>8.5</v>
      </c>
      <c r="T381" s="43"/>
      <c r="U381" s="43" t="s">
        <v>71</v>
      </c>
      <c r="V381" s="43" t="s">
        <v>6756</v>
      </c>
      <c r="W381" s="43"/>
      <c r="X381" s="16"/>
      <c r="Y381" s="46">
        <v>0</v>
      </c>
      <c r="Z381" s="46"/>
      <c r="AA381" s="102"/>
      <c r="AB381" s="43"/>
      <c r="AC381" s="87"/>
      <c r="AD381" s="16"/>
      <c r="AE381" s="103"/>
      <c r="AF381" s="46"/>
      <c r="AG381" s="16"/>
      <c r="AH381" s="43"/>
      <c r="AI381" s="43"/>
      <c r="AJ381" s="43" t="s">
        <v>6757</v>
      </c>
      <c r="AK381" s="37"/>
      <c r="AL381" s="47"/>
      <c r="AM381" s="74">
        <f>G381/N381</f>
        <v>34602.076124567473</v>
      </c>
    </row>
    <row r="382" spans="1:39" ht="47.25" hidden="1" customHeight="1">
      <c r="A382" s="187">
        <v>28592081</v>
      </c>
      <c r="B382" s="43"/>
      <c r="C382" s="51">
        <v>45372</v>
      </c>
      <c r="D382" s="37" t="s">
        <v>6758</v>
      </c>
      <c r="E382" s="37" t="s">
        <v>6759</v>
      </c>
      <c r="F382" s="45" t="s">
        <v>6760</v>
      </c>
      <c r="G382" s="1">
        <v>694925</v>
      </c>
      <c r="H382" s="1"/>
      <c r="I382" s="43" t="s">
        <v>611</v>
      </c>
      <c r="J382" s="43" t="s">
        <v>6010</v>
      </c>
      <c r="K382" s="43" t="s">
        <v>6761</v>
      </c>
      <c r="L382" s="7" t="s">
        <v>6762</v>
      </c>
      <c r="M382" s="7" t="s">
        <v>6763</v>
      </c>
      <c r="N382" s="46">
        <f>19.05</f>
        <v>19.05</v>
      </c>
      <c r="O382" s="43" t="s">
        <v>18</v>
      </c>
      <c r="P382" s="47" t="s">
        <v>206</v>
      </c>
      <c r="Q382" s="267" t="s">
        <v>4856</v>
      </c>
      <c r="R382" s="47" t="s">
        <v>4669</v>
      </c>
      <c r="S382" s="43">
        <f>2.7+2.2+2.4+2.5+1.7+2</f>
        <v>13.5</v>
      </c>
      <c r="T382" s="43" t="s">
        <v>4596</v>
      </c>
      <c r="U382" s="43">
        <v>0</v>
      </c>
      <c r="V382" s="43" t="s">
        <v>5038</v>
      </c>
      <c r="W382" s="43"/>
      <c r="X382" s="1"/>
      <c r="Y382" s="46">
        <v>1.6</v>
      </c>
      <c r="Z382" s="46"/>
      <c r="AA382" s="2"/>
      <c r="AB382" s="43"/>
      <c r="AC382" s="87"/>
      <c r="AD382" s="1"/>
      <c r="AE382" s="3"/>
      <c r="AF382" s="46"/>
      <c r="AG382" s="1"/>
      <c r="AH382" s="43"/>
      <c r="AI382" s="43"/>
      <c r="AJ382" s="43"/>
      <c r="AK382" s="37" t="s">
        <v>6764</v>
      </c>
      <c r="AL382" s="47"/>
      <c r="AM382" s="49">
        <f>Terre!$G51/Terre!$N51</f>
        <v>42148.574612848708</v>
      </c>
    </row>
    <row r="383" spans="1:39" ht="47.25" hidden="1" customHeight="1">
      <c r="A383" s="187">
        <v>28849829</v>
      </c>
      <c r="B383" s="43"/>
      <c r="C383" s="51">
        <v>45375</v>
      </c>
      <c r="D383" s="37" t="s">
        <v>6765</v>
      </c>
      <c r="E383" s="37" t="s">
        <v>6766</v>
      </c>
      <c r="F383" s="45" t="s">
        <v>6767</v>
      </c>
      <c r="G383" s="1">
        <v>400000</v>
      </c>
      <c r="H383" s="1"/>
      <c r="I383" s="43" t="s">
        <v>75</v>
      </c>
      <c r="J383" s="43" t="s">
        <v>2256</v>
      </c>
      <c r="K383" s="43" t="s">
        <v>6768</v>
      </c>
      <c r="L383" s="4" t="s">
        <v>6769</v>
      </c>
      <c r="M383" s="7" t="s">
        <v>6770</v>
      </c>
      <c r="N383" s="46">
        <v>44.15</v>
      </c>
      <c r="O383" s="43" t="s">
        <v>18</v>
      </c>
      <c r="P383" s="47" t="s">
        <v>3732</v>
      </c>
      <c r="Q383" s="267" t="s">
        <v>6771</v>
      </c>
      <c r="R383" s="47" t="s">
        <v>6772</v>
      </c>
      <c r="S383" s="43">
        <f>2+2.5+6+3.1+5.3+0.8+5.3+0.3+0.5</f>
        <v>25.8</v>
      </c>
      <c r="T383" s="43" t="s">
        <v>4596</v>
      </c>
      <c r="U383" s="43">
        <v>0</v>
      </c>
      <c r="V383" s="43" t="s">
        <v>4628</v>
      </c>
      <c r="W383" s="43"/>
      <c r="X383" s="1"/>
      <c r="Y383" s="46">
        <v>15.6</v>
      </c>
      <c r="Z383" s="46"/>
      <c r="AA383" s="2"/>
      <c r="AB383" s="43"/>
      <c r="AC383" s="87"/>
      <c r="AD383" s="1"/>
      <c r="AE383" s="3"/>
      <c r="AF383" s="46"/>
      <c r="AG383" s="1"/>
      <c r="AH383" s="43"/>
      <c r="AI383" s="43"/>
      <c r="AJ383" s="43"/>
      <c r="AK383" s="37" t="s">
        <v>6773</v>
      </c>
      <c r="AL383" s="47"/>
      <c r="AM383" s="49">
        <f>Terre!$G50/Terre!$N50</f>
        <v>60483.870967741939</v>
      </c>
    </row>
    <row r="384" spans="1:39" ht="47.25" hidden="1" customHeight="1">
      <c r="A384" s="187">
        <v>28604733</v>
      </c>
      <c r="B384" s="43"/>
      <c r="C384" s="51">
        <v>45379</v>
      </c>
      <c r="D384" s="37" t="s">
        <v>6774</v>
      </c>
      <c r="E384" s="37" t="s">
        <v>6775</v>
      </c>
      <c r="F384" s="45" t="s">
        <v>6776</v>
      </c>
      <c r="G384" s="1">
        <v>1024000</v>
      </c>
      <c r="H384" s="1"/>
      <c r="I384" s="43" t="s">
        <v>602</v>
      </c>
      <c r="J384" s="43" t="s">
        <v>5393</v>
      </c>
      <c r="K384" s="43" t="s">
        <v>6777</v>
      </c>
      <c r="L384" s="4" t="s">
        <v>6778</v>
      </c>
      <c r="M384" s="4" t="s">
        <v>6779</v>
      </c>
      <c r="N384" s="46">
        <v>80.88</v>
      </c>
      <c r="O384" s="43" t="s">
        <v>18</v>
      </c>
      <c r="P384" s="47" t="s">
        <v>3732</v>
      </c>
      <c r="Q384" s="267" t="s">
        <v>4771</v>
      </c>
      <c r="R384" s="47" t="s">
        <v>4801</v>
      </c>
      <c r="S384" s="43">
        <v>51.81</v>
      </c>
      <c r="T384" s="43" t="s">
        <v>4596</v>
      </c>
      <c r="U384" s="43">
        <v>0</v>
      </c>
      <c r="V384" s="43" t="s">
        <v>4628</v>
      </c>
      <c r="W384" s="43"/>
      <c r="X384" s="1"/>
      <c r="Y384" s="46">
        <v>17.100000000000001</v>
      </c>
      <c r="Z384" s="46"/>
      <c r="AA384" s="2"/>
      <c r="AB384" s="43"/>
      <c r="AC384" s="87"/>
      <c r="AD384" s="1"/>
      <c r="AE384" s="3"/>
      <c r="AF384" s="46"/>
      <c r="AG384" s="1"/>
      <c r="AH384" s="43"/>
      <c r="AI384" s="43"/>
      <c r="AJ384" s="43"/>
      <c r="AK384" s="37" t="s">
        <v>6780</v>
      </c>
      <c r="AL384" s="47"/>
      <c r="AM384" s="49">
        <f>Terre!$G49/Terre!$N49</f>
        <v>317258.88324873091</v>
      </c>
    </row>
    <row r="385" spans="1:39" ht="47.25" customHeight="1">
      <c r="A385" s="187">
        <v>28605672</v>
      </c>
      <c r="B385" s="43"/>
      <c r="C385" s="51">
        <v>45379</v>
      </c>
      <c r="D385" s="37" t="s">
        <v>6781</v>
      </c>
      <c r="E385" s="37" t="s">
        <v>6782</v>
      </c>
      <c r="F385" s="45">
        <v>3258849</v>
      </c>
      <c r="G385" s="16">
        <v>200000</v>
      </c>
      <c r="H385" s="16"/>
      <c r="I385" s="43"/>
      <c r="J385" s="43" t="s">
        <v>5227</v>
      </c>
      <c r="K385" s="43" t="s">
        <v>6783</v>
      </c>
      <c r="L385" s="25"/>
      <c r="M385" s="26"/>
      <c r="N385" s="46"/>
      <c r="O385" s="43"/>
      <c r="P385" s="47"/>
      <c r="Q385" s="267"/>
      <c r="R385" s="47"/>
      <c r="S385" s="43"/>
      <c r="T385" s="43"/>
      <c r="U385" s="43"/>
      <c r="V385" s="43"/>
      <c r="W385" s="43"/>
      <c r="X385" s="16"/>
      <c r="Y385" s="46"/>
      <c r="Z385" s="46"/>
      <c r="AA385" s="102"/>
      <c r="AB385" s="43"/>
      <c r="AC385" s="87"/>
      <c r="AD385" s="16"/>
      <c r="AE385" s="103"/>
      <c r="AF385" s="46"/>
      <c r="AG385" s="16"/>
      <c r="AH385" s="43"/>
      <c r="AI385" s="43"/>
      <c r="AJ385" s="43"/>
      <c r="AK385" s="37"/>
      <c r="AL385" s="47"/>
      <c r="AM385" s="74" t="e">
        <f>G385/N385</f>
        <v>#DIV/0!</v>
      </c>
    </row>
    <row r="386" spans="1:39" ht="47.25" hidden="1" customHeight="1">
      <c r="A386" s="196">
        <v>28604755</v>
      </c>
      <c r="C386" s="317">
        <v>45379</v>
      </c>
      <c r="D386" s="249" t="s">
        <v>6784</v>
      </c>
      <c r="E386" s="249" t="s">
        <v>6785</v>
      </c>
      <c r="F386" t="s">
        <v>6786</v>
      </c>
      <c r="G386" s="94">
        <v>3000000</v>
      </c>
      <c r="I386" t="s">
        <v>53</v>
      </c>
      <c r="J386" t="s">
        <v>55</v>
      </c>
      <c r="K386" s="249" t="s">
        <v>6787</v>
      </c>
      <c r="L386" s="96">
        <v>47.508960000000002</v>
      </c>
      <c r="M386" s="96">
        <v>-68.944987999999995</v>
      </c>
      <c r="N386" s="63">
        <v>330.18</v>
      </c>
      <c r="O386" t="s">
        <v>18</v>
      </c>
      <c r="P386" t="s">
        <v>19</v>
      </c>
      <c r="Q386" s="436">
        <v>4</v>
      </c>
      <c r="R386" t="s">
        <v>6788</v>
      </c>
      <c r="S386">
        <v>49.6</v>
      </c>
      <c r="AK386" t="s">
        <v>6789</v>
      </c>
      <c r="AM386" s="1">
        <f>G386/N386</f>
        <v>9085.9531164819182</v>
      </c>
    </row>
    <row r="387" spans="1:39" ht="47.25" hidden="1" customHeight="1">
      <c r="A387" s="187">
        <v>28607325</v>
      </c>
      <c r="B387" s="43"/>
      <c r="C387" s="51">
        <v>45384</v>
      </c>
      <c r="D387" s="37" t="s">
        <v>6790</v>
      </c>
      <c r="E387" s="37" t="s">
        <v>6791</v>
      </c>
      <c r="F387" s="45">
        <v>4449441</v>
      </c>
      <c r="G387" s="1">
        <v>125000</v>
      </c>
      <c r="H387" s="1"/>
      <c r="I387" s="43" t="s">
        <v>321</v>
      </c>
      <c r="J387" s="43" t="s">
        <v>6792</v>
      </c>
      <c r="K387" s="43" t="s">
        <v>6793</v>
      </c>
      <c r="L387" s="4" t="s">
        <v>6794</v>
      </c>
      <c r="M387" s="7" t="s">
        <v>6795</v>
      </c>
      <c r="N387" s="46">
        <v>5.67</v>
      </c>
      <c r="O387" s="43" t="s">
        <v>18</v>
      </c>
      <c r="P387" s="47" t="s">
        <v>206</v>
      </c>
      <c r="Q387" s="267">
        <v>3</v>
      </c>
      <c r="R387" s="47" t="s">
        <v>4669</v>
      </c>
      <c r="S387" s="43">
        <v>5.2</v>
      </c>
      <c r="T387" s="43" t="s">
        <v>4596</v>
      </c>
      <c r="U387" s="43">
        <v>0</v>
      </c>
      <c r="V387" s="43" t="s">
        <v>5029</v>
      </c>
      <c r="W387" s="43"/>
      <c r="X387" s="1"/>
      <c r="Y387" s="46">
        <v>0</v>
      </c>
      <c r="Z387" s="46"/>
      <c r="AA387" s="2"/>
      <c r="AB387" s="43"/>
      <c r="AC387" s="87"/>
      <c r="AD387" s="1"/>
      <c r="AE387" s="3"/>
      <c r="AF387" s="46"/>
      <c r="AG387" s="1"/>
      <c r="AH387" s="43"/>
      <c r="AI387" s="43"/>
      <c r="AJ387" s="43"/>
      <c r="AK387" s="37" t="s">
        <v>6796</v>
      </c>
      <c r="AL387" s="47"/>
      <c r="AM387" s="49">
        <f>Terre!$G47/Terre!$N47</f>
        <v>17032.551097653293</v>
      </c>
    </row>
    <row r="388" spans="1:39" ht="47.25" hidden="1" customHeight="1">
      <c r="A388" s="187">
        <v>28609632</v>
      </c>
      <c r="B388" s="43"/>
      <c r="C388" s="51">
        <v>45384</v>
      </c>
      <c r="D388" s="37" t="s">
        <v>6797</v>
      </c>
      <c r="E388" s="37" t="s">
        <v>6798</v>
      </c>
      <c r="F388" s="45" t="s">
        <v>6799</v>
      </c>
      <c r="G388" s="1">
        <v>42300</v>
      </c>
      <c r="H388" s="1"/>
      <c r="I388" s="43" t="s">
        <v>679</v>
      </c>
      <c r="J388" s="43" t="s">
        <v>680</v>
      </c>
      <c r="K388" s="43" t="s">
        <v>6800</v>
      </c>
      <c r="L388" s="4" t="s">
        <v>6801</v>
      </c>
      <c r="M388" s="7" t="s">
        <v>6802</v>
      </c>
      <c r="N388" s="46">
        <f>4.9+1.94+7.3</f>
        <v>14.14</v>
      </c>
      <c r="O388" s="43" t="s">
        <v>18</v>
      </c>
      <c r="P388" s="47" t="s">
        <v>949</v>
      </c>
      <c r="Q388" s="267">
        <v>4</v>
      </c>
      <c r="R388" s="47" t="s">
        <v>4604</v>
      </c>
      <c r="S388" s="43">
        <f>3.8+1.8</f>
        <v>5.6</v>
      </c>
      <c r="T388" s="43" t="s">
        <v>5103</v>
      </c>
      <c r="U388" s="43">
        <v>0</v>
      </c>
      <c r="V388" s="43"/>
      <c r="W388" s="43"/>
      <c r="X388" s="1"/>
      <c r="Y388" s="46">
        <f>2.5+4.9</f>
        <v>7.4</v>
      </c>
      <c r="Z388" s="46"/>
      <c r="AA388" s="2"/>
      <c r="AB388" s="43"/>
      <c r="AC388" s="87"/>
      <c r="AD388" s="1"/>
      <c r="AE388" s="3"/>
      <c r="AF388" s="46"/>
      <c r="AG388" s="1"/>
      <c r="AH388" s="43"/>
      <c r="AI388" s="43"/>
      <c r="AJ388" s="43"/>
      <c r="AK388" s="37" t="s">
        <v>6780</v>
      </c>
      <c r="AL388" s="47"/>
      <c r="AM388" s="49">
        <f>Terre!$G48/Terre!$N48</f>
        <v>45582.047685834506</v>
      </c>
    </row>
    <row r="389" spans="1:39" ht="47.25" hidden="1" customHeight="1">
      <c r="A389" s="187">
        <v>28696480</v>
      </c>
      <c r="B389" s="43"/>
      <c r="C389" s="51">
        <v>45384</v>
      </c>
      <c r="D389" s="37" t="s">
        <v>6803</v>
      </c>
      <c r="E389" s="37" t="s">
        <v>6804</v>
      </c>
      <c r="F389" s="45">
        <v>6287720</v>
      </c>
      <c r="G389" s="16">
        <v>1054500</v>
      </c>
      <c r="H389" s="16"/>
      <c r="I389" s="43" t="s">
        <v>192</v>
      </c>
      <c r="J389" s="43" t="s">
        <v>6805</v>
      </c>
      <c r="K389" s="43" t="s">
        <v>6806</v>
      </c>
      <c r="L389" s="25"/>
      <c r="M389" s="26"/>
      <c r="N389" s="46">
        <v>20.28</v>
      </c>
      <c r="O389" s="43" t="s">
        <v>4996</v>
      </c>
      <c r="P389" s="47"/>
      <c r="Q389" s="267" t="s">
        <v>6807</v>
      </c>
      <c r="R389" s="47"/>
      <c r="S389" s="43" t="e">
        <v>#REF!</v>
      </c>
      <c r="T389" s="43"/>
      <c r="U389" s="43" t="e">
        <v>#REF!</v>
      </c>
      <c r="V389" s="43" t="s">
        <v>5288</v>
      </c>
      <c r="W389" s="43"/>
      <c r="X389" s="16"/>
      <c r="Y389" s="46">
        <v>0</v>
      </c>
      <c r="Z389" s="46"/>
      <c r="AA389" s="102"/>
      <c r="AB389" s="43"/>
      <c r="AC389" s="87"/>
      <c r="AD389" s="16"/>
      <c r="AE389" s="103"/>
      <c r="AF389" s="46"/>
      <c r="AG389" s="16"/>
      <c r="AH389" s="43"/>
      <c r="AI389" s="43"/>
      <c r="AJ389" s="43"/>
      <c r="AK389" s="37"/>
      <c r="AL389" s="47"/>
      <c r="AM389" s="74">
        <f>G389/N389</f>
        <v>51997.041420118338</v>
      </c>
    </row>
    <row r="390" spans="1:39" ht="47.25" hidden="1" customHeight="1">
      <c r="A390" s="187">
        <v>28665181</v>
      </c>
      <c r="B390" s="43"/>
      <c r="C390" s="51">
        <v>45384</v>
      </c>
      <c r="D390" s="37" t="s">
        <v>6808</v>
      </c>
      <c r="E390" s="37" t="s">
        <v>6809</v>
      </c>
      <c r="F390" s="45" t="s">
        <v>6810</v>
      </c>
      <c r="G390" s="1">
        <v>1301000</v>
      </c>
      <c r="H390" s="1"/>
      <c r="I390" s="43" t="s">
        <v>594</v>
      </c>
      <c r="J390" s="43" t="s">
        <v>6811</v>
      </c>
      <c r="K390" s="43" t="s">
        <v>6812</v>
      </c>
      <c r="L390" s="7" t="s">
        <v>6813</v>
      </c>
      <c r="M390" s="7" t="s">
        <v>6814</v>
      </c>
      <c r="N390" s="46">
        <f>7.16+14.87</f>
        <v>22.03</v>
      </c>
      <c r="O390" s="43" t="s">
        <v>18</v>
      </c>
      <c r="P390" s="47" t="s">
        <v>206</v>
      </c>
      <c r="Q390" s="267" t="s">
        <v>4856</v>
      </c>
      <c r="R390" s="47" t="s">
        <v>4669</v>
      </c>
      <c r="S390" s="43">
        <f>9.6+11.5</f>
        <v>21.1</v>
      </c>
      <c r="T390" s="43" t="s">
        <v>4596</v>
      </c>
      <c r="U390" s="43">
        <v>0</v>
      </c>
      <c r="V390" s="43" t="s">
        <v>5038</v>
      </c>
      <c r="W390" s="43"/>
      <c r="X390" s="1"/>
      <c r="Y390" s="46">
        <v>0</v>
      </c>
      <c r="Z390" s="46"/>
      <c r="AA390" s="2"/>
      <c r="AB390" s="43"/>
      <c r="AC390" s="87"/>
      <c r="AD390" s="1"/>
      <c r="AE390" s="3"/>
      <c r="AF390" s="46"/>
      <c r="AG390" s="1"/>
      <c r="AH390" s="43"/>
      <c r="AI390" s="43"/>
      <c r="AJ390" s="43"/>
      <c r="AK390" s="37" t="s">
        <v>6210</v>
      </c>
      <c r="AL390" s="47"/>
      <c r="AM390" s="49">
        <f>Terre!$G45/Terre!$N45</f>
        <v>56580.074006736802</v>
      </c>
    </row>
    <row r="391" spans="1:39" ht="47.25" hidden="1" customHeight="1">
      <c r="A391" s="187">
        <v>28609757</v>
      </c>
      <c r="B391" s="43"/>
      <c r="C391" s="51">
        <v>45384</v>
      </c>
      <c r="D391" s="37" t="s">
        <v>6815</v>
      </c>
      <c r="E391" s="37" t="s">
        <v>6816</v>
      </c>
      <c r="F391" s="45">
        <v>5190316</v>
      </c>
      <c r="G391" s="1">
        <v>550000</v>
      </c>
      <c r="H391" s="1"/>
      <c r="I391" s="43" t="s">
        <v>75</v>
      </c>
      <c r="J391" s="43" t="s">
        <v>3001</v>
      </c>
      <c r="K391" s="43" t="s">
        <v>6817</v>
      </c>
      <c r="L391" s="4" t="s">
        <v>6818</v>
      </c>
      <c r="M391" s="7" t="s">
        <v>6819</v>
      </c>
      <c r="N391" s="46">
        <v>23.92</v>
      </c>
      <c r="O391" s="43" t="s">
        <v>18</v>
      </c>
      <c r="P391" s="47" t="s">
        <v>4702</v>
      </c>
      <c r="Q391" s="267" t="s">
        <v>4856</v>
      </c>
      <c r="R391" s="47" t="s">
        <v>4669</v>
      </c>
      <c r="S391" s="43">
        <f>14.2+7</f>
        <v>21.2</v>
      </c>
      <c r="T391" s="43" t="s">
        <v>4596</v>
      </c>
      <c r="U391" s="43">
        <v>0</v>
      </c>
      <c r="V391" s="43" t="s">
        <v>4628</v>
      </c>
      <c r="W391" s="43"/>
      <c r="X391" s="1"/>
      <c r="Y391" s="46">
        <v>0</v>
      </c>
      <c r="Z391" s="46"/>
      <c r="AA391" s="2"/>
      <c r="AB391" s="43"/>
      <c r="AC391" s="87"/>
      <c r="AD391" s="1"/>
      <c r="AE391" s="3"/>
      <c r="AF391" s="46"/>
      <c r="AG391" s="1"/>
      <c r="AH391" s="43"/>
      <c r="AI391" s="43"/>
      <c r="AJ391" s="43"/>
      <c r="AK391" s="37" t="s">
        <v>6820</v>
      </c>
      <c r="AL391" s="47"/>
      <c r="AM391" s="49">
        <f>Terre!$G46/Terre!$N46</f>
        <v>48569.598633646456</v>
      </c>
    </row>
    <row r="392" spans="1:39" ht="47.25" hidden="1" customHeight="1">
      <c r="A392" s="187">
        <v>28696480</v>
      </c>
      <c r="B392" s="43" t="s">
        <v>4652</v>
      </c>
      <c r="C392" s="51">
        <v>45384</v>
      </c>
      <c r="D392" s="37" t="s">
        <v>6803</v>
      </c>
      <c r="E392" s="37" t="s">
        <v>6804</v>
      </c>
      <c r="F392" s="45" t="s">
        <v>6821</v>
      </c>
      <c r="G392" s="16">
        <v>1054500</v>
      </c>
      <c r="H392" s="16" t="s">
        <v>4652</v>
      </c>
      <c r="I392" s="43" t="s">
        <v>192</v>
      </c>
      <c r="J392" s="43" t="s">
        <v>6805</v>
      </c>
      <c r="K392" s="43" t="s">
        <v>6806</v>
      </c>
      <c r="L392" s="25" t="s">
        <v>4652</v>
      </c>
      <c r="M392" s="26" t="s">
        <v>4652</v>
      </c>
      <c r="N392" s="46" t="s">
        <v>6822</v>
      </c>
      <c r="O392" s="43" t="s">
        <v>36</v>
      </c>
      <c r="P392" s="47" t="s">
        <v>4652</v>
      </c>
      <c r="Q392" s="267" t="s">
        <v>6807</v>
      </c>
      <c r="R392" s="47" t="s">
        <v>4652</v>
      </c>
      <c r="S392" s="282">
        <v>17.600000000000001</v>
      </c>
      <c r="T392" s="43" t="s">
        <v>4652</v>
      </c>
      <c r="U392" s="43" t="s">
        <v>6823</v>
      </c>
      <c r="V392" s="43" t="s">
        <v>4652</v>
      </c>
      <c r="W392" s="43"/>
      <c r="X392" s="16" t="s">
        <v>4652</v>
      </c>
      <c r="Y392" s="46">
        <v>0</v>
      </c>
      <c r="Z392" s="46"/>
      <c r="AA392" s="102"/>
      <c r="AB392" s="43"/>
      <c r="AC392" s="87"/>
      <c r="AD392" s="16"/>
      <c r="AE392" s="103"/>
      <c r="AF392" s="46"/>
      <c r="AG392" s="16" t="s">
        <v>4996</v>
      </c>
      <c r="AH392" s="43">
        <v>0</v>
      </c>
      <c r="AI392" s="43"/>
      <c r="AJ392" s="43"/>
      <c r="AK392" s="37"/>
      <c r="AL392" s="47" t="s">
        <v>4996</v>
      </c>
      <c r="AM392" s="49">
        <f>Table3[[#This Row],[Prixdevente($)]]/Table3[[#This Row],[Superficie cultivée (ha)]]</f>
        <v>59914.772727272721</v>
      </c>
    </row>
    <row r="393" spans="1:39" ht="47.25" hidden="1" customHeight="1">
      <c r="A393" s="351">
        <v>28616103</v>
      </c>
      <c r="B393" s="66"/>
      <c r="C393" s="324">
        <v>45386</v>
      </c>
      <c r="D393" s="66" t="s">
        <v>6824</v>
      </c>
      <c r="E393" s="66" t="s">
        <v>6825</v>
      </c>
      <c r="F393" s="66" t="s">
        <v>6826</v>
      </c>
      <c r="G393" s="98">
        <v>34500</v>
      </c>
      <c r="H393" s="98"/>
      <c r="I393" s="66" t="s">
        <v>4432</v>
      </c>
      <c r="J393" s="66" t="s">
        <v>6827</v>
      </c>
      <c r="K393" s="66" t="s">
        <v>6828</v>
      </c>
      <c r="L393" s="100">
        <v>48.482308000000003</v>
      </c>
      <c r="M393" s="101" t="s">
        <v>6829</v>
      </c>
      <c r="N393" s="123">
        <v>25.89</v>
      </c>
      <c r="O393" s="66" t="s">
        <v>18</v>
      </c>
      <c r="P393" s="66" t="s">
        <v>206</v>
      </c>
      <c r="Q393" s="450" t="s">
        <v>4771</v>
      </c>
      <c r="R393" s="66" t="s">
        <v>5485</v>
      </c>
      <c r="S393" s="66">
        <v>23.6</v>
      </c>
      <c r="T393" s="66" t="s">
        <v>4596</v>
      </c>
      <c r="U393" s="66"/>
      <c r="V393" s="66"/>
      <c r="W393" s="66" t="s">
        <v>4774</v>
      </c>
      <c r="X393" s="98"/>
      <c r="Y393" s="123">
        <v>0</v>
      </c>
      <c r="Z393" s="123"/>
      <c r="AA393" s="99"/>
      <c r="AB393" s="66"/>
      <c r="AC393" s="124"/>
      <c r="AD393" s="98"/>
      <c r="AE393" s="98"/>
      <c r="AF393" s="123"/>
      <c r="AG393" s="98"/>
      <c r="AH393" s="66"/>
      <c r="AI393" s="66"/>
      <c r="AJ393" s="66"/>
      <c r="AK393" s="66"/>
      <c r="AL393" s="66"/>
      <c r="AM393" s="465">
        <f>G393/N393</f>
        <v>1332.5608342989572</v>
      </c>
    </row>
    <row r="394" spans="1:39" ht="47.25" hidden="1" customHeight="1">
      <c r="A394" s="194">
        <v>28616717</v>
      </c>
      <c r="B394" s="139"/>
      <c r="C394" s="148">
        <v>45387</v>
      </c>
      <c r="D394" s="60" t="s">
        <v>6830</v>
      </c>
      <c r="E394" s="60" t="s">
        <v>6831</v>
      </c>
      <c r="F394" s="140" t="s">
        <v>6832</v>
      </c>
      <c r="G394" s="141">
        <v>418275</v>
      </c>
      <c r="H394" s="141"/>
      <c r="I394" s="139" t="s">
        <v>6143</v>
      </c>
      <c r="J394" s="139" t="s">
        <v>6833</v>
      </c>
      <c r="K394" s="139" t="s">
        <v>6834</v>
      </c>
      <c r="L394" s="142">
        <v>45.278506</v>
      </c>
      <c r="M394" s="143">
        <v>-73.766863000000001</v>
      </c>
      <c r="N394" s="144">
        <v>16.899999999999999</v>
      </c>
      <c r="O394" s="139" t="s">
        <v>36</v>
      </c>
      <c r="P394" s="60" t="s">
        <v>1679</v>
      </c>
      <c r="Q394" s="439">
        <v>2</v>
      </c>
      <c r="R394" s="60" t="s">
        <v>4669</v>
      </c>
      <c r="S394" s="139">
        <v>16.899999999999999</v>
      </c>
      <c r="T394" s="139" t="s">
        <v>4596</v>
      </c>
      <c r="U394" s="139"/>
      <c r="V394" s="139"/>
      <c r="W394" s="139"/>
      <c r="X394" s="141"/>
      <c r="Y394" s="144">
        <v>0</v>
      </c>
      <c r="Z394" s="144"/>
      <c r="AA394" s="145"/>
      <c r="AB394" s="139"/>
      <c r="AC394" s="146"/>
      <c r="AD394" s="141"/>
      <c r="AE394" s="158"/>
      <c r="AF394" s="144"/>
      <c r="AG394" s="141"/>
      <c r="AH394" s="139"/>
      <c r="AI394" s="139"/>
      <c r="AJ394" s="139"/>
      <c r="AK394" s="60" t="s">
        <v>6835</v>
      </c>
      <c r="AL394" s="60"/>
      <c r="AM394" s="141">
        <f>G394/N394</f>
        <v>24750.000000000004</v>
      </c>
    </row>
    <row r="395" spans="1:39" ht="47.25" customHeight="1">
      <c r="A395" s="196" t="s">
        <v>6836</v>
      </c>
      <c r="C395" s="317">
        <v>45387</v>
      </c>
      <c r="F395" t="s">
        <v>6837</v>
      </c>
      <c r="I395" t="s">
        <v>39</v>
      </c>
      <c r="J395" t="s">
        <v>2953</v>
      </c>
      <c r="AM395" s="1" t="e">
        <f>G395/N395</f>
        <v>#DIV/0!</v>
      </c>
    </row>
    <row r="396" spans="1:39" ht="47.25" hidden="1" customHeight="1">
      <c r="A396" s="196">
        <v>28622424</v>
      </c>
      <c r="C396" s="317">
        <v>45392</v>
      </c>
      <c r="D396" t="s">
        <v>6838</v>
      </c>
      <c r="E396" t="s">
        <v>6839</v>
      </c>
      <c r="F396" t="s">
        <v>6840</v>
      </c>
      <c r="G396" s="94">
        <v>630000</v>
      </c>
      <c r="J396" t="s">
        <v>5171</v>
      </c>
      <c r="K396" t="s">
        <v>6841</v>
      </c>
      <c r="L396" s="96" t="s">
        <v>6842</v>
      </c>
      <c r="M396" s="245" t="s">
        <v>6843</v>
      </c>
      <c r="N396" s="63">
        <f>4.82+5.96</f>
        <v>10.780000000000001</v>
      </c>
      <c r="O396" s="43" t="s">
        <v>36</v>
      </c>
      <c r="P396" t="s">
        <v>35</v>
      </c>
      <c r="Q396" s="436">
        <v>2</v>
      </c>
      <c r="R396" t="s">
        <v>4669</v>
      </c>
      <c r="S396">
        <f>2.7+2.9+2.2</f>
        <v>7.8</v>
      </c>
      <c r="Y396" s="63">
        <v>0.6</v>
      </c>
      <c r="AM396" s="1">
        <f>G396/N396</f>
        <v>58441.558441558438</v>
      </c>
    </row>
    <row r="397" spans="1:39" ht="47.25" hidden="1" customHeight="1">
      <c r="A397" s="187">
        <v>28693970</v>
      </c>
      <c r="B397" s="43"/>
      <c r="C397" s="51">
        <v>45392</v>
      </c>
      <c r="D397" s="37" t="s">
        <v>6844</v>
      </c>
      <c r="E397" s="37" t="s">
        <v>6845</v>
      </c>
      <c r="F397" s="45" t="s">
        <v>6846</v>
      </c>
      <c r="G397" s="1">
        <v>1000000</v>
      </c>
      <c r="H397" s="1"/>
      <c r="I397" s="43" t="s">
        <v>611</v>
      </c>
      <c r="J397" s="43" t="s">
        <v>6010</v>
      </c>
      <c r="K397" s="43"/>
      <c r="L397" s="7" t="s">
        <v>6847</v>
      </c>
      <c r="M397" s="7" t="s">
        <v>6848</v>
      </c>
      <c r="N397" s="46">
        <v>18.95</v>
      </c>
      <c r="O397" s="43" t="s">
        <v>18</v>
      </c>
      <c r="P397" s="47" t="s">
        <v>206</v>
      </c>
      <c r="Q397" s="267" t="s">
        <v>4856</v>
      </c>
      <c r="R397" s="47" t="s">
        <v>4669</v>
      </c>
      <c r="S397" s="43">
        <f>13.9+3.9</f>
        <v>17.8</v>
      </c>
      <c r="T397" s="43" t="s">
        <v>4596</v>
      </c>
      <c r="U397" s="43">
        <f>18.95</f>
        <v>18.95</v>
      </c>
      <c r="V397" s="43" t="s">
        <v>5038</v>
      </c>
      <c r="W397" s="43"/>
      <c r="X397" s="1"/>
      <c r="Y397" s="46">
        <v>0</v>
      </c>
      <c r="Z397" s="46"/>
      <c r="AA397" s="2"/>
      <c r="AB397" s="43"/>
      <c r="AC397" s="87"/>
      <c r="AD397" s="1"/>
      <c r="AE397" s="3"/>
      <c r="AF397" s="46"/>
      <c r="AG397" s="1"/>
      <c r="AH397" s="43"/>
      <c r="AI397" s="43"/>
      <c r="AJ397" s="43"/>
      <c r="AK397" s="37" t="s">
        <v>6849</v>
      </c>
      <c r="AL397" s="47"/>
      <c r="AM397" s="49">
        <f>Terre!$G44/Terre!$N44</f>
        <v>13316.35651322233</v>
      </c>
    </row>
    <row r="398" spans="1:39" ht="47.25" hidden="1" customHeight="1">
      <c r="A398" s="196">
        <v>28622743</v>
      </c>
      <c r="C398" s="317">
        <v>45392</v>
      </c>
      <c r="D398" s="247" t="s">
        <v>6850</v>
      </c>
      <c r="E398" s="247" t="s">
        <v>6851</v>
      </c>
      <c r="F398" t="s">
        <v>6852</v>
      </c>
      <c r="G398" s="94">
        <v>1000000</v>
      </c>
      <c r="I398" t="s">
        <v>29</v>
      </c>
      <c r="J398" s="20" t="s">
        <v>1490</v>
      </c>
      <c r="L398" s="96">
        <v>46.885682000000003</v>
      </c>
      <c r="M398" s="96">
        <v>-70.653620000000004</v>
      </c>
      <c r="N398" s="63">
        <v>101.48</v>
      </c>
      <c r="O398" t="s">
        <v>18</v>
      </c>
      <c r="P398" t="s">
        <v>19</v>
      </c>
      <c r="Q398" s="436">
        <v>3</v>
      </c>
      <c r="R398" t="s">
        <v>4669</v>
      </c>
      <c r="S398">
        <v>67.900000000000006</v>
      </c>
      <c r="Y398" s="63">
        <v>30.3</v>
      </c>
      <c r="AK398" t="s">
        <v>6853</v>
      </c>
      <c r="AM398" s="1">
        <f>G398/N398</f>
        <v>9854.1584548679548</v>
      </c>
    </row>
    <row r="399" spans="1:39" ht="47.25" hidden="1" customHeight="1">
      <c r="A399" s="187">
        <v>28626252</v>
      </c>
      <c r="B399" s="43"/>
      <c r="C399" s="51">
        <v>45393</v>
      </c>
      <c r="D399" s="37" t="s">
        <v>6854</v>
      </c>
      <c r="E399" s="37" t="s">
        <v>6855</v>
      </c>
      <c r="F399" s="223" t="s">
        <v>6856</v>
      </c>
      <c r="G399" s="1">
        <v>1475000</v>
      </c>
      <c r="H399" s="1"/>
      <c r="I399" s="43" t="s">
        <v>48</v>
      </c>
      <c r="J399" s="223" t="s">
        <v>6857</v>
      </c>
      <c r="K399" s="43" t="s">
        <v>6858</v>
      </c>
      <c r="L399" s="4">
        <v>45.591942000000003</v>
      </c>
      <c r="M399" s="7">
        <v>-72.661966000000007</v>
      </c>
      <c r="N399" s="46">
        <v>35.76</v>
      </c>
      <c r="O399" s="43" t="s">
        <v>36</v>
      </c>
      <c r="P399" s="47" t="s">
        <v>1679</v>
      </c>
      <c r="Q399" s="267">
        <v>3</v>
      </c>
      <c r="R399" s="47" t="s">
        <v>4669</v>
      </c>
      <c r="S399" s="43">
        <v>33.6</v>
      </c>
      <c r="T399" s="43" t="s">
        <v>4596</v>
      </c>
      <c r="U399" s="43"/>
      <c r="V399" s="43"/>
      <c r="W399" s="43"/>
      <c r="X399" s="1"/>
      <c r="Y399" s="46"/>
      <c r="Z399" s="46"/>
      <c r="AA399" s="2"/>
      <c r="AB399" s="43"/>
      <c r="AC399" s="87"/>
      <c r="AD399" s="1"/>
      <c r="AE399" s="3"/>
      <c r="AF399" s="46"/>
      <c r="AG399" s="1"/>
      <c r="AH399" s="43"/>
      <c r="AI399" s="43"/>
      <c r="AJ399" s="43"/>
      <c r="AK399" s="37" t="s">
        <v>6859</v>
      </c>
      <c r="AL399" s="47"/>
      <c r="AM399" s="1">
        <f>G399/N399</f>
        <v>41247.203579418347</v>
      </c>
    </row>
    <row r="400" spans="1:39" ht="47.25" hidden="1" customHeight="1">
      <c r="A400" s="187">
        <v>28626252</v>
      </c>
      <c r="B400" s="43" t="s">
        <v>4652</v>
      </c>
      <c r="C400" s="51">
        <v>45393</v>
      </c>
      <c r="D400" s="37" t="s">
        <v>6860</v>
      </c>
      <c r="E400" s="37" t="s">
        <v>6861</v>
      </c>
      <c r="F400" s="45" t="s">
        <v>6856</v>
      </c>
      <c r="G400" s="16">
        <v>1475000</v>
      </c>
      <c r="H400" s="16" t="s">
        <v>4652</v>
      </c>
      <c r="I400" s="43" t="s">
        <v>192</v>
      </c>
      <c r="J400" s="43" t="s">
        <v>6862</v>
      </c>
      <c r="K400" s="43" t="s">
        <v>6863</v>
      </c>
      <c r="L400" s="25" t="s">
        <v>4652</v>
      </c>
      <c r="M400" s="26" t="s">
        <v>4652</v>
      </c>
      <c r="N400" s="46" t="s">
        <v>6864</v>
      </c>
      <c r="O400" s="43" t="s">
        <v>36</v>
      </c>
      <c r="P400" s="47" t="s">
        <v>4652</v>
      </c>
      <c r="Q400" s="267" t="s">
        <v>6865</v>
      </c>
      <c r="R400" s="47" t="s">
        <v>4652</v>
      </c>
      <c r="S400" s="282">
        <v>29.8</v>
      </c>
      <c r="T400" s="43" t="s">
        <v>4652</v>
      </c>
      <c r="U400" s="43"/>
      <c r="V400" s="43" t="s">
        <v>4652</v>
      </c>
      <c r="W400" s="43"/>
      <c r="X400" s="16" t="s">
        <v>4652</v>
      </c>
      <c r="Y400" s="46">
        <v>0</v>
      </c>
      <c r="Z400" s="46"/>
      <c r="AA400" s="102"/>
      <c r="AB400" s="43"/>
      <c r="AC400" s="87"/>
      <c r="AD400" s="16"/>
      <c r="AE400" s="103"/>
      <c r="AF400" s="46"/>
      <c r="AG400" s="16" t="s">
        <v>4996</v>
      </c>
      <c r="AH400" s="43">
        <v>0</v>
      </c>
      <c r="AI400" s="43"/>
      <c r="AJ400" s="43"/>
      <c r="AK400" s="37"/>
      <c r="AL400" s="47" t="s">
        <v>4996</v>
      </c>
      <c r="AM400" s="49">
        <f>Table3[[#This Row],[Prixdevente($)]]/Table3[[#This Row],[Superficie cultivée (ha)]]</f>
        <v>49496.644295302009</v>
      </c>
    </row>
    <row r="401" spans="1:39" ht="47.25" hidden="1" customHeight="1">
      <c r="A401" s="196">
        <v>28631097</v>
      </c>
      <c r="C401" s="317">
        <v>45397</v>
      </c>
      <c r="D401" s="247" t="s">
        <v>6866</v>
      </c>
      <c r="E401" s="247" t="s">
        <v>6867</v>
      </c>
      <c r="F401" s="247" t="s">
        <v>6868</v>
      </c>
      <c r="G401" s="94">
        <v>4585000</v>
      </c>
      <c r="I401" t="s">
        <v>611</v>
      </c>
      <c r="J401" t="s">
        <v>6193</v>
      </c>
      <c r="K401" t="s">
        <v>6869</v>
      </c>
      <c r="L401" s="96">
        <v>45.214471000000003</v>
      </c>
      <c r="M401" s="96">
        <v>-73.294127000000003</v>
      </c>
      <c r="N401" s="63">
        <v>84.09</v>
      </c>
      <c r="O401" t="s">
        <v>18</v>
      </c>
      <c r="P401" t="s">
        <v>35</v>
      </c>
      <c r="Q401" s="436">
        <v>2</v>
      </c>
      <c r="R401" t="s">
        <v>4669</v>
      </c>
      <c r="S401">
        <v>80.099999999999994</v>
      </c>
      <c r="U401">
        <f>Table3[[#This Row],[Superficie cultivée (ha)]]-7.95</f>
        <v>72.149999999999991</v>
      </c>
      <c r="V401" s="43" t="s">
        <v>5038</v>
      </c>
      <c r="W401" s="43"/>
      <c r="AK401" t="s">
        <v>6870</v>
      </c>
      <c r="AM401" s="1">
        <f t="shared" ref="AM401:AM409" si="16">G401/N401</f>
        <v>54524.913782851705</v>
      </c>
    </row>
    <row r="402" spans="1:39" ht="47.25" customHeight="1">
      <c r="A402" s="187" t="s">
        <v>6871</v>
      </c>
      <c r="B402" s="43"/>
      <c r="C402" s="51">
        <v>45397</v>
      </c>
      <c r="D402" s="37" t="s">
        <v>6872</v>
      </c>
      <c r="E402" s="37" t="s">
        <v>6873</v>
      </c>
      <c r="F402" s="45" t="s">
        <v>6874</v>
      </c>
      <c r="G402" s="16">
        <v>1725000</v>
      </c>
      <c r="H402" s="16"/>
      <c r="I402" s="43"/>
      <c r="J402" s="43" t="s">
        <v>6875</v>
      </c>
      <c r="K402" s="43" t="s">
        <v>6876</v>
      </c>
      <c r="L402" s="25"/>
      <c r="M402" s="26"/>
      <c r="N402" s="46"/>
      <c r="O402" s="43"/>
      <c r="P402" s="47"/>
      <c r="Q402" s="267"/>
      <c r="R402" s="47"/>
      <c r="S402" s="43"/>
      <c r="T402" s="43"/>
      <c r="U402" s="43"/>
      <c r="V402" s="43"/>
      <c r="W402" s="43"/>
      <c r="X402" s="16"/>
      <c r="Y402" s="46"/>
      <c r="Z402" s="46"/>
      <c r="AA402" s="102"/>
      <c r="AB402" s="43"/>
      <c r="AC402" s="87"/>
      <c r="AD402" s="16"/>
      <c r="AE402" s="103"/>
      <c r="AF402" s="46"/>
      <c r="AG402" s="16"/>
      <c r="AH402" s="43"/>
      <c r="AI402" s="43"/>
      <c r="AJ402" s="43" t="s">
        <v>6877</v>
      </c>
      <c r="AK402" s="37"/>
      <c r="AL402" s="47"/>
      <c r="AM402" s="74" t="e">
        <f t="shared" si="16"/>
        <v>#DIV/0!</v>
      </c>
    </row>
    <row r="403" spans="1:39" ht="47.25" hidden="1" customHeight="1">
      <c r="A403" s="196">
        <v>28632808</v>
      </c>
      <c r="C403" s="317">
        <v>45398</v>
      </c>
      <c r="D403" t="s">
        <v>6878</v>
      </c>
      <c r="E403" t="s">
        <v>6879</v>
      </c>
      <c r="F403" s="269">
        <v>1714446</v>
      </c>
      <c r="G403" s="94">
        <v>500000</v>
      </c>
      <c r="I403" t="s">
        <v>2560</v>
      </c>
      <c r="J403" t="s">
        <v>6880</v>
      </c>
      <c r="K403" t="s">
        <v>6881</v>
      </c>
      <c r="L403" s="96" t="s">
        <v>6882</v>
      </c>
      <c r="M403" s="245" t="s">
        <v>6883</v>
      </c>
      <c r="N403" s="63">
        <v>18.21</v>
      </c>
      <c r="O403" s="43" t="s">
        <v>36</v>
      </c>
      <c r="P403" t="s">
        <v>35</v>
      </c>
      <c r="Q403" s="436" t="s">
        <v>6884</v>
      </c>
      <c r="R403" t="s">
        <v>4595</v>
      </c>
      <c r="S403">
        <v>11.1</v>
      </c>
      <c r="U403">
        <f>Table3[[#This Row],[Superficie cultivée (ha)]]</f>
        <v>11.1</v>
      </c>
      <c r="Y403" s="63">
        <v>5.0999999999999996</v>
      </c>
      <c r="AM403" s="1">
        <f t="shared" si="16"/>
        <v>27457.440966501919</v>
      </c>
    </row>
    <row r="404" spans="1:39" ht="47.25" hidden="1" customHeight="1">
      <c r="A404" s="196" t="s">
        <v>6885</v>
      </c>
      <c r="C404" s="317">
        <v>45398</v>
      </c>
      <c r="D404" t="s">
        <v>6886</v>
      </c>
      <c r="E404" t="s">
        <v>6887</v>
      </c>
      <c r="F404" t="s">
        <v>6888</v>
      </c>
      <c r="G404" s="94">
        <v>570000</v>
      </c>
      <c r="I404" t="s">
        <v>3448</v>
      </c>
      <c r="J404" t="s">
        <v>6889</v>
      </c>
      <c r="K404" t="s">
        <v>6890</v>
      </c>
      <c r="L404" s="96">
        <v>45.293007000000003</v>
      </c>
      <c r="M404" s="245" t="s">
        <v>6891</v>
      </c>
      <c r="N404" s="63" t="s">
        <v>6892</v>
      </c>
      <c r="O404" t="s">
        <v>36</v>
      </c>
      <c r="P404" t="s">
        <v>206</v>
      </c>
      <c r="Q404" s="436">
        <v>3</v>
      </c>
      <c r="R404" t="s">
        <v>155</v>
      </c>
      <c r="S404">
        <f>12.9+4.8</f>
        <v>17.7</v>
      </c>
      <c r="Y404" s="63">
        <v>14.1</v>
      </c>
      <c r="AM404" s="1">
        <f t="shared" si="16"/>
        <v>16834.022445363262</v>
      </c>
    </row>
    <row r="405" spans="1:39" ht="47.25" customHeight="1">
      <c r="A405" s="187">
        <v>28634788</v>
      </c>
      <c r="B405" s="43"/>
      <c r="C405" s="51">
        <v>45398</v>
      </c>
      <c r="D405" s="37" t="s">
        <v>6893</v>
      </c>
      <c r="E405" s="37" t="s">
        <v>6894</v>
      </c>
      <c r="F405" s="45">
        <v>6311933</v>
      </c>
      <c r="G405" s="16" t="s">
        <v>6895</v>
      </c>
      <c r="H405" s="16"/>
      <c r="I405" s="43"/>
      <c r="J405" s="43" t="s">
        <v>5154</v>
      </c>
      <c r="K405" s="43">
        <v>0</v>
      </c>
      <c r="L405" s="25"/>
      <c r="M405" s="26"/>
      <c r="N405" s="46"/>
      <c r="O405" s="43"/>
      <c r="P405" s="47"/>
      <c r="Q405" s="267"/>
      <c r="R405" s="47"/>
      <c r="S405" s="43"/>
      <c r="T405" s="43"/>
      <c r="U405" s="43"/>
      <c r="V405" s="43"/>
      <c r="W405" s="43"/>
      <c r="X405" s="16"/>
      <c r="Y405" s="46"/>
      <c r="Z405" s="46"/>
      <c r="AA405" s="102"/>
      <c r="AB405" s="43"/>
      <c r="AC405" s="87"/>
      <c r="AD405" s="16"/>
      <c r="AE405" s="103"/>
      <c r="AF405" s="46"/>
      <c r="AG405" s="16"/>
      <c r="AH405" s="43"/>
      <c r="AI405" s="43"/>
      <c r="AJ405" s="43" t="s">
        <v>4877</v>
      </c>
      <c r="AK405" s="37"/>
      <c r="AL405" s="47"/>
      <c r="AM405" s="74" t="e">
        <f t="shared" si="16"/>
        <v>#VALUE!</v>
      </c>
    </row>
    <row r="406" spans="1:39" ht="47.25" hidden="1" customHeight="1">
      <c r="A406" s="194">
        <v>28635562</v>
      </c>
      <c r="B406" s="139"/>
      <c r="C406" s="148">
        <v>45399</v>
      </c>
      <c r="D406" s="60" t="s">
        <v>6896</v>
      </c>
      <c r="E406" s="60" t="s">
        <v>6897</v>
      </c>
      <c r="F406" s="140" t="s">
        <v>6898</v>
      </c>
      <c r="G406" s="141">
        <v>681552</v>
      </c>
      <c r="H406" s="141"/>
      <c r="I406" s="139" t="s">
        <v>48</v>
      </c>
      <c r="J406" s="139" t="s">
        <v>3121</v>
      </c>
      <c r="K406" s="139" t="s">
        <v>6899</v>
      </c>
      <c r="L406" s="142">
        <v>45.616117000000003</v>
      </c>
      <c r="M406" s="143">
        <v>-72.500647999999998</v>
      </c>
      <c r="N406" s="144">
        <v>96.4</v>
      </c>
      <c r="O406" s="139" t="s">
        <v>36</v>
      </c>
      <c r="P406" s="60" t="s">
        <v>384</v>
      </c>
      <c r="Q406" s="439">
        <v>4</v>
      </c>
      <c r="R406" s="60" t="s">
        <v>4687</v>
      </c>
      <c r="S406" s="139">
        <v>14.2</v>
      </c>
      <c r="T406" s="139" t="s">
        <v>4596</v>
      </c>
      <c r="U406" s="139"/>
      <c r="V406" s="139"/>
      <c r="W406" s="139"/>
      <c r="X406" s="141"/>
      <c r="Y406" s="144">
        <f>Table3[[#This Row],[Superficie totale (ha)]]-Table3[[#This Row],[Superficie cultivée (ha)]]</f>
        <v>82.2</v>
      </c>
      <c r="Z406" s="144"/>
      <c r="AA406" s="145"/>
      <c r="AB406" s="139"/>
      <c r="AC406" s="146"/>
      <c r="AD406" s="141"/>
      <c r="AE406" s="158"/>
      <c r="AF406" s="144"/>
      <c r="AG406" s="141"/>
      <c r="AH406" s="139"/>
      <c r="AI406" s="139"/>
      <c r="AJ406" s="139"/>
      <c r="AK406" s="60"/>
      <c r="AL406" s="60"/>
      <c r="AM406" s="141">
        <f t="shared" si="16"/>
        <v>7070.0414937759333</v>
      </c>
    </row>
    <row r="407" spans="1:39" ht="47.25" hidden="1" customHeight="1">
      <c r="A407" s="187">
        <v>28771962</v>
      </c>
      <c r="B407" s="43"/>
      <c r="C407" s="51">
        <v>45400</v>
      </c>
      <c r="D407" s="37" t="s">
        <v>6900</v>
      </c>
      <c r="E407" s="37" t="s">
        <v>6901</v>
      </c>
      <c r="F407" s="45" t="s">
        <v>6902</v>
      </c>
      <c r="G407" s="16">
        <v>3000000</v>
      </c>
      <c r="H407" s="16"/>
      <c r="I407" s="43" t="s">
        <v>5746</v>
      </c>
      <c r="J407" s="43" t="s">
        <v>5266</v>
      </c>
      <c r="K407" s="43" t="s">
        <v>6903</v>
      </c>
      <c r="L407" s="25"/>
      <c r="M407" s="26"/>
      <c r="N407" s="46">
        <v>36.979999999999997</v>
      </c>
      <c r="O407" s="43" t="s">
        <v>5030</v>
      </c>
      <c r="P407" s="47"/>
      <c r="Q407" s="267" t="s">
        <v>6904</v>
      </c>
      <c r="R407" s="47"/>
      <c r="S407" s="43">
        <v>31.9</v>
      </c>
      <c r="T407" s="43"/>
      <c r="U407" s="43">
        <v>1</v>
      </c>
      <c r="V407" s="43" t="s">
        <v>6905</v>
      </c>
      <c r="W407" s="43"/>
      <c r="X407" s="16"/>
      <c r="Y407" s="46">
        <v>0</v>
      </c>
      <c r="Z407" s="46"/>
      <c r="AA407" s="102"/>
      <c r="AB407" s="43"/>
      <c r="AC407" s="87"/>
      <c r="AD407" s="16"/>
      <c r="AE407" s="103"/>
      <c r="AF407" s="46"/>
      <c r="AG407" s="16"/>
      <c r="AH407" s="43"/>
      <c r="AI407" s="43"/>
      <c r="AJ407" s="43"/>
      <c r="AK407" s="37"/>
      <c r="AL407" s="47"/>
      <c r="AM407" s="74">
        <f t="shared" si="16"/>
        <v>81124.932395889671</v>
      </c>
    </row>
    <row r="408" spans="1:39" ht="47.25" customHeight="1">
      <c r="A408" s="196" t="s">
        <v>6906</v>
      </c>
      <c r="C408" s="317">
        <v>45400</v>
      </c>
      <c r="F408" t="s">
        <v>6907</v>
      </c>
      <c r="G408" s="94">
        <v>175000</v>
      </c>
      <c r="I408" t="s">
        <v>1363</v>
      </c>
      <c r="AM408" s="1" t="e">
        <f t="shared" si="16"/>
        <v>#DIV/0!</v>
      </c>
    </row>
    <row r="409" spans="1:39" ht="47.25" hidden="1" customHeight="1">
      <c r="A409" s="196">
        <v>29364053</v>
      </c>
      <c r="C409" s="317">
        <v>45401</v>
      </c>
      <c r="D409" t="s">
        <v>6908</v>
      </c>
      <c r="E409" t="s">
        <v>6909</v>
      </c>
      <c r="F409">
        <v>6582180</v>
      </c>
      <c r="G409" s="62">
        <v>1200000</v>
      </c>
      <c r="H409" s="62"/>
      <c r="I409" t="s">
        <v>6023</v>
      </c>
      <c r="J409" t="s">
        <v>6024</v>
      </c>
      <c r="K409" t="s">
        <v>6910</v>
      </c>
      <c r="L409" s="288" t="s">
        <v>6911</v>
      </c>
      <c r="M409" s="288" t="s">
        <v>6912</v>
      </c>
      <c r="N409" s="63">
        <v>16.68</v>
      </c>
      <c r="O409" t="s">
        <v>18</v>
      </c>
      <c r="P409" t="s">
        <v>35</v>
      </c>
      <c r="Q409" s="436">
        <v>2</v>
      </c>
      <c r="R409" t="s">
        <v>4669</v>
      </c>
      <c r="S409">
        <v>14.600000000000001</v>
      </c>
      <c r="T409" t="s">
        <v>6913</v>
      </c>
      <c r="U409">
        <f>Table3[[#This Row],[Superficie cultivée (ha)]]</f>
        <v>14.600000000000001</v>
      </c>
      <c r="X409" s="62"/>
      <c r="AA409" s="64"/>
      <c r="AD409" s="62"/>
      <c r="AE409" s="62"/>
      <c r="AF409" s="63" t="s">
        <v>6914</v>
      </c>
      <c r="AG409" s="62"/>
      <c r="AK409" t="s">
        <v>6915</v>
      </c>
      <c r="AL409" t="s">
        <v>6916</v>
      </c>
      <c r="AM409" s="16">
        <f t="shared" si="16"/>
        <v>71942.446043165473</v>
      </c>
    </row>
    <row r="410" spans="1:39" ht="47.25" hidden="1" customHeight="1">
      <c r="A410" s="187">
        <v>28774419</v>
      </c>
      <c r="B410" s="43"/>
      <c r="C410" s="51">
        <v>45404</v>
      </c>
      <c r="D410" s="37" t="s">
        <v>6917</v>
      </c>
      <c r="E410" s="37" t="s">
        <v>6918</v>
      </c>
      <c r="F410" s="43">
        <v>3197983</v>
      </c>
      <c r="G410" s="1">
        <v>432024</v>
      </c>
      <c r="H410" s="1"/>
      <c r="I410" s="43" t="s">
        <v>16</v>
      </c>
      <c r="J410" s="43" t="s">
        <v>1788</v>
      </c>
      <c r="K410" s="43" t="s">
        <v>6919</v>
      </c>
      <c r="L410" s="4" t="s">
        <v>6920</v>
      </c>
      <c r="M410" s="7" t="s">
        <v>6921</v>
      </c>
      <c r="N410" s="46">
        <v>10.62</v>
      </c>
      <c r="O410" s="43" t="s">
        <v>18</v>
      </c>
      <c r="P410" s="47" t="s">
        <v>206</v>
      </c>
      <c r="Q410" s="267" t="s">
        <v>4703</v>
      </c>
      <c r="R410" s="47" t="s">
        <v>5297</v>
      </c>
      <c r="S410" s="43">
        <v>10</v>
      </c>
      <c r="T410" s="43" t="s">
        <v>4596</v>
      </c>
      <c r="U410" s="43">
        <v>10</v>
      </c>
      <c r="V410" s="43" t="s">
        <v>4628</v>
      </c>
      <c r="W410" s="43"/>
      <c r="X410" s="1"/>
      <c r="Y410" s="46">
        <v>0</v>
      </c>
      <c r="Z410" s="46"/>
      <c r="AA410" s="2"/>
      <c r="AB410" s="43"/>
      <c r="AC410" s="87"/>
      <c r="AD410" s="1"/>
      <c r="AE410" s="3"/>
      <c r="AF410" s="46"/>
      <c r="AG410" s="1"/>
      <c r="AH410" s="43"/>
      <c r="AI410" s="43"/>
      <c r="AJ410" s="43"/>
      <c r="AK410" s="37" t="s">
        <v>6922</v>
      </c>
      <c r="AL410" s="47"/>
      <c r="AM410" s="49" t="e">
        <f>Terre!$G43/Terre!$N43</f>
        <v>#VALUE!</v>
      </c>
    </row>
    <row r="411" spans="1:39" ht="47.25" hidden="1" customHeight="1">
      <c r="A411" s="187">
        <v>28644322</v>
      </c>
      <c r="B411" s="43"/>
      <c r="C411" s="51">
        <v>45404</v>
      </c>
      <c r="D411" s="37" t="s">
        <v>6923</v>
      </c>
      <c r="E411" s="37" t="s">
        <v>6924</v>
      </c>
      <c r="F411" s="45" t="s">
        <v>6925</v>
      </c>
      <c r="G411" s="16">
        <v>3500000</v>
      </c>
      <c r="H411" s="16"/>
      <c r="I411" s="43" t="s">
        <v>192</v>
      </c>
      <c r="J411" s="43" t="s">
        <v>5276</v>
      </c>
      <c r="K411" s="43" t="s">
        <v>6926</v>
      </c>
      <c r="L411" s="25"/>
      <c r="M411" s="26"/>
      <c r="N411" s="46">
        <v>62.08</v>
      </c>
      <c r="O411" s="43" t="s">
        <v>6927</v>
      </c>
      <c r="P411" s="47"/>
      <c r="Q411" s="267" t="s">
        <v>5287</v>
      </c>
      <c r="R411" s="47"/>
      <c r="S411" s="43" t="e">
        <v>#REF!</v>
      </c>
      <c r="T411" s="43"/>
      <c r="U411" s="43" t="e">
        <v>#REF!</v>
      </c>
      <c r="V411" s="43" t="s">
        <v>5529</v>
      </c>
      <c r="W411" s="43"/>
      <c r="X411" s="16"/>
      <c r="Y411" s="46">
        <v>0</v>
      </c>
      <c r="Z411" s="46"/>
      <c r="AA411" s="102"/>
      <c r="AB411" s="43"/>
      <c r="AC411" s="87"/>
      <c r="AD411" s="16"/>
      <c r="AE411" s="103"/>
      <c r="AF411" s="46"/>
      <c r="AG411" s="16"/>
      <c r="AH411" s="43"/>
      <c r="AI411" s="43"/>
      <c r="AJ411" s="43" t="s">
        <v>3852</v>
      </c>
      <c r="AK411" s="37"/>
      <c r="AL411" s="47"/>
      <c r="AM411" s="74">
        <f>G411/N411</f>
        <v>56378.865979381444</v>
      </c>
    </row>
    <row r="412" spans="1:39" ht="47.25" hidden="1" customHeight="1">
      <c r="A412" s="187">
        <v>28644322</v>
      </c>
      <c r="B412" s="43" t="s">
        <v>4652</v>
      </c>
      <c r="C412" s="51">
        <v>45404</v>
      </c>
      <c r="D412" s="37" t="s">
        <v>6923</v>
      </c>
      <c r="E412" s="37" t="s">
        <v>6924</v>
      </c>
      <c r="F412" s="45" t="s">
        <v>6925</v>
      </c>
      <c r="G412" s="16">
        <v>3500000</v>
      </c>
      <c r="H412" s="16" t="s">
        <v>4652</v>
      </c>
      <c r="I412" s="43" t="s">
        <v>192</v>
      </c>
      <c r="J412" s="43" t="s">
        <v>5276</v>
      </c>
      <c r="K412" s="43" t="s">
        <v>6926</v>
      </c>
      <c r="L412" s="25" t="s">
        <v>4652</v>
      </c>
      <c r="M412" s="26" t="s">
        <v>4652</v>
      </c>
      <c r="N412" s="46" t="s">
        <v>6928</v>
      </c>
      <c r="O412" s="43" t="s">
        <v>36</v>
      </c>
      <c r="P412" s="47" t="s">
        <v>4652</v>
      </c>
      <c r="Q412" s="267" t="s">
        <v>5287</v>
      </c>
      <c r="R412" s="47" t="s">
        <v>4652</v>
      </c>
      <c r="S412" s="282">
        <v>59.3</v>
      </c>
      <c r="T412" s="43" t="s">
        <v>4652</v>
      </c>
      <c r="U412" s="45">
        <v>59256</v>
      </c>
      <c r="V412" s="43" t="s">
        <v>4652</v>
      </c>
      <c r="W412" s="43"/>
      <c r="X412" s="16" t="s">
        <v>4652</v>
      </c>
      <c r="Y412" s="46">
        <v>0</v>
      </c>
      <c r="Z412" s="46"/>
      <c r="AA412" s="102"/>
      <c r="AB412" s="43"/>
      <c r="AC412" s="87"/>
      <c r="AD412" s="16"/>
      <c r="AE412" s="103"/>
      <c r="AF412" s="46"/>
      <c r="AG412" s="16">
        <v>3000</v>
      </c>
      <c r="AH412" s="43">
        <v>45</v>
      </c>
      <c r="AI412" s="43"/>
      <c r="AJ412" s="43"/>
      <c r="AK412" s="37"/>
      <c r="AL412" s="47" t="s">
        <v>6927</v>
      </c>
      <c r="AM412" s="49">
        <f>Table3[[#This Row],[Prixdevente($)]]/Table3[[#This Row],[Superficie cultivée (ha)]]</f>
        <v>59021.922428330523</v>
      </c>
    </row>
    <row r="413" spans="1:39" ht="47.25" hidden="1" customHeight="1">
      <c r="A413" s="196">
        <v>28646124</v>
      </c>
      <c r="C413" s="317">
        <v>45405</v>
      </c>
      <c r="D413" t="s">
        <v>4870</v>
      </c>
      <c r="E413" t="s">
        <v>6929</v>
      </c>
      <c r="F413" t="s">
        <v>6930</v>
      </c>
      <c r="G413" s="94">
        <v>3800000</v>
      </c>
      <c r="I413" t="s">
        <v>37</v>
      </c>
      <c r="J413" t="s">
        <v>239</v>
      </c>
      <c r="K413" s="20" t="s">
        <v>6931</v>
      </c>
      <c r="L413" s="96" t="s">
        <v>6932</v>
      </c>
      <c r="M413" s="245" t="s">
        <v>6933</v>
      </c>
      <c r="N413" s="63">
        <f>26.59+56.57</f>
        <v>83.16</v>
      </c>
      <c r="O413" t="s">
        <v>18</v>
      </c>
      <c r="P413" t="s">
        <v>35</v>
      </c>
      <c r="Q413" s="436">
        <v>2</v>
      </c>
      <c r="R413" t="s">
        <v>4669</v>
      </c>
      <c r="S413">
        <v>75.2</v>
      </c>
      <c r="AD413" s="94" t="s">
        <v>4926</v>
      </c>
      <c r="AF413" s="63" t="s">
        <v>6934</v>
      </c>
      <c r="AK413" s="20" t="s">
        <v>6935</v>
      </c>
      <c r="AM413" s="1">
        <f t="shared" ref="AM413:AM419" si="17">G413/N413</f>
        <v>45695.045695045694</v>
      </c>
    </row>
    <row r="414" spans="1:39" ht="47.25" hidden="1" customHeight="1">
      <c r="A414" s="187">
        <v>28616717</v>
      </c>
      <c r="B414" s="43"/>
      <c r="C414" s="51">
        <v>45408</v>
      </c>
      <c r="D414" s="37" t="s">
        <v>6936</v>
      </c>
      <c r="E414" s="37" t="s">
        <v>6937</v>
      </c>
      <c r="F414" s="45">
        <v>6062735</v>
      </c>
      <c r="G414" s="16">
        <v>418275</v>
      </c>
      <c r="H414" s="16"/>
      <c r="I414" s="43" t="s">
        <v>6143</v>
      </c>
      <c r="J414" s="43" t="s">
        <v>6144</v>
      </c>
      <c r="K414" s="43" t="s">
        <v>6938</v>
      </c>
      <c r="L414" s="25"/>
      <c r="M414" s="26"/>
      <c r="N414" s="46">
        <v>16.898810000000001</v>
      </c>
      <c r="O414" s="43" t="s">
        <v>6939</v>
      </c>
      <c r="P414" s="47"/>
      <c r="Q414" s="267" t="s">
        <v>6940</v>
      </c>
      <c r="R414" s="47"/>
      <c r="S414" s="43">
        <v>16.599999999999998</v>
      </c>
      <c r="T414" s="43"/>
      <c r="U414" s="43">
        <v>0</v>
      </c>
      <c r="V414" s="43" t="s">
        <v>5288</v>
      </c>
      <c r="W414" s="43"/>
      <c r="X414" s="16"/>
      <c r="Y414" s="46">
        <v>0</v>
      </c>
      <c r="Z414" s="46"/>
      <c r="AA414" s="102"/>
      <c r="AB414" s="43"/>
      <c r="AC414" s="87"/>
      <c r="AD414" s="16"/>
      <c r="AE414" s="103"/>
      <c r="AF414" s="46"/>
      <c r="AG414" s="16"/>
      <c r="AH414" s="43"/>
      <c r="AI414" s="43"/>
      <c r="AJ414" s="43" t="s">
        <v>6941</v>
      </c>
      <c r="AK414" s="37">
        <v>0</v>
      </c>
      <c r="AL414" s="47"/>
      <c r="AM414" s="74">
        <f t="shared" si="17"/>
        <v>24751.742874202384</v>
      </c>
    </row>
    <row r="415" spans="1:39" ht="47.25" hidden="1" customHeight="1">
      <c r="A415" s="187">
        <v>28657969</v>
      </c>
      <c r="B415" s="43"/>
      <c r="C415" s="51">
        <v>45408</v>
      </c>
      <c r="D415" s="37" t="s">
        <v>6942</v>
      </c>
      <c r="E415" s="37" t="s">
        <v>6943</v>
      </c>
      <c r="F415" s="45" t="s">
        <v>6944</v>
      </c>
      <c r="G415" s="16">
        <v>1590000</v>
      </c>
      <c r="H415" s="16"/>
      <c r="I415" s="43"/>
      <c r="J415" s="43" t="s">
        <v>5419</v>
      </c>
      <c r="K415" s="43" t="s">
        <v>6945</v>
      </c>
      <c r="L415" s="25"/>
      <c r="M415" s="26"/>
      <c r="N415" s="46">
        <v>19.34</v>
      </c>
      <c r="O415" s="43" t="s">
        <v>6946</v>
      </c>
      <c r="P415" s="47"/>
      <c r="Q415" s="267" t="s">
        <v>6514</v>
      </c>
      <c r="R415" s="47"/>
      <c r="S415" s="43">
        <v>13.549999999999999</v>
      </c>
      <c r="T415" s="43"/>
      <c r="U415" s="43"/>
      <c r="V415" s="43"/>
      <c r="W415" s="43"/>
      <c r="X415" s="16"/>
      <c r="Y415" s="46">
        <v>5.7900000000000009</v>
      </c>
      <c r="Z415" s="46"/>
      <c r="AA415" s="102"/>
      <c r="AB415" s="43"/>
      <c r="AC415" s="87"/>
      <c r="AD415" s="16"/>
      <c r="AE415" s="103"/>
      <c r="AF415" s="46"/>
      <c r="AG415" s="16"/>
      <c r="AH415" s="43"/>
      <c r="AI415" s="43"/>
      <c r="AJ415" s="43" t="s">
        <v>5150</v>
      </c>
      <c r="AK415" s="37">
        <v>0</v>
      </c>
      <c r="AL415" s="47"/>
      <c r="AM415" s="74">
        <f t="shared" si="17"/>
        <v>82213.029989658738</v>
      </c>
    </row>
    <row r="416" spans="1:39" ht="47.25" customHeight="1">
      <c r="A416" s="196">
        <v>28657907</v>
      </c>
      <c r="C416" s="317">
        <v>45411</v>
      </c>
      <c r="D416" t="s">
        <v>6947</v>
      </c>
      <c r="E416" t="s">
        <v>6948</v>
      </c>
      <c r="F416" t="s">
        <v>6949</v>
      </c>
      <c r="G416" s="94">
        <v>700000</v>
      </c>
      <c r="I416" t="s">
        <v>37</v>
      </c>
      <c r="J416" t="s">
        <v>239</v>
      </c>
      <c r="K416" s="20" t="s">
        <v>6950</v>
      </c>
      <c r="AD416" s="94" t="s">
        <v>4926</v>
      </c>
      <c r="AK416" t="s">
        <v>6951</v>
      </c>
      <c r="AM416" s="1" t="e">
        <f t="shared" si="17"/>
        <v>#DIV/0!</v>
      </c>
    </row>
    <row r="417" spans="1:39" ht="47.25" hidden="1" customHeight="1">
      <c r="A417" s="187">
        <v>28662676</v>
      </c>
      <c r="B417" s="43"/>
      <c r="C417" s="51">
        <v>45413</v>
      </c>
      <c r="D417" s="37"/>
      <c r="E417" s="37"/>
      <c r="F417" s="45">
        <v>5688543</v>
      </c>
      <c r="G417" s="1">
        <v>280000</v>
      </c>
      <c r="H417" s="1"/>
      <c r="I417" s="43" t="s">
        <v>58</v>
      </c>
      <c r="J417" s="43" t="s">
        <v>6952</v>
      </c>
      <c r="K417" s="43" t="s">
        <v>6953</v>
      </c>
      <c r="L417" s="4" t="s">
        <v>6954</v>
      </c>
      <c r="M417" s="7" t="s">
        <v>6955</v>
      </c>
      <c r="N417" s="46">
        <v>36.26</v>
      </c>
      <c r="O417" s="43" t="s">
        <v>18</v>
      </c>
      <c r="P417" s="47" t="s">
        <v>35</v>
      </c>
      <c r="Q417" s="267">
        <v>3</v>
      </c>
      <c r="R417" s="47">
        <v>0</v>
      </c>
      <c r="S417" s="43">
        <v>10.4</v>
      </c>
      <c r="T417" s="43" t="s">
        <v>4596</v>
      </c>
      <c r="U417" s="43"/>
      <c r="V417" s="43"/>
      <c r="W417" s="43"/>
      <c r="X417" s="1"/>
      <c r="Y417" s="46">
        <f>17.5+5.6+0.8</f>
        <v>23.900000000000002</v>
      </c>
      <c r="Z417" s="46"/>
      <c r="AA417" s="2"/>
      <c r="AB417" s="43"/>
      <c r="AC417" s="87"/>
      <c r="AD417" s="1"/>
      <c r="AE417" s="3"/>
      <c r="AF417" s="46" t="s">
        <v>6956</v>
      </c>
      <c r="AG417" s="1"/>
      <c r="AH417" s="43"/>
      <c r="AI417" s="43"/>
      <c r="AJ417" s="43"/>
      <c r="AK417" s="37"/>
      <c r="AL417" s="47"/>
      <c r="AM417" s="1">
        <f t="shared" si="17"/>
        <v>7722.0077220077228</v>
      </c>
    </row>
    <row r="418" spans="1:39" ht="47.25" hidden="1" customHeight="1">
      <c r="A418" s="196">
        <v>28670895</v>
      </c>
      <c r="C418" s="317">
        <v>45415</v>
      </c>
      <c r="D418" s="239" t="s">
        <v>6957</v>
      </c>
      <c r="E418" s="239" t="s">
        <v>6958</v>
      </c>
      <c r="F418" t="s">
        <v>6959</v>
      </c>
      <c r="G418" s="94">
        <v>627500</v>
      </c>
      <c r="I418" t="s">
        <v>5985</v>
      </c>
      <c r="J418" t="s">
        <v>6960</v>
      </c>
      <c r="L418" s="96">
        <v>46.024306000000003</v>
      </c>
      <c r="M418" s="96">
        <v>-71.967608999999996</v>
      </c>
      <c r="N418" s="63">
        <v>25.51</v>
      </c>
      <c r="O418" t="s">
        <v>36</v>
      </c>
      <c r="P418" t="s">
        <v>35</v>
      </c>
      <c r="Q418" s="436">
        <v>3</v>
      </c>
      <c r="R418" t="s">
        <v>155</v>
      </c>
      <c r="S418">
        <v>11.8</v>
      </c>
      <c r="T418" t="s">
        <v>4596</v>
      </c>
      <c r="Y418" s="63">
        <f>Table3[[#This Row],[Superficie totale (ha)]]-Table3[[#This Row],[Superficie cultivée (ha)]]</f>
        <v>13.71</v>
      </c>
      <c r="AK418" t="s">
        <v>6961</v>
      </c>
      <c r="AM418" s="1">
        <f t="shared" si="17"/>
        <v>24598.196785574284</v>
      </c>
    </row>
    <row r="419" spans="1:39" ht="47.25" hidden="1" customHeight="1">
      <c r="A419" s="187">
        <v>28672032</v>
      </c>
      <c r="B419" s="43"/>
      <c r="C419" s="51">
        <v>45418</v>
      </c>
      <c r="D419" s="37" t="s">
        <v>6962</v>
      </c>
      <c r="E419" s="37" t="s">
        <v>6963</v>
      </c>
      <c r="F419" s="45" t="s">
        <v>6964</v>
      </c>
      <c r="G419" s="16">
        <v>95000</v>
      </c>
      <c r="H419" s="16"/>
      <c r="I419" s="43" t="s">
        <v>5507</v>
      </c>
      <c r="J419" s="43" t="s">
        <v>2337</v>
      </c>
      <c r="K419" s="43" t="s">
        <v>6965</v>
      </c>
      <c r="L419" s="25" t="s">
        <v>6966</v>
      </c>
      <c r="M419" s="26" t="s">
        <v>6967</v>
      </c>
      <c r="N419" s="46">
        <f>21.99+1.64</f>
        <v>23.63</v>
      </c>
      <c r="O419" s="43" t="s">
        <v>36</v>
      </c>
      <c r="P419" s="47" t="s">
        <v>206</v>
      </c>
      <c r="Q419" s="267">
        <v>2</v>
      </c>
      <c r="R419" s="47" t="s">
        <v>4669</v>
      </c>
      <c r="S419" s="43">
        <f>11.9+0.7</f>
        <v>12.6</v>
      </c>
      <c r="T419" s="139" t="s">
        <v>6216</v>
      </c>
      <c r="U419" s="43"/>
      <c r="V419" s="43"/>
      <c r="W419" s="43"/>
      <c r="X419" s="16"/>
      <c r="Y419" s="46">
        <v>9.4</v>
      </c>
      <c r="Z419" s="46"/>
      <c r="AA419" s="102"/>
      <c r="AB419" s="43"/>
      <c r="AC419" s="87"/>
      <c r="AD419" s="16"/>
      <c r="AE419" s="103"/>
      <c r="AF419" s="46" t="s">
        <v>6968</v>
      </c>
      <c r="AG419" s="16"/>
      <c r="AH419" s="43"/>
      <c r="AI419" s="43"/>
      <c r="AJ419" s="43" t="s">
        <v>6969</v>
      </c>
      <c r="AK419" s="37"/>
      <c r="AL419" s="47"/>
      <c r="AM419" s="74">
        <f t="shared" si="17"/>
        <v>4020.3131612357174</v>
      </c>
    </row>
    <row r="420" spans="1:39" ht="47.45" hidden="1" customHeight="1">
      <c r="A420" s="187">
        <v>28679335</v>
      </c>
      <c r="B420" s="43"/>
      <c r="C420" s="51">
        <v>45420</v>
      </c>
      <c r="D420" s="37" t="s">
        <v>6970</v>
      </c>
      <c r="E420" s="37" t="s">
        <v>6971</v>
      </c>
      <c r="F420" s="45">
        <v>6603815</v>
      </c>
      <c r="G420" s="1">
        <v>280000</v>
      </c>
      <c r="H420" s="1"/>
      <c r="I420" s="43" t="s">
        <v>75</v>
      </c>
      <c r="J420" s="43" t="s">
        <v>1972</v>
      </c>
      <c r="K420" s="43" t="s">
        <v>6972</v>
      </c>
      <c r="L420" s="4" t="s">
        <v>6973</v>
      </c>
      <c r="M420" s="7" t="s">
        <v>6974</v>
      </c>
      <c r="N420" s="46">
        <v>14.95</v>
      </c>
      <c r="O420" s="43" t="s">
        <v>18</v>
      </c>
      <c r="P420" s="47" t="s">
        <v>4702</v>
      </c>
      <c r="Q420" s="267" t="s">
        <v>5826</v>
      </c>
      <c r="R420" s="47" t="s">
        <v>5016</v>
      </c>
      <c r="S420" s="43">
        <f>1.8+4.7+3.8+1.2+0.5</f>
        <v>12</v>
      </c>
      <c r="T420" s="43" t="s">
        <v>4828</v>
      </c>
      <c r="U420" s="43"/>
      <c r="V420" s="43"/>
      <c r="W420" s="43"/>
      <c r="X420" s="1"/>
      <c r="Y420" s="46">
        <v>0.6</v>
      </c>
      <c r="Z420" s="46"/>
      <c r="AA420" s="2"/>
      <c r="AB420" s="43"/>
      <c r="AC420" s="87"/>
      <c r="AD420" s="1"/>
      <c r="AE420" s="3"/>
      <c r="AF420" s="46"/>
      <c r="AG420" s="1"/>
      <c r="AH420" s="43"/>
      <c r="AI420" s="43"/>
      <c r="AJ420" s="43"/>
      <c r="AK420" s="37"/>
      <c r="AL420" s="47"/>
      <c r="AM420" s="49">
        <f>Terre!$G42/Terre!$N42</f>
        <v>50405.704450454876</v>
      </c>
    </row>
    <row r="421" spans="1:39" ht="47.45" hidden="1" customHeight="1">
      <c r="A421" s="187">
        <v>28679589</v>
      </c>
      <c r="B421" s="43"/>
      <c r="C421" s="51">
        <v>45421</v>
      </c>
      <c r="D421" s="37" t="s">
        <v>6975</v>
      </c>
      <c r="E421" s="37" t="s">
        <v>6976</v>
      </c>
      <c r="F421" s="45">
        <v>5249077</v>
      </c>
      <c r="G421" s="16">
        <v>1400000</v>
      </c>
      <c r="H421" s="16"/>
      <c r="I421" s="43" t="s">
        <v>39</v>
      </c>
      <c r="J421" s="43" t="s">
        <v>6977</v>
      </c>
      <c r="K421" s="43" t="s">
        <v>3039</v>
      </c>
      <c r="L421" s="25"/>
      <c r="M421" s="26"/>
      <c r="N421" s="46">
        <v>24.641871999999999</v>
      </c>
      <c r="O421" s="43" t="s">
        <v>4996</v>
      </c>
      <c r="P421" s="47"/>
      <c r="Q421" s="267" t="s">
        <v>6978</v>
      </c>
      <c r="R421" s="47"/>
      <c r="S421" s="43" t="e">
        <v>#REF!</v>
      </c>
      <c r="T421" s="43"/>
      <c r="U421" s="43">
        <v>0</v>
      </c>
      <c r="V421" s="43" t="s">
        <v>5529</v>
      </c>
      <c r="W421" s="43"/>
      <c r="X421" s="16"/>
      <c r="Y421" s="46">
        <v>0</v>
      </c>
      <c r="Z421" s="46"/>
      <c r="AA421" s="102"/>
      <c r="AB421" s="43"/>
      <c r="AC421" s="87"/>
      <c r="AD421" s="16"/>
      <c r="AE421" s="103"/>
      <c r="AF421" s="46"/>
      <c r="AG421" s="16"/>
      <c r="AH421" s="43"/>
      <c r="AI421" s="43"/>
      <c r="AJ421" s="43"/>
      <c r="AK421" s="37">
        <v>0</v>
      </c>
      <c r="AL421" s="47"/>
      <c r="AM421" s="74">
        <f>G421/N421</f>
        <v>56813.865440093192</v>
      </c>
    </row>
    <row r="422" spans="1:39" ht="47.45" hidden="1" customHeight="1">
      <c r="A422" s="187">
        <v>28679589</v>
      </c>
      <c r="B422" s="43" t="s">
        <v>4652</v>
      </c>
      <c r="C422" s="51">
        <v>45421</v>
      </c>
      <c r="D422" s="37" t="s">
        <v>6975</v>
      </c>
      <c r="E422" s="37" t="s">
        <v>6976</v>
      </c>
      <c r="F422" s="45" t="s">
        <v>6979</v>
      </c>
      <c r="G422" s="16">
        <v>1400000</v>
      </c>
      <c r="H422" s="16" t="s">
        <v>4652</v>
      </c>
      <c r="I422" s="43" t="s">
        <v>39</v>
      </c>
      <c r="J422" s="43" t="s">
        <v>6977</v>
      </c>
      <c r="K422" s="43" t="s">
        <v>3039</v>
      </c>
      <c r="L422" s="25" t="s">
        <v>4652</v>
      </c>
      <c r="M422" s="26" t="s">
        <v>4652</v>
      </c>
      <c r="N422" s="46" t="s">
        <v>6980</v>
      </c>
      <c r="O422" s="43" t="s">
        <v>36</v>
      </c>
      <c r="P422" s="47" t="s">
        <v>4652</v>
      </c>
      <c r="Q422" s="267" t="s">
        <v>6978</v>
      </c>
      <c r="R422" s="47" t="s">
        <v>4652</v>
      </c>
      <c r="S422" s="282">
        <v>23.4</v>
      </c>
      <c r="T422" s="43" t="s">
        <v>4652</v>
      </c>
      <c r="U422" s="43">
        <v>0</v>
      </c>
      <c r="V422" s="43" t="s">
        <v>4652</v>
      </c>
      <c r="W422" s="43"/>
      <c r="X422" s="16" t="s">
        <v>4652</v>
      </c>
      <c r="Y422" s="46">
        <v>0</v>
      </c>
      <c r="Z422" s="46"/>
      <c r="AA422" s="102"/>
      <c r="AB422" s="43"/>
      <c r="AC422" s="87"/>
      <c r="AD422" s="16"/>
      <c r="AE422" s="103"/>
      <c r="AF422" s="46"/>
      <c r="AG422" s="16" t="s">
        <v>4996</v>
      </c>
      <c r="AH422" s="43">
        <v>0</v>
      </c>
      <c r="AI422" s="43"/>
      <c r="AJ422" s="43"/>
      <c r="AK422" s="37"/>
      <c r="AL422" s="47" t="s">
        <v>4996</v>
      </c>
      <c r="AM422" s="49">
        <f>Table3[[#This Row],[Prixdevente($)]]/Table3[[#This Row],[Superficie cultivée (ha)]]</f>
        <v>59829.059829059835</v>
      </c>
    </row>
    <row r="423" spans="1:39" ht="47.45" hidden="1" customHeight="1">
      <c r="A423" s="196">
        <v>28685424</v>
      </c>
      <c r="C423" s="317">
        <v>45425</v>
      </c>
      <c r="D423" t="s">
        <v>6981</v>
      </c>
      <c r="E423" t="s">
        <v>6982</v>
      </c>
      <c r="F423" s="269">
        <v>2599894</v>
      </c>
      <c r="G423" s="94">
        <v>1100000</v>
      </c>
      <c r="I423" t="s">
        <v>37</v>
      </c>
      <c r="J423" t="s">
        <v>239</v>
      </c>
      <c r="K423" t="s">
        <v>6983</v>
      </c>
      <c r="L423" s="96" t="s">
        <v>6984</v>
      </c>
      <c r="M423" s="245" t="s">
        <v>6985</v>
      </c>
      <c r="N423" s="63">
        <f>22.38</f>
        <v>22.38</v>
      </c>
      <c r="Q423" s="436">
        <v>2</v>
      </c>
      <c r="R423" t="s">
        <v>4710</v>
      </c>
      <c r="S423">
        <v>17.3</v>
      </c>
      <c r="U423">
        <f>Table3[[#This Row],[Superficie cultivée (ha)]]</f>
        <v>17.3</v>
      </c>
      <c r="Y423" s="63">
        <v>1.6</v>
      </c>
      <c r="AF423" s="63" t="s">
        <v>6986</v>
      </c>
      <c r="AM423" s="1">
        <f>G423/N423</f>
        <v>49151.027703306529</v>
      </c>
    </row>
    <row r="424" spans="1:39" ht="47.45" customHeight="1">
      <c r="A424" s="196" t="s">
        <v>6987</v>
      </c>
      <c r="C424" s="317">
        <v>45425</v>
      </c>
      <c r="F424" t="s">
        <v>6988</v>
      </c>
      <c r="G424" s="94">
        <v>90000</v>
      </c>
      <c r="I424" t="s">
        <v>1363</v>
      </c>
      <c r="AM424" s="1" t="e">
        <f>G424/N424</f>
        <v>#DIV/0!</v>
      </c>
    </row>
    <row r="425" spans="1:39" ht="47.45" hidden="1" customHeight="1">
      <c r="A425" s="196">
        <v>28694579</v>
      </c>
      <c r="C425" s="317">
        <v>45428</v>
      </c>
      <c r="D425" t="s">
        <v>6989</v>
      </c>
      <c r="E425" t="s">
        <v>6990</v>
      </c>
      <c r="F425" s="269">
        <v>6583653</v>
      </c>
      <c r="G425" s="94">
        <v>900000</v>
      </c>
      <c r="J425" t="s">
        <v>5042</v>
      </c>
      <c r="K425" t="s">
        <v>6991</v>
      </c>
      <c r="L425" s="96" t="s">
        <v>6992</v>
      </c>
      <c r="M425" s="245" t="s">
        <v>6993</v>
      </c>
      <c r="N425" s="63">
        <v>13.71</v>
      </c>
      <c r="O425" s="43" t="s">
        <v>36</v>
      </c>
      <c r="P425" t="s">
        <v>35</v>
      </c>
      <c r="Q425" s="436">
        <v>2</v>
      </c>
      <c r="R425" t="s">
        <v>4669</v>
      </c>
      <c r="S425">
        <v>12.5</v>
      </c>
      <c r="V425">
        <f>Table3[[#This Row],[Superficie cultivée (ha)]]</f>
        <v>12.5</v>
      </c>
      <c r="AF425" s="63" t="s">
        <v>6994</v>
      </c>
      <c r="AM425" s="1">
        <f>G425/N425</f>
        <v>65645.514223194739</v>
      </c>
    </row>
    <row r="426" spans="1:39" ht="47.45" hidden="1" customHeight="1">
      <c r="A426" s="187">
        <v>28695412</v>
      </c>
      <c r="B426" s="43"/>
      <c r="C426" s="51">
        <v>45428</v>
      </c>
      <c r="D426" s="37" t="s">
        <v>6995</v>
      </c>
      <c r="E426" s="37" t="s">
        <v>6996</v>
      </c>
      <c r="F426" s="45">
        <v>4228552</v>
      </c>
      <c r="G426" s="16">
        <v>260000</v>
      </c>
      <c r="H426" s="16"/>
      <c r="I426" s="43" t="s">
        <v>5507</v>
      </c>
      <c r="J426" s="43" t="s">
        <v>3032</v>
      </c>
      <c r="K426" s="43" t="s">
        <v>6997</v>
      </c>
      <c r="L426" s="25" t="s">
        <v>6998</v>
      </c>
      <c r="M426" s="26" t="s">
        <v>6999</v>
      </c>
      <c r="N426" s="46">
        <v>18.309999999999999</v>
      </c>
      <c r="O426" s="43" t="s">
        <v>36</v>
      </c>
      <c r="P426" s="47" t="s">
        <v>206</v>
      </c>
      <c r="Q426" s="267" t="s">
        <v>7000</v>
      </c>
      <c r="R426" s="47" t="s">
        <v>4669</v>
      </c>
      <c r="S426" s="43">
        <f>9.4+4.4+0.7</f>
        <v>14.5</v>
      </c>
      <c r="T426" s="139" t="s">
        <v>4596</v>
      </c>
      <c r="U426" s="43"/>
      <c r="V426" s="43"/>
      <c r="W426" s="43"/>
      <c r="X426" s="16"/>
      <c r="Y426" s="46">
        <v>2</v>
      </c>
      <c r="Z426" s="46"/>
      <c r="AA426" s="102"/>
      <c r="AB426" s="43"/>
      <c r="AC426" s="87"/>
      <c r="AD426" s="16"/>
      <c r="AE426" s="103"/>
      <c r="AF426" s="46" t="s">
        <v>7001</v>
      </c>
      <c r="AG426" s="16"/>
      <c r="AH426" s="43"/>
      <c r="AI426" s="43"/>
      <c r="AJ426" s="43"/>
      <c r="AK426" s="37"/>
      <c r="AL426" s="47"/>
      <c r="AM426" s="74">
        <f>G426/N426</f>
        <v>14199.890770071001</v>
      </c>
    </row>
    <row r="427" spans="1:39" ht="47.45" hidden="1" customHeight="1">
      <c r="A427" s="196">
        <v>28698400</v>
      </c>
      <c r="C427" s="317">
        <v>45429</v>
      </c>
      <c r="D427" s="249" t="s">
        <v>7002</v>
      </c>
      <c r="E427" s="249" t="s">
        <v>7003</v>
      </c>
      <c r="F427" t="s">
        <v>7004</v>
      </c>
      <c r="G427" s="94">
        <v>890000</v>
      </c>
      <c r="I427" t="s">
        <v>7005</v>
      </c>
      <c r="J427" t="s">
        <v>7006</v>
      </c>
      <c r="L427" s="96">
        <v>46.814149999999998</v>
      </c>
      <c r="M427" s="96">
        <v>-71.626328999999998</v>
      </c>
      <c r="N427" s="63">
        <v>32.799999999999997</v>
      </c>
      <c r="O427" t="s">
        <v>18</v>
      </c>
      <c r="P427" t="s">
        <v>7007</v>
      </c>
      <c r="Q427" s="436">
        <v>4</v>
      </c>
      <c r="R427" t="s">
        <v>4801</v>
      </c>
      <c r="S427">
        <f>1.5+4.3+0.7</f>
        <v>6.5</v>
      </c>
      <c r="T427" t="s">
        <v>4828</v>
      </c>
      <c r="Y427" s="63">
        <f>19.2+4.8</f>
        <v>24</v>
      </c>
      <c r="AK427" t="s">
        <v>7008</v>
      </c>
      <c r="AM427" s="1">
        <f>G427/N427</f>
        <v>27134.146341463416</v>
      </c>
    </row>
    <row r="428" spans="1:39" ht="47.45" hidden="1" customHeight="1">
      <c r="A428" s="187">
        <v>28752626</v>
      </c>
      <c r="B428" s="43" t="s">
        <v>4652</v>
      </c>
      <c r="C428" s="51">
        <v>45433</v>
      </c>
      <c r="D428" s="37" t="s">
        <v>7009</v>
      </c>
      <c r="E428" s="37" t="s">
        <v>7010</v>
      </c>
      <c r="F428" s="45" t="s">
        <v>7011</v>
      </c>
      <c r="G428" s="16">
        <v>3000000</v>
      </c>
      <c r="H428" s="16" t="s">
        <v>4652</v>
      </c>
      <c r="I428" s="43" t="s">
        <v>2560</v>
      </c>
      <c r="J428" s="43" t="s">
        <v>7012</v>
      </c>
      <c r="K428" s="43" t="s">
        <v>7013</v>
      </c>
      <c r="L428" s="25" t="s">
        <v>4652</v>
      </c>
      <c r="M428" s="26" t="s">
        <v>4652</v>
      </c>
      <c r="N428" s="46" t="s">
        <v>7014</v>
      </c>
      <c r="O428" s="43" t="s">
        <v>4652</v>
      </c>
      <c r="P428" s="47" t="s">
        <v>4652</v>
      </c>
      <c r="Q428" s="267" t="s">
        <v>4652</v>
      </c>
      <c r="R428" s="47" t="s">
        <v>4652</v>
      </c>
      <c r="S428" s="282" t="s">
        <v>7015</v>
      </c>
      <c r="T428" s="43" t="s">
        <v>4652</v>
      </c>
      <c r="U428" s="43">
        <v>33.200000000000003</v>
      </c>
      <c r="V428" s="43" t="s">
        <v>4652</v>
      </c>
      <c r="W428" s="43"/>
      <c r="X428" s="16" t="s">
        <v>4652</v>
      </c>
      <c r="Y428" s="46" t="s">
        <v>4652</v>
      </c>
      <c r="Z428" s="46"/>
      <c r="AA428" s="102"/>
      <c r="AB428" s="43"/>
      <c r="AC428" s="87"/>
      <c r="AD428" s="16"/>
      <c r="AE428" s="103"/>
      <c r="AF428" s="46"/>
      <c r="AG428" s="16" t="s">
        <v>4652</v>
      </c>
      <c r="AH428" s="43" t="s">
        <v>4652</v>
      </c>
      <c r="AI428" s="43"/>
      <c r="AJ428" s="43"/>
      <c r="AK428" s="37"/>
      <c r="AL428" s="47" t="s">
        <v>4652</v>
      </c>
      <c r="AM428" s="1">
        <f>Table3[[#This Row],[Prixdevente($)]]/Table3[[#This Row],[Superficie totale (ha)]]</f>
        <v>47229.219143576825</v>
      </c>
    </row>
    <row r="429" spans="1:39" ht="47.45" customHeight="1">
      <c r="A429" s="187">
        <v>28756416</v>
      </c>
      <c r="B429" s="43"/>
      <c r="C429" s="51">
        <v>45434</v>
      </c>
      <c r="D429" s="37" t="s">
        <v>7016</v>
      </c>
      <c r="E429" s="37" t="s">
        <v>7017</v>
      </c>
      <c r="F429" s="45" t="s">
        <v>7018</v>
      </c>
      <c r="G429" s="16">
        <v>975000</v>
      </c>
      <c r="H429" s="16"/>
      <c r="I429" s="43"/>
      <c r="J429" s="43" t="s">
        <v>5627</v>
      </c>
      <c r="K429" s="43" t="s">
        <v>5707</v>
      </c>
      <c r="L429" s="25"/>
      <c r="M429" s="26"/>
      <c r="N429" s="46"/>
      <c r="O429" s="43"/>
      <c r="P429" s="47"/>
      <c r="Q429" s="267"/>
      <c r="R429" s="47"/>
      <c r="S429" s="43"/>
      <c r="T429" s="43"/>
      <c r="U429" s="43"/>
      <c r="V429" s="43"/>
      <c r="W429" s="43"/>
      <c r="X429" s="16"/>
      <c r="Y429" s="46"/>
      <c r="Z429" s="46"/>
      <c r="AA429" s="102"/>
      <c r="AB429" s="43"/>
      <c r="AC429" s="87"/>
      <c r="AD429" s="16"/>
      <c r="AE429" s="103"/>
      <c r="AF429" s="46"/>
      <c r="AG429" s="16"/>
      <c r="AH429" s="43"/>
      <c r="AI429" s="43"/>
      <c r="AJ429" s="43" t="s">
        <v>7019</v>
      </c>
      <c r="AK429" s="37"/>
      <c r="AL429" s="47"/>
      <c r="AM429" s="74" t="e">
        <f t="shared" ref="AM429:AM437" si="18">G429/N429</f>
        <v>#DIV/0!</v>
      </c>
    </row>
    <row r="430" spans="1:39" ht="47.45" hidden="1" customHeight="1">
      <c r="A430" s="196">
        <v>28708720</v>
      </c>
      <c r="C430" s="317">
        <v>45435</v>
      </c>
      <c r="D430" s="239" t="s">
        <v>7020</v>
      </c>
      <c r="E430" s="239" t="s">
        <v>7021</v>
      </c>
      <c r="F430" t="s">
        <v>7022</v>
      </c>
      <c r="G430" s="94">
        <v>585000</v>
      </c>
      <c r="I430" t="s">
        <v>5985</v>
      </c>
      <c r="J430" t="s">
        <v>6960</v>
      </c>
      <c r="L430" s="96">
        <v>46.046905000000002</v>
      </c>
      <c r="M430" s="96">
        <v>-71.889184999999998</v>
      </c>
      <c r="N430" s="63">
        <v>63.88</v>
      </c>
      <c r="O430" t="s">
        <v>36</v>
      </c>
      <c r="P430" t="s">
        <v>1726</v>
      </c>
      <c r="Q430" s="436">
        <v>5</v>
      </c>
      <c r="R430" t="s">
        <v>5016</v>
      </c>
      <c r="S430">
        <v>22.3</v>
      </c>
      <c r="T430" t="s">
        <v>4596</v>
      </c>
      <c r="Y430" s="63">
        <f>Table3[[#This Row],[Superficie totale (ha)]]-Table3[[#This Row],[Superficie cultivée (ha)]]</f>
        <v>41.58</v>
      </c>
      <c r="AK430" t="s">
        <v>7023</v>
      </c>
      <c r="AM430" s="1">
        <f t="shared" si="18"/>
        <v>9157.7958672510958</v>
      </c>
    </row>
    <row r="431" spans="1:39" ht="47.45" hidden="1" customHeight="1">
      <c r="A431" s="196">
        <v>28710635</v>
      </c>
      <c r="C431" s="317">
        <v>45436</v>
      </c>
      <c r="D431" t="s">
        <v>7024</v>
      </c>
      <c r="E431" t="s">
        <v>7025</v>
      </c>
      <c r="F431" s="269">
        <v>6500822</v>
      </c>
      <c r="G431" s="94">
        <v>650000</v>
      </c>
      <c r="I431" t="s">
        <v>2560</v>
      </c>
      <c r="J431" t="s">
        <v>7026</v>
      </c>
      <c r="K431" t="s">
        <v>7027</v>
      </c>
      <c r="L431" s="96" t="s">
        <v>7028</v>
      </c>
      <c r="M431" s="245" t="s">
        <v>7029</v>
      </c>
      <c r="N431">
        <v>15.17</v>
      </c>
      <c r="O431" s="43" t="s">
        <v>36</v>
      </c>
      <c r="P431" t="s">
        <v>35</v>
      </c>
      <c r="Q431" s="436">
        <v>3</v>
      </c>
      <c r="R431" t="s">
        <v>155</v>
      </c>
      <c r="S431">
        <v>12</v>
      </c>
      <c r="Y431" s="63">
        <v>1.4</v>
      </c>
      <c r="AM431" s="1">
        <f t="shared" si="18"/>
        <v>42847.725774555045</v>
      </c>
    </row>
    <row r="432" spans="1:39" ht="47.45" hidden="1" customHeight="1">
      <c r="A432" s="187">
        <v>29088400</v>
      </c>
      <c r="B432" s="43"/>
      <c r="C432" s="51">
        <v>45436</v>
      </c>
      <c r="D432" s="37" t="s">
        <v>7030</v>
      </c>
      <c r="E432" s="37" t="s">
        <v>7031</v>
      </c>
      <c r="F432" s="45" t="s">
        <v>7032</v>
      </c>
      <c r="G432" s="1">
        <v>164000</v>
      </c>
      <c r="H432" s="1"/>
      <c r="I432" s="43" t="s">
        <v>515</v>
      </c>
      <c r="J432" s="43" t="s">
        <v>515</v>
      </c>
      <c r="K432" s="43" t="s">
        <v>2547</v>
      </c>
      <c r="L432" s="4" t="s">
        <v>7033</v>
      </c>
      <c r="M432" s="7" t="s">
        <v>7034</v>
      </c>
      <c r="N432" s="46">
        <f>2.28+12.73+9.61</f>
        <v>24.619999999999997</v>
      </c>
      <c r="O432" s="43" t="s">
        <v>18</v>
      </c>
      <c r="P432" s="47" t="s">
        <v>206</v>
      </c>
      <c r="Q432" s="267">
        <v>3</v>
      </c>
      <c r="R432" s="47" t="s">
        <v>4865</v>
      </c>
      <c r="S432" s="46">
        <f>Table3[[#This Row],[Superficie totale (ha)]]</f>
        <v>24.619999999999997</v>
      </c>
      <c r="T432" s="43"/>
      <c r="U432" s="43"/>
      <c r="V432" s="43"/>
      <c r="W432" s="43"/>
      <c r="X432" s="1"/>
      <c r="Y432" s="46"/>
      <c r="Z432" s="46"/>
      <c r="AA432" s="2"/>
      <c r="AB432" s="43"/>
      <c r="AC432" s="87"/>
      <c r="AD432" s="1"/>
      <c r="AE432" s="3"/>
      <c r="AF432" s="46"/>
      <c r="AG432" s="1"/>
      <c r="AH432" s="43"/>
      <c r="AI432" s="43"/>
      <c r="AJ432" s="43"/>
      <c r="AK432" s="37"/>
      <c r="AL432" s="47"/>
      <c r="AM432" s="1">
        <f t="shared" si="18"/>
        <v>6661.2510154346064</v>
      </c>
    </row>
    <row r="433" spans="1:39" ht="47.45" hidden="1" customHeight="1">
      <c r="A433" s="196">
        <v>28712233</v>
      </c>
      <c r="C433" s="317">
        <v>45436</v>
      </c>
      <c r="D433" t="s">
        <v>7035</v>
      </c>
      <c r="E433" t="s">
        <v>7036</v>
      </c>
      <c r="F433" t="s">
        <v>7037</v>
      </c>
      <c r="G433" s="94">
        <v>2030000</v>
      </c>
      <c r="I433" t="s">
        <v>192</v>
      </c>
      <c r="J433" t="s">
        <v>3198</v>
      </c>
      <c r="K433" t="s">
        <v>7038</v>
      </c>
      <c r="L433" s="96" t="s">
        <v>7039</v>
      </c>
      <c r="M433" s="245" t="s">
        <v>7040</v>
      </c>
      <c r="N433" s="63">
        <f>33.15+8.26</f>
        <v>41.41</v>
      </c>
      <c r="O433" s="43" t="s">
        <v>36</v>
      </c>
      <c r="P433" t="s">
        <v>35</v>
      </c>
      <c r="Q433" s="436">
        <v>2</v>
      </c>
      <c r="R433" t="s">
        <v>4669</v>
      </c>
      <c r="S433">
        <f>17.2+4.8+4.8+4.3+5.5</f>
        <v>36.6</v>
      </c>
      <c r="AC433" s="65">
        <v>1</v>
      </c>
      <c r="AF433" s="63" t="s">
        <v>7041</v>
      </c>
      <c r="AK433" t="s">
        <v>7042</v>
      </c>
      <c r="AM433" s="1">
        <f t="shared" si="18"/>
        <v>49021.97536826854</v>
      </c>
    </row>
    <row r="434" spans="1:39" ht="47.45" customHeight="1">
      <c r="A434" s="196" t="s">
        <v>7043</v>
      </c>
      <c r="C434" s="317">
        <v>45436</v>
      </c>
      <c r="F434" t="s">
        <v>7044</v>
      </c>
      <c r="I434" t="s">
        <v>39</v>
      </c>
      <c r="J434" t="s">
        <v>40</v>
      </c>
      <c r="AM434" s="1" t="e">
        <f t="shared" si="18"/>
        <v>#DIV/0!</v>
      </c>
    </row>
    <row r="435" spans="1:39" ht="47.45" hidden="1" customHeight="1">
      <c r="A435" s="351">
        <v>28717289</v>
      </c>
      <c r="B435" s="66"/>
      <c r="C435" s="324">
        <v>45439</v>
      </c>
      <c r="D435" s="66" t="s">
        <v>7045</v>
      </c>
      <c r="E435" s="66" t="s">
        <v>7046</v>
      </c>
      <c r="F435" s="66" t="s">
        <v>7047</v>
      </c>
      <c r="G435" s="98">
        <v>50000</v>
      </c>
      <c r="H435" s="98"/>
      <c r="I435" s="66" t="s">
        <v>4767</v>
      </c>
      <c r="J435" s="66" t="s">
        <v>5946</v>
      </c>
      <c r="K435" s="66" t="s">
        <v>6294</v>
      </c>
      <c r="L435" s="100">
        <v>48.192163999999998</v>
      </c>
      <c r="M435" s="101" t="s">
        <v>7048</v>
      </c>
      <c r="N435" s="123">
        <v>44.28</v>
      </c>
      <c r="O435" s="66" t="s">
        <v>18</v>
      </c>
      <c r="P435" s="66" t="s">
        <v>206</v>
      </c>
      <c r="Q435" s="450" t="s">
        <v>5826</v>
      </c>
      <c r="R435" s="66" t="s">
        <v>5297</v>
      </c>
      <c r="S435" s="66">
        <v>7.2</v>
      </c>
      <c r="T435" s="66" t="s">
        <v>4773</v>
      </c>
      <c r="U435" s="66"/>
      <c r="V435" s="66"/>
      <c r="W435" s="66" t="s">
        <v>4774</v>
      </c>
      <c r="X435" s="98"/>
      <c r="Y435" s="123">
        <v>29.5</v>
      </c>
      <c r="Z435" s="123"/>
      <c r="AA435" s="99"/>
      <c r="AB435" s="66"/>
      <c r="AC435" s="124"/>
      <c r="AD435" s="98"/>
      <c r="AE435" s="98"/>
      <c r="AF435" s="123"/>
      <c r="AG435" s="98"/>
      <c r="AH435" s="66"/>
      <c r="AI435" s="66"/>
      <c r="AJ435" s="66"/>
      <c r="AK435" s="66" t="s">
        <v>7049</v>
      </c>
      <c r="AL435" s="66"/>
      <c r="AM435" s="465">
        <f t="shared" si="18"/>
        <v>1129.1779584462511</v>
      </c>
    </row>
    <row r="436" spans="1:39" ht="47.45" hidden="1" customHeight="1">
      <c r="A436" s="196">
        <v>28721457</v>
      </c>
      <c r="C436" s="317">
        <v>45441</v>
      </c>
      <c r="D436" s="239" t="s">
        <v>7050</v>
      </c>
      <c r="E436" s="247" t="s">
        <v>7051</v>
      </c>
      <c r="F436" t="s">
        <v>7052</v>
      </c>
      <c r="G436" s="94">
        <v>850000</v>
      </c>
      <c r="I436" t="s">
        <v>149</v>
      </c>
      <c r="J436" t="s">
        <v>7053</v>
      </c>
      <c r="N436" s="63">
        <v>67.77</v>
      </c>
      <c r="O436" t="s">
        <v>18</v>
      </c>
      <c r="P436" t="s">
        <v>3789</v>
      </c>
      <c r="Q436" s="436">
        <v>3</v>
      </c>
      <c r="R436" t="s">
        <v>4946</v>
      </c>
      <c r="S436">
        <v>24.8</v>
      </c>
      <c r="T436" s="43" t="s">
        <v>5087</v>
      </c>
      <c r="Y436" s="63">
        <v>37.97</v>
      </c>
      <c r="AK436" t="s">
        <v>7054</v>
      </c>
      <c r="AM436" s="1">
        <f t="shared" si="18"/>
        <v>12542.422900988639</v>
      </c>
    </row>
    <row r="437" spans="1:39" ht="47.45" hidden="1" customHeight="1">
      <c r="A437" s="187">
        <v>28838772</v>
      </c>
      <c r="B437" s="43"/>
      <c r="C437" s="51">
        <v>45442</v>
      </c>
      <c r="D437" s="37" t="s">
        <v>7055</v>
      </c>
      <c r="E437" s="37" t="s">
        <v>7056</v>
      </c>
      <c r="F437" s="45" t="s">
        <v>7057</v>
      </c>
      <c r="G437" s="16">
        <v>1983410</v>
      </c>
      <c r="H437" s="16"/>
      <c r="I437" s="43" t="s">
        <v>6143</v>
      </c>
      <c r="J437" s="43" t="s">
        <v>6144</v>
      </c>
      <c r="K437" s="43" t="s">
        <v>7058</v>
      </c>
      <c r="L437" s="25"/>
      <c r="M437" s="26"/>
      <c r="N437" s="46">
        <v>36.69</v>
      </c>
      <c r="O437" s="43" t="s">
        <v>7059</v>
      </c>
      <c r="P437" s="47"/>
      <c r="Q437" s="267" t="s">
        <v>6940</v>
      </c>
      <c r="R437" s="47"/>
      <c r="S437" s="43">
        <v>34.799999999999997</v>
      </c>
      <c r="T437" s="43"/>
      <c r="U437" s="43">
        <v>0</v>
      </c>
      <c r="V437" s="43" t="s">
        <v>7060</v>
      </c>
      <c r="W437" s="43"/>
      <c r="X437" s="16"/>
      <c r="Y437" s="46">
        <v>1.2</v>
      </c>
      <c r="Z437" s="46"/>
      <c r="AA437" s="102"/>
      <c r="AB437" s="43"/>
      <c r="AC437" s="87"/>
      <c r="AD437" s="16"/>
      <c r="AE437" s="103"/>
      <c r="AF437" s="46"/>
      <c r="AG437" s="16"/>
      <c r="AH437" s="43"/>
      <c r="AI437" s="43"/>
      <c r="AJ437" s="43" t="s">
        <v>6941</v>
      </c>
      <c r="AK437" s="37">
        <v>0</v>
      </c>
      <c r="AL437" s="47"/>
      <c r="AM437" s="74">
        <f t="shared" si="18"/>
        <v>54058.599073316982</v>
      </c>
    </row>
    <row r="438" spans="1:39" ht="47.45" hidden="1" customHeight="1">
      <c r="A438" s="187">
        <v>28727536</v>
      </c>
      <c r="B438" s="43"/>
      <c r="C438" s="51">
        <v>45443</v>
      </c>
      <c r="D438" s="37" t="s">
        <v>7061</v>
      </c>
      <c r="E438" s="37" t="s">
        <v>6791</v>
      </c>
      <c r="F438" s="45">
        <v>4108900</v>
      </c>
      <c r="G438" s="1">
        <v>170000</v>
      </c>
      <c r="H438" s="1"/>
      <c r="I438" s="43" t="s">
        <v>321</v>
      </c>
      <c r="J438" s="43" t="s">
        <v>6792</v>
      </c>
      <c r="K438" s="43" t="s">
        <v>7062</v>
      </c>
      <c r="L438" s="4" t="s">
        <v>7063</v>
      </c>
      <c r="M438" s="7" t="s">
        <v>7064</v>
      </c>
      <c r="N438" s="46">
        <v>6.35</v>
      </c>
      <c r="O438" s="43" t="s">
        <v>18</v>
      </c>
      <c r="P438" s="47" t="s">
        <v>4985</v>
      </c>
      <c r="Q438" s="267">
        <v>3</v>
      </c>
      <c r="R438" s="47" t="s">
        <v>4669</v>
      </c>
      <c r="S438" s="43">
        <f>4.3+1.5</f>
        <v>5.8</v>
      </c>
      <c r="T438" s="43" t="s">
        <v>4596</v>
      </c>
      <c r="U438" s="43">
        <v>0</v>
      </c>
      <c r="V438" s="43" t="s">
        <v>5029</v>
      </c>
      <c r="W438" s="43"/>
      <c r="X438" s="1"/>
      <c r="Y438" s="46">
        <v>0.2</v>
      </c>
      <c r="Z438" s="46"/>
      <c r="AA438" s="2"/>
      <c r="AB438" s="43"/>
      <c r="AC438" s="87"/>
      <c r="AD438" s="1"/>
      <c r="AE438" s="3"/>
      <c r="AF438" s="46"/>
      <c r="AG438" s="1"/>
      <c r="AH438" s="43"/>
      <c r="AI438" s="43"/>
      <c r="AJ438" s="43"/>
      <c r="AK438" s="37" t="s">
        <v>7065</v>
      </c>
      <c r="AL438" s="47"/>
      <c r="AM438" s="49">
        <f>Terre!$G41/Terre!$N41</f>
        <v>55197.79208831647</v>
      </c>
    </row>
    <row r="439" spans="1:39" ht="47.45" hidden="1" customHeight="1">
      <c r="A439" s="187">
        <v>28730133</v>
      </c>
      <c r="B439" s="43"/>
      <c r="C439" s="51">
        <v>45443</v>
      </c>
      <c r="D439" s="37" t="s">
        <v>7066</v>
      </c>
      <c r="E439" s="37" t="s">
        <v>7067</v>
      </c>
      <c r="F439" s="45" t="s">
        <v>7068</v>
      </c>
      <c r="G439" s="16">
        <v>2200000</v>
      </c>
      <c r="H439" s="16"/>
      <c r="I439" s="43" t="s">
        <v>16</v>
      </c>
      <c r="J439" s="43" t="s">
        <v>1788</v>
      </c>
      <c r="K439" s="43" t="s">
        <v>6919</v>
      </c>
      <c r="L439" s="25" t="s">
        <v>7069</v>
      </c>
      <c r="M439" s="26" t="s">
        <v>7070</v>
      </c>
      <c r="N439" s="46">
        <v>57.83</v>
      </c>
      <c r="O439" s="43" t="s">
        <v>18</v>
      </c>
      <c r="P439" s="47" t="s">
        <v>206</v>
      </c>
      <c r="Q439" s="267" t="s">
        <v>4703</v>
      </c>
      <c r="R439" s="47" t="s">
        <v>4946</v>
      </c>
      <c r="S439" s="43">
        <v>42.3</v>
      </c>
      <c r="T439" s="43" t="s">
        <v>4828</v>
      </c>
      <c r="U439" s="43">
        <v>15.1</v>
      </c>
      <c r="V439" s="43" t="s">
        <v>4628</v>
      </c>
      <c r="W439" s="43"/>
      <c r="X439" s="16"/>
      <c r="Y439" s="46">
        <v>2.9</v>
      </c>
      <c r="Z439" s="46"/>
      <c r="AA439" s="102"/>
      <c r="AB439" s="43"/>
      <c r="AC439" s="87"/>
      <c r="AD439" s="16"/>
      <c r="AE439" s="103"/>
      <c r="AF439" s="46"/>
      <c r="AG439" s="16"/>
      <c r="AH439" s="43"/>
      <c r="AI439" s="43"/>
      <c r="AJ439" s="43"/>
      <c r="AK439" s="37"/>
      <c r="AL439" s="47"/>
      <c r="AM439" s="49">
        <f t="shared" ref="AM439:AM448" si="19">G439/N439</f>
        <v>38042.538474840047</v>
      </c>
    </row>
    <row r="440" spans="1:39" ht="47.45" customHeight="1">
      <c r="A440" s="187">
        <v>28731402</v>
      </c>
      <c r="B440" s="43"/>
      <c r="C440" s="51">
        <v>45443</v>
      </c>
      <c r="D440" s="37" t="s">
        <v>7071</v>
      </c>
      <c r="E440" s="37" t="s">
        <v>7072</v>
      </c>
      <c r="F440" s="45">
        <v>6390449</v>
      </c>
      <c r="G440" s="16" t="s">
        <v>7073</v>
      </c>
      <c r="H440" s="16"/>
      <c r="I440" s="43"/>
      <c r="J440" s="43" t="s">
        <v>6597</v>
      </c>
      <c r="K440" s="43" t="s">
        <v>7074</v>
      </c>
      <c r="L440" s="25"/>
      <c r="M440" s="26"/>
      <c r="N440" s="46"/>
      <c r="O440" s="43"/>
      <c r="P440" s="47"/>
      <c r="Q440" s="267"/>
      <c r="R440" s="47"/>
      <c r="S440" s="43"/>
      <c r="T440" s="43"/>
      <c r="U440" s="43"/>
      <c r="V440" s="43"/>
      <c r="W440" s="43"/>
      <c r="X440" s="16"/>
      <c r="Y440" s="46"/>
      <c r="Z440" s="46"/>
      <c r="AA440" s="102"/>
      <c r="AB440" s="43"/>
      <c r="AC440" s="87"/>
      <c r="AD440" s="16"/>
      <c r="AE440" s="103"/>
      <c r="AF440" s="46"/>
      <c r="AG440" s="16"/>
      <c r="AH440" s="43"/>
      <c r="AI440" s="43"/>
      <c r="AJ440" s="43" t="s">
        <v>5061</v>
      </c>
      <c r="AK440" s="37"/>
      <c r="AL440" s="47"/>
      <c r="AM440" s="74" t="e">
        <f t="shared" si="19"/>
        <v>#VALUE!</v>
      </c>
    </row>
    <row r="441" spans="1:39" ht="47.45" hidden="1" customHeight="1">
      <c r="A441" s="187">
        <v>28782410</v>
      </c>
      <c r="B441" s="43" t="s">
        <v>4652</v>
      </c>
      <c r="C441" s="51">
        <v>45446</v>
      </c>
      <c r="D441" s="37" t="s">
        <v>7075</v>
      </c>
      <c r="E441" s="37" t="s">
        <v>7076</v>
      </c>
      <c r="F441" s="45" t="s">
        <v>7077</v>
      </c>
      <c r="G441" s="16">
        <v>1700000</v>
      </c>
      <c r="H441" s="16" t="s">
        <v>4652</v>
      </c>
      <c r="I441" s="43" t="s">
        <v>2560</v>
      </c>
      <c r="J441" s="43" t="s">
        <v>7078</v>
      </c>
      <c r="K441" s="43" t="s">
        <v>7079</v>
      </c>
      <c r="L441" s="25" t="s">
        <v>4652</v>
      </c>
      <c r="M441" s="26" t="s">
        <v>4652</v>
      </c>
      <c r="N441" s="46">
        <v>31.12</v>
      </c>
      <c r="O441" s="43" t="s">
        <v>36</v>
      </c>
      <c r="P441" s="47" t="s">
        <v>4652</v>
      </c>
      <c r="Q441" s="267" t="s">
        <v>7080</v>
      </c>
      <c r="R441" s="47" t="s">
        <v>4652</v>
      </c>
      <c r="S441" s="282">
        <v>29.7</v>
      </c>
      <c r="T441" s="43" t="s">
        <v>4652</v>
      </c>
      <c r="U441" s="43" t="s">
        <v>7081</v>
      </c>
      <c r="V441" s="43" t="s">
        <v>4652</v>
      </c>
      <c r="W441" s="43"/>
      <c r="X441" s="16" t="s">
        <v>4652</v>
      </c>
      <c r="Y441" s="46">
        <v>0</v>
      </c>
      <c r="Z441" s="46"/>
      <c r="AA441" s="102"/>
      <c r="AB441" s="43"/>
      <c r="AC441" s="87"/>
      <c r="AD441" s="16"/>
      <c r="AE441" s="103"/>
      <c r="AF441" s="46"/>
      <c r="AG441" s="16" t="s">
        <v>4996</v>
      </c>
      <c r="AH441" s="43">
        <v>0</v>
      </c>
      <c r="AI441" s="43"/>
      <c r="AJ441" s="43"/>
      <c r="AK441" s="37"/>
      <c r="AL441" s="47" t="s">
        <v>4996</v>
      </c>
      <c r="AM441" s="74">
        <f t="shared" si="19"/>
        <v>54627.249357326473</v>
      </c>
    </row>
    <row r="442" spans="1:39" ht="47.45" hidden="1" customHeight="1">
      <c r="A442" s="187">
        <v>28782410</v>
      </c>
      <c r="B442" s="43"/>
      <c r="C442" s="51">
        <v>45446</v>
      </c>
      <c r="D442" s="37" t="s">
        <v>7075</v>
      </c>
      <c r="E442" s="37" t="s">
        <v>7076</v>
      </c>
      <c r="F442" s="45" t="s">
        <v>7077</v>
      </c>
      <c r="G442" s="16">
        <v>1700000</v>
      </c>
      <c r="H442" s="16"/>
      <c r="I442" s="43" t="s">
        <v>2560</v>
      </c>
      <c r="J442" s="43" t="s">
        <v>7078</v>
      </c>
      <c r="K442" s="43" t="s">
        <v>7079</v>
      </c>
      <c r="L442" s="25"/>
      <c r="M442" s="26"/>
      <c r="N442" s="46">
        <v>31.12</v>
      </c>
      <c r="O442" s="43" t="s">
        <v>4996</v>
      </c>
      <c r="P442" s="47"/>
      <c r="Q442" s="267" t="s">
        <v>7080</v>
      </c>
      <c r="R442" s="47"/>
      <c r="S442" s="43" t="e">
        <v>#REF!</v>
      </c>
      <c r="T442" s="43"/>
      <c r="U442" s="43" t="e">
        <v>#REF!</v>
      </c>
      <c r="V442" s="43" t="s">
        <v>5529</v>
      </c>
      <c r="W442" s="43"/>
      <c r="X442" s="16"/>
      <c r="Y442" s="46">
        <v>0</v>
      </c>
      <c r="Z442" s="46"/>
      <c r="AA442" s="102"/>
      <c r="AB442" s="43"/>
      <c r="AC442" s="87"/>
      <c r="AD442" s="16"/>
      <c r="AE442" s="103"/>
      <c r="AF442" s="46"/>
      <c r="AG442" s="16"/>
      <c r="AH442" s="43"/>
      <c r="AI442" s="43"/>
      <c r="AJ442" s="43"/>
      <c r="AK442" s="37"/>
      <c r="AL442" s="47"/>
      <c r="AM442" s="74">
        <f t="shared" si="19"/>
        <v>54627.249357326473</v>
      </c>
    </row>
    <row r="443" spans="1:39" ht="47.45" hidden="1" customHeight="1">
      <c r="A443" s="408" t="s">
        <v>7082</v>
      </c>
      <c r="C443" s="317">
        <v>45446</v>
      </c>
      <c r="D443" s="265" t="s">
        <v>7083</v>
      </c>
      <c r="E443" s="265" t="s">
        <v>7084</v>
      </c>
      <c r="F443" t="s">
        <v>7085</v>
      </c>
      <c r="G443" s="94">
        <v>2700000</v>
      </c>
      <c r="I443" t="s">
        <v>1597</v>
      </c>
      <c r="J443" t="s">
        <v>6178</v>
      </c>
      <c r="L443" s="96">
        <v>45.186937999999998</v>
      </c>
      <c r="M443" s="96">
        <v>-72.30001</v>
      </c>
      <c r="N443" s="63">
        <v>182.82</v>
      </c>
      <c r="O443" t="s">
        <v>18</v>
      </c>
      <c r="P443" t="s">
        <v>19</v>
      </c>
      <c r="Q443" s="436" t="s">
        <v>7086</v>
      </c>
      <c r="R443" t="s">
        <v>7087</v>
      </c>
      <c r="S443">
        <v>20</v>
      </c>
      <c r="T443" t="s">
        <v>6154</v>
      </c>
      <c r="AK443" t="s">
        <v>7088</v>
      </c>
      <c r="AM443" s="1">
        <f t="shared" si="19"/>
        <v>14768.624876928126</v>
      </c>
    </row>
    <row r="444" spans="1:39" ht="47.45" hidden="1" customHeight="1">
      <c r="A444" s="196">
        <v>28746345</v>
      </c>
      <c r="C444" s="317">
        <v>45450</v>
      </c>
      <c r="D444" s="239" t="s">
        <v>7089</v>
      </c>
      <c r="E444" s="239" t="s">
        <v>7090</v>
      </c>
      <c r="F444" s="239" t="s">
        <v>7091</v>
      </c>
      <c r="G444" s="94">
        <v>1700000</v>
      </c>
      <c r="I444" t="s">
        <v>5985</v>
      </c>
      <c r="J444" t="s">
        <v>5986</v>
      </c>
      <c r="L444" s="96">
        <v>45.967475</v>
      </c>
      <c r="M444" s="96">
        <v>-72.074613999999997</v>
      </c>
      <c r="N444" s="63">
        <v>31.7</v>
      </c>
      <c r="O444" t="s">
        <v>36</v>
      </c>
      <c r="P444" t="s">
        <v>35</v>
      </c>
      <c r="Q444" s="436">
        <v>3</v>
      </c>
      <c r="R444" t="s">
        <v>155</v>
      </c>
      <c r="S444">
        <v>31</v>
      </c>
      <c r="T444" t="s">
        <v>3124</v>
      </c>
      <c r="Y444" s="63">
        <v>0</v>
      </c>
      <c r="AK444" t="s">
        <v>7092</v>
      </c>
      <c r="AM444" s="1">
        <f t="shared" si="19"/>
        <v>53627.76025236593</v>
      </c>
    </row>
    <row r="445" spans="1:39" ht="47.45" customHeight="1">
      <c r="A445" s="196" t="s">
        <v>7093</v>
      </c>
      <c r="C445" s="317">
        <v>45450</v>
      </c>
      <c r="F445" t="s">
        <v>7094</v>
      </c>
      <c r="I445" t="s">
        <v>39</v>
      </c>
      <c r="J445" t="s">
        <v>6977</v>
      </c>
      <c r="AM445" s="1" t="e">
        <f t="shared" si="19"/>
        <v>#DIV/0!</v>
      </c>
    </row>
    <row r="446" spans="1:39" ht="47.45" hidden="1" customHeight="1">
      <c r="A446" s="196">
        <v>28752626</v>
      </c>
      <c r="C446" s="317">
        <v>45454</v>
      </c>
      <c r="D446" t="s">
        <v>7095</v>
      </c>
      <c r="E446" t="s">
        <v>7096</v>
      </c>
      <c r="F446" t="s">
        <v>7097</v>
      </c>
      <c r="G446" s="94">
        <v>3000000</v>
      </c>
      <c r="I446" t="s">
        <v>2560</v>
      </c>
      <c r="J446" t="s">
        <v>7012</v>
      </c>
      <c r="K446" t="s">
        <v>7098</v>
      </c>
      <c r="L446" s="96" t="s">
        <v>7099</v>
      </c>
      <c r="M446" s="245" t="s">
        <v>7100</v>
      </c>
      <c r="N446" s="63">
        <f>25.87+37.65</f>
        <v>63.519999999999996</v>
      </c>
      <c r="O446" s="43" t="s">
        <v>36</v>
      </c>
      <c r="P446" t="s">
        <v>35</v>
      </c>
      <c r="Q446" s="436">
        <v>2</v>
      </c>
      <c r="R446" t="s">
        <v>4669</v>
      </c>
      <c r="S446">
        <f>35.9+24.6</f>
        <v>60.5</v>
      </c>
      <c r="V446">
        <f>Table3[[#This Row],[Superficie cultivée (ha)]]-24.6</f>
        <v>35.9</v>
      </c>
      <c r="AM446" s="1">
        <f t="shared" si="19"/>
        <v>47229.219143576833</v>
      </c>
    </row>
    <row r="447" spans="1:39" ht="47.45" hidden="1" customHeight="1">
      <c r="A447" s="196">
        <v>28755092</v>
      </c>
      <c r="C447" s="317">
        <v>45455</v>
      </c>
      <c r="D447" t="s">
        <v>7101</v>
      </c>
      <c r="E447" t="s">
        <v>7102</v>
      </c>
      <c r="F447" s="269">
        <v>6449520</v>
      </c>
      <c r="G447" s="62">
        <v>378000</v>
      </c>
      <c r="H447" s="62"/>
      <c r="I447" t="s">
        <v>6023</v>
      </c>
      <c r="J447" t="s">
        <v>7103</v>
      </c>
      <c r="K447" t="s">
        <v>7104</v>
      </c>
      <c r="L447" s="288" t="s">
        <v>7105</v>
      </c>
      <c r="M447" s="289" t="s">
        <v>7106</v>
      </c>
      <c r="N447" s="63">
        <v>9.41</v>
      </c>
      <c r="O447" t="s">
        <v>18</v>
      </c>
      <c r="P447" t="s">
        <v>35</v>
      </c>
      <c r="Q447" s="436">
        <v>2</v>
      </c>
      <c r="R447" t="s">
        <v>4669</v>
      </c>
      <c r="S447">
        <v>8.6999999999999993</v>
      </c>
      <c r="T447" s="43" t="s">
        <v>4596</v>
      </c>
      <c r="U447">
        <v>0</v>
      </c>
      <c r="X447" s="62"/>
      <c r="AA447" s="64"/>
      <c r="AD447" s="62"/>
      <c r="AE447" s="62"/>
      <c r="AG447" s="62"/>
      <c r="AM447" s="16">
        <f t="shared" si="19"/>
        <v>40170.03188097768</v>
      </c>
    </row>
    <row r="448" spans="1:39" ht="47.45" hidden="1" customHeight="1">
      <c r="A448" s="196">
        <v>28755778</v>
      </c>
      <c r="C448" s="317">
        <v>45455</v>
      </c>
      <c r="D448" s="249" t="s">
        <v>7107</v>
      </c>
      <c r="E448" s="249" t="s">
        <v>7108</v>
      </c>
      <c r="F448" s="311">
        <v>4390039</v>
      </c>
      <c r="G448" s="94">
        <v>1850000</v>
      </c>
      <c r="I448" t="s">
        <v>611</v>
      </c>
      <c r="J448" t="s">
        <v>7109</v>
      </c>
      <c r="K448" t="s">
        <v>7110</v>
      </c>
      <c r="L448" s="96">
        <v>45.261228000000003</v>
      </c>
      <c r="M448" s="96">
        <v>-73.166042000000004</v>
      </c>
      <c r="N448" s="63">
        <v>29.26</v>
      </c>
      <c r="O448" t="s">
        <v>18</v>
      </c>
      <c r="P448" t="s">
        <v>35</v>
      </c>
      <c r="Q448" s="436">
        <v>3</v>
      </c>
      <c r="R448" t="s">
        <v>4595</v>
      </c>
      <c r="S448">
        <v>22.6</v>
      </c>
      <c r="U448">
        <f>Table3[[#This Row],[Superficie cultivée (ha)]]</f>
        <v>22.6</v>
      </c>
      <c r="V448" s="43" t="s">
        <v>5038</v>
      </c>
      <c r="W448" s="43"/>
      <c r="Y448" s="63">
        <v>3</v>
      </c>
      <c r="AK448" t="s">
        <v>7111</v>
      </c>
      <c r="AM448" s="1">
        <f t="shared" si="19"/>
        <v>63226.247436773752</v>
      </c>
    </row>
    <row r="449" spans="1:39" ht="47.45" hidden="1" customHeight="1">
      <c r="A449" s="187">
        <v>28758171</v>
      </c>
      <c r="B449" s="43"/>
      <c r="C449" s="51">
        <v>45456</v>
      </c>
      <c r="D449" s="37" t="s">
        <v>7112</v>
      </c>
      <c r="E449" s="37" t="s">
        <v>7113</v>
      </c>
      <c r="F449" s="45" t="s">
        <v>7114</v>
      </c>
      <c r="G449" s="16">
        <v>172511</v>
      </c>
      <c r="H449" s="16"/>
      <c r="I449" s="43" t="s">
        <v>4880</v>
      </c>
      <c r="J449" s="43" t="s">
        <v>1031</v>
      </c>
      <c r="K449" s="43" t="s">
        <v>7115</v>
      </c>
      <c r="L449" s="25">
        <v>46.558546999999997</v>
      </c>
      <c r="M449" s="26">
        <v>-71.189152000000007</v>
      </c>
      <c r="N449" s="46">
        <v>4.18</v>
      </c>
      <c r="O449" s="43" t="s">
        <v>18</v>
      </c>
      <c r="P449" s="47" t="s">
        <v>35</v>
      </c>
      <c r="Q449" s="267">
        <v>4</v>
      </c>
      <c r="R449" s="47" t="s">
        <v>4801</v>
      </c>
      <c r="S449" s="43">
        <v>3.5</v>
      </c>
      <c r="T449" s="43" t="s">
        <v>4596</v>
      </c>
      <c r="U449" s="43">
        <v>0</v>
      </c>
      <c r="V449" s="43" t="s">
        <v>4628</v>
      </c>
      <c r="W449" s="43"/>
      <c r="X449" s="16"/>
      <c r="Y449" s="46">
        <v>0</v>
      </c>
      <c r="Z449" s="46"/>
      <c r="AA449" s="102"/>
      <c r="AB449" s="43"/>
      <c r="AC449" s="87"/>
      <c r="AD449" s="16"/>
      <c r="AE449" s="103"/>
      <c r="AF449" s="46"/>
      <c r="AG449" s="16"/>
      <c r="AH449" s="43"/>
      <c r="AI449" s="43"/>
      <c r="AJ449" s="43"/>
      <c r="AK449" s="37"/>
      <c r="AL449" s="47"/>
      <c r="AM449" s="49">
        <f>Terre!$G39/Terre!$N39</f>
        <v>19727.108334703273</v>
      </c>
    </row>
    <row r="450" spans="1:39" ht="47.45" hidden="1" customHeight="1">
      <c r="A450" s="187">
        <v>28763840</v>
      </c>
      <c r="B450" s="43"/>
      <c r="C450" s="51">
        <v>45457</v>
      </c>
      <c r="D450" s="37" t="s">
        <v>7116</v>
      </c>
      <c r="E450" s="37" t="s">
        <v>7117</v>
      </c>
      <c r="F450" s="45">
        <v>4212304</v>
      </c>
      <c r="G450" s="1">
        <v>400000</v>
      </c>
      <c r="H450" s="1"/>
      <c r="I450" s="43" t="s">
        <v>321</v>
      </c>
      <c r="J450" s="43" t="s">
        <v>6311</v>
      </c>
      <c r="K450" s="43" t="s">
        <v>7118</v>
      </c>
      <c r="L450" s="4" t="s">
        <v>7119</v>
      </c>
      <c r="M450" s="7" t="s">
        <v>7120</v>
      </c>
      <c r="N450" s="46">
        <v>25.22</v>
      </c>
      <c r="O450" s="43" t="s">
        <v>18</v>
      </c>
      <c r="P450" s="47" t="s">
        <v>206</v>
      </c>
      <c r="Q450" s="267">
        <v>3</v>
      </c>
      <c r="R450" s="47" t="s">
        <v>4687</v>
      </c>
      <c r="S450" s="43">
        <f>3.7+2.9+4.3+3.6+7.8+1</f>
        <v>23.299999999999997</v>
      </c>
      <c r="T450" s="43" t="s">
        <v>4828</v>
      </c>
      <c r="U450" s="43">
        <v>23.3</v>
      </c>
      <c r="V450" s="43" t="s">
        <v>5029</v>
      </c>
      <c r="W450" s="43"/>
      <c r="X450" s="1"/>
      <c r="Y450" s="46">
        <v>0</v>
      </c>
      <c r="Z450" s="46"/>
      <c r="AA450" s="2"/>
      <c r="AB450" s="43"/>
      <c r="AC450" s="87"/>
      <c r="AD450" s="1"/>
      <c r="AE450" s="3"/>
      <c r="AF450" s="46"/>
      <c r="AG450" s="1"/>
      <c r="AH450" s="43"/>
      <c r="AI450" s="43"/>
      <c r="AJ450" s="43"/>
      <c r="AK450" s="116" t="s">
        <v>7121</v>
      </c>
      <c r="AL450" s="113"/>
      <c r="AM450" s="184">
        <f>Terre!$G38/Terre!$N38</f>
        <v>6569.68559361802</v>
      </c>
    </row>
    <row r="451" spans="1:39" ht="47.45" hidden="1" customHeight="1">
      <c r="A451" s="196">
        <v>28765672</v>
      </c>
      <c r="C451" s="317">
        <v>45457</v>
      </c>
      <c r="D451" t="s">
        <v>7122</v>
      </c>
      <c r="E451" t="s">
        <v>7123</v>
      </c>
      <c r="F451" t="s">
        <v>7124</v>
      </c>
      <c r="G451" s="94">
        <v>3360000</v>
      </c>
      <c r="I451" t="s">
        <v>4811</v>
      </c>
      <c r="J451" t="s">
        <v>388</v>
      </c>
      <c r="K451" s="20" t="s">
        <v>7125</v>
      </c>
      <c r="L451" s="96" t="s">
        <v>7126</v>
      </c>
      <c r="M451" s="245" t="s">
        <v>7127</v>
      </c>
      <c r="N451" s="63">
        <v>35.49</v>
      </c>
      <c r="Q451" s="436">
        <v>2</v>
      </c>
      <c r="R451" t="s">
        <v>4669</v>
      </c>
      <c r="S451">
        <f>4.9+1.8+9.1+37.6+22.3</f>
        <v>75.7</v>
      </c>
      <c r="Y451" s="63">
        <v>8.6999999999999993</v>
      </c>
      <c r="AF451" s="63" t="s">
        <v>7128</v>
      </c>
      <c r="AK451" s="20" t="s">
        <v>7129</v>
      </c>
      <c r="AM451" s="1">
        <f>G451/N451</f>
        <v>94674.556213017742</v>
      </c>
    </row>
    <row r="452" spans="1:39" ht="47.45" hidden="1" customHeight="1">
      <c r="A452" s="187">
        <v>29112155</v>
      </c>
      <c r="B452" s="43"/>
      <c r="C452" s="51">
        <v>45459</v>
      </c>
      <c r="D452" s="37" t="s">
        <v>7130</v>
      </c>
      <c r="E452" s="37" t="s">
        <v>7131</v>
      </c>
      <c r="F452" s="45" t="s">
        <v>7132</v>
      </c>
      <c r="G452" s="16">
        <v>2900000</v>
      </c>
      <c r="H452" s="16"/>
      <c r="I452" t="s">
        <v>4911</v>
      </c>
      <c r="J452" s="43" t="s">
        <v>1178</v>
      </c>
      <c r="K452" s="43">
        <v>0</v>
      </c>
      <c r="L452" s="25"/>
      <c r="M452" s="26"/>
      <c r="N452" s="46">
        <v>99.73</v>
      </c>
      <c r="O452" s="43"/>
      <c r="P452" s="47"/>
      <c r="Q452" s="267" t="s">
        <v>5610</v>
      </c>
      <c r="R452" s="47"/>
      <c r="S452" s="43">
        <v>78.199999999999989</v>
      </c>
      <c r="T452" s="43"/>
      <c r="U452" s="43"/>
      <c r="V452" s="43"/>
      <c r="W452" s="43"/>
      <c r="X452" s="16"/>
      <c r="Y452" s="46">
        <v>21.530000000000015</v>
      </c>
      <c r="Z452" s="46"/>
      <c r="AA452" s="102"/>
      <c r="AB452" s="43"/>
      <c r="AC452" s="87"/>
      <c r="AD452" s="16"/>
      <c r="AE452" s="103"/>
      <c r="AF452" s="46"/>
      <c r="AG452" s="16"/>
      <c r="AH452" s="43"/>
      <c r="AI452" s="43"/>
      <c r="AJ452" s="43" t="s">
        <v>7133</v>
      </c>
      <c r="AK452" s="37">
        <v>0</v>
      </c>
      <c r="AL452" s="47"/>
      <c r="AM452" s="74">
        <f>G452/N452</f>
        <v>29078.511982352349</v>
      </c>
    </row>
    <row r="453" spans="1:39" ht="47.45" hidden="1" customHeight="1">
      <c r="A453" s="187">
        <v>28711023</v>
      </c>
      <c r="B453" s="43"/>
      <c r="C453" s="51">
        <v>45460</v>
      </c>
      <c r="D453" s="37" t="s">
        <v>7134</v>
      </c>
      <c r="E453" s="37" t="s">
        <v>4858</v>
      </c>
      <c r="F453" s="45" t="s">
        <v>7135</v>
      </c>
      <c r="G453" s="1">
        <v>1520000</v>
      </c>
      <c r="H453" s="1"/>
      <c r="I453" s="43" t="s">
        <v>747</v>
      </c>
      <c r="J453" s="43" t="s">
        <v>1390</v>
      </c>
      <c r="K453" s="43" t="s">
        <v>7136</v>
      </c>
      <c r="L453" s="4" t="s">
        <v>7137</v>
      </c>
      <c r="M453" s="7" t="s">
        <v>7138</v>
      </c>
      <c r="N453" s="46">
        <v>39.43</v>
      </c>
      <c r="O453" s="43" t="s">
        <v>18</v>
      </c>
      <c r="P453" s="47" t="s">
        <v>206</v>
      </c>
      <c r="Q453" s="267" t="s">
        <v>4703</v>
      </c>
      <c r="R453" s="47" t="s">
        <v>4595</v>
      </c>
      <c r="S453" s="43">
        <v>38.1</v>
      </c>
      <c r="T453" s="43" t="s">
        <v>4596</v>
      </c>
      <c r="U453" s="43">
        <v>0</v>
      </c>
      <c r="V453" s="43" t="s">
        <v>4628</v>
      </c>
      <c r="W453" s="43"/>
      <c r="X453" s="1"/>
      <c r="Y453" s="46">
        <v>0</v>
      </c>
      <c r="Z453" s="46"/>
      <c r="AA453" s="2"/>
      <c r="AB453" s="43"/>
      <c r="AC453" s="87"/>
      <c r="AD453" s="1"/>
      <c r="AE453" s="3"/>
      <c r="AF453" s="46"/>
      <c r="AG453" s="1"/>
      <c r="AH453" s="43"/>
      <c r="AI453" s="43"/>
      <c r="AJ453" s="43"/>
      <c r="AK453" s="37" t="s">
        <v>6210</v>
      </c>
      <c r="AL453" s="47"/>
      <c r="AM453" s="49">
        <f>Terre!$G37/Terre!$N37</f>
        <v>14783.653846153846</v>
      </c>
    </row>
    <row r="454" spans="1:39" ht="47.45" hidden="1" customHeight="1">
      <c r="A454" s="187">
        <v>28767262</v>
      </c>
      <c r="B454" s="43"/>
      <c r="C454" s="51">
        <v>45460</v>
      </c>
      <c r="D454" s="37" t="s">
        <v>7139</v>
      </c>
      <c r="E454" s="37" t="s">
        <v>6697</v>
      </c>
      <c r="F454" s="45" t="s">
        <v>7140</v>
      </c>
      <c r="G454" s="16">
        <v>455000</v>
      </c>
      <c r="H454" s="16"/>
      <c r="I454" s="43" t="s">
        <v>5507</v>
      </c>
      <c r="J454" s="43" t="s">
        <v>2337</v>
      </c>
      <c r="K454" s="43" t="s">
        <v>7141</v>
      </c>
      <c r="L454" s="25" t="s">
        <v>7142</v>
      </c>
      <c r="M454" s="26" t="s">
        <v>7143</v>
      </c>
      <c r="N454" s="46">
        <f>2.51+10.46+12.56+5.18+7.71+8.19+7.31+10.44+16.82+8.44+8.82+15.61</f>
        <v>114.05</v>
      </c>
      <c r="O454" s="43" t="s">
        <v>36</v>
      </c>
      <c r="P454" s="60" t="s">
        <v>3970</v>
      </c>
      <c r="Q454" s="267">
        <v>2</v>
      </c>
      <c r="R454" s="47" t="s">
        <v>5197</v>
      </c>
      <c r="S454" s="43">
        <f>7.5+7.7+4.5+5.1+2.3+1.3+3+2.3</f>
        <v>33.699999999999996</v>
      </c>
      <c r="T454" s="139" t="s">
        <v>4596</v>
      </c>
      <c r="U454" s="43"/>
      <c r="V454" s="43"/>
      <c r="W454" s="43"/>
      <c r="X454" s="16"/>
      <c r="Y454" s="46">
        <f>32.2+28.3+12.1</f>
        <v>72.599999999999994</v>
      </c>
      <c r="Z454" s="46"/>
      <c r="AA454" s="102"/>
      <c r="AB454" s="43"/>
      <c r="AC454" s="87"/>
      <c r="AD454" s="16"/>
      <c r="AE454" s="103"/>
      <c r="AF454" s="46" t="s">
        <v>7144</v>
      </c>
      <c r="AG454" s="16"/>
      <c r="AH454" s="43"/>
      <c r="AI454" s="43"/>
      <c r="AJ454" s="43" t="s">
        <v>5061</v>
      </c>
      <c r="AK454" s="37" t="s">
        <v>7145</v>
      </c>
      <c r="AL454" s="47"/>
      <c r="AM454" s="74">
        <f>G454/N454</f>
        <v>3989.4782989916703</v>
      </c>
    </row>
    <row r="455" spans="1:39" ht="47.45" customHeight="1">
      <c r="A455" s="196" t="s">
        <v>7146</v>
      </c>
      <c r="C455" s="317">
        <v>45460</v>
      </c>
      <c r="F455" t="s">
        <v>7147</v>
      </c>
      <c r="G455" s="94">
        <v>1750000</v>
      </c>
      <c r="I455" t="s">
        <v>1363</v>
      </c>
      <c r="AM455" s="1" t="e">
        <f>G455/N455</f>
        <v>#DIV/0!</v>
      </c>
    </row>
    <row r="456" spans="1:39" ht="47.45" hidden="1" customHeight="1">
      <c r="A456" s="187">
        <v>28771022</v>
      </c>
      <c r="B456" s="43"/>
      <c r="C456" s="51">
        <v>45461</v>
      </c>
      <c r="D456" s="37" t="s">
        <v>7148</v>
      </c>
      <c r="E456" s="37" t="s">
        <v>7149</v>
      </c>
      <c r="F456" s="45">
        <v>5884387</v>
      </c>
      <c r="G456" s="1">
        <v>652344.37</v>
      </c>
      <c r="H456" s="1"/>
      <c r="I456" s="43" t="s">
        <v>747</v>
      </c>
      <c r="J456" s="43" t="s">
        <v>5901</v>
      </c>
      <c r="K456" s="43" t="s">
        <v>7150</v>
      </c>
      <c r="L456" s="4" t="s">
        <v>7151</v>
      </c>
      <c r="M456" s="7" t="s">
        <v>7152</v>
      </c>
      <c r="N456" s="46">
        <v>13.2</v>
      </c>
      <c r="O456" s="43" t="s">
        <v>18</v>
      </c>
      <c r="P456" s="47" t="s">
        <v>206</v>
      </c>
      <c r="Q456" s="267" t="s">
        <v>4856</v>
      </c>
      <c r="R456" s="47" t="s">
        <v>4669</v>
      </c>
      <c r="S456" s="43">
        <v>13.1</v>
      </c>
      <c r="T456" s="43" t="s">
        <v>4596</v>
      </c>
      <c r="U456" s="43">
        <v>0</v>
      </c>
      <c r="V456" s="43" t="s">
        <v>4628</v>
      </c>
      <c r="W456" s="43"/>
      <c r="X456" s="1"/>
      <c r="Y456" s="46">
        <v>0</v>
      </c>
      <c r="Z456" s="46"/>
      <c r="AA456" s="2"/>
      <c r="AB456" s="43"/>
      <c r="AC456" s="87"/>
      <c r="AD456" s="1"/>
      <c r="AE456" s="3"/>
      <c r="AF456" s="46"/>
      <c r="AG456" s="1"/>
      <c r="AH456" s="43"/>
      <c r="AI456" s="43"/>
      <c r="AJ456" s="43"/>
      <c r="AK456" s="114" t="s">
        <v>6343</v>
      </c>
      <c r="AL456" s="113"/>
      <c r="AM456" s="184" t="e">
        <f>Terre!$G36/Terre!$N36</f>
        <v>#VALUE!</v>
      </c>
    </row>
    <row r="457" spans="1:39" ht="47.45" hidden="1" customHeight="1">
      <c r="A457" s="187">
        <v>28778160</v>
      </c>
      <c r="B457" s="43"/>
      <c r="C457" s="51">
        <v>45462</v>
      </c>
      <c r="D457" s="37" t="s">
        <v>7153</v>
      </c>
      <c r="E457" s="37" t="s">
        <v>7154</v>
      </c>
      <c r="F457" s="45">
        <v>6062736</v>
      </c>
      <c r="G457" s="16">
        <v>1020360</v>
      </c>
      <c r="H457" s="16"/>
      <c r="I457" s="43" t="s">
        <v>6143</v>
      </c>
      <c r="J457" s="43" t="s">
        <v>6144</v>
      </c>
      <c r="K457" s="43" t="s">
        <v>6938</v>
      </c>
      <c r="L457" s="25"/>
      <c r="M457" s="26"/>
      <c r="N457" s="46">
        <v>18.77</v>
      </c>
      <c r="O457" s="43" t="s">
        <v>4996</v>
      </c>
      <c r="P457" s="47"/>
      <c r="Q457" s="267" t="s">
        <v>6940</v>
      </c>
      <c r="R457" s="47"/>
      <c r="S457" s="43">
        <v>17.7</v>
      </c>
      <c r="T457" s="43"/>
      <c r="U457" s="43" t="e">
        <v>#REF!</v>
      </c>
      <c r="V457" s="43" t="s">
        <v>5288</v>
      </c>
      <c r="W457" s="43"/>
      <c r="X457" s="16"/>
      <c r="Y457" s="46">
        <v>0</v>
      </c>
      <c r="Z457" s="46"/>
      <c r="AA457" s="102"/>
      <c r="AB457" s="43"/>
      <c r="AC457" s="87"/>
      <c r="AD457" s="16"/>
      <c r="AE457" s="103"/>
      <c r="AF457" s="46"/>
      <c r="AG457" s="16"/>
      <c r="AH457" s="43"/>
      <c r="AI457" s="43"/>
      <c r="AJ457" s="43" t="s">
        <v>6941</v>
      </c>
      <c r="AK457" s="37">
        <v>0</v>
      </c>
      <c r="AL457" s="47"/>
      <c r="AM457" s="74">
        <f>G457/N457</f>
        <v>54361.214704315396</v>
      </c>
    </row>
    <row r="458" spans="1:39" ht="47.45" hidden="1" customHeight="1">
      <c r="A458" s="196">
        <v>28777152</v>
      </c>
      <c r="C458" s="317">
        <v>45462</v>
      </c>
      <c r="D458" s="247" t="s">
        <v>7155</v>
      </c>
      <c r="E458" s="247" t="s">
        <v>6638</v>
      </c>
      <c r="F458" t="s">
        <v>7156</v>
      </c>
      <c r="G458" s="94">
        <v>1680000</v>
      </c>
      <c r="I458" t="s">
        <v>321</v>
      </c>
      <c r="J458" t="s">
        <v>7157</v>
      </c>
      <c r="K458" s="247" t="s">
        <v>7158</v>
      </c>
      <c r="N458" s="63">
        <v>62.08</v>
      </c>
      <c r="O458" t="s">
        <v>18</v>
      </c>
      <c r="P458" s="47" t="s">
        <v>154</v>
      </c>
      <c r="Q458" s="436">
        <v>4</v>
      </c>
      <c r="R458" t="s">
        <v>4801</v>
      </c>
      <c r="S458">
        <v>44.6</v>
      </c>
      <c r="T458" s="43" t="s">
        <v>4596</v>
      </c>
      <c r="Y458" s="63">
        <v>17</v>
      </c>
      <c r="AK458" t="s">
        <v>7159</v>
      </c>
      <c r="AM458" s="1">
        <f>G458/N458</f>
        <v>27061.855670103094</v>
      </c>
    </row>
    <row r="459" spans="1:39" ht="47.45" hidden="1" customHeight="1">
      <c r="A459" s="187">
        <v>2877152</v>
      </c>
      <c r="B459" s="43"/>
      <c r="C459" s="51">
        <v>45462</v>
      </c>
      <c r="D459" s="37" t="s">
        <v>6637</v>
      </c>
      <c r="E459" s="37" t="s">
        <v>6638</v>
      </c>
      <c r="F459" s="45" t="s">
        <v>7160</v>
      </c>
      <c r="G459" s="1">
        <v>1680000</v>
      </c>
      <c r="H459" s="1"/>
      <c r="I459" s="43" t="s">
        <v>4880</v>
      </c>
      <c r="J459" s="43" t="s">
        <v>1031</v>
      </c>
      <c r="K459" s="43" t="s">
        <v>6640</v>
      </c>
      <c r="L459" s="4">
        <v>46.550376999999997</v>
      </c>
      <c r="M459" s="7" t="s">
        <v>7161</v>
      </c>
      <c r="N459" s="46">
        <v>62.68</v>
      </c>
      <c r="O459" s="43" t="s">
        <v>7162</v>
      </c>
      <c r="P459" s="47" t="s">
        <v>4864</v>
      </c>
      <c r="Q459" s="267">
        <v>4</v>
      </c>
      <c r="R459" s="47" t="s">
        <v>4801</v>
      </c>
      <c r="S459" s="43">
        <v>44.6</v>
      </c>
      <c r="T459" s="43" t="s">
        <v>4596</v>
      </c>
      <c r="U459" s="43">
        <v>0</v>
      </c>
      <c r="V459" s="43" t="s">
        <v>4628</v>
      </c>
      <c r="W459" s="43"/>
      <c r="X459" s="1"/>
      <c r="Y459" s="46">
        <v>18.079999999999998</v>
      </c>
      <c r="Z459" s="46"/>
      <c r="AA459" s="2"/>
      <c r="AB459" s="43"/>
      <c r="AC459" s="87"/>
      <c r="AD459" s="1"/>
      <c r="AE459" s="3"/>
      <c r="AF459" s="46"/>
      <c r="AG459" s="1"/>
      <c r="AH459" s="43"/>
      <c r="AI459" s="43"/>
      <c r="AJ459" s="43"/>
      <c r="AK459" s="37" t="s">
        <v>3733</v>
      </c>
      <c r="AL459" s="47"/>
      <c r="AM459" s="49">
        <f>Terre!$G35/Terre!$N35</f>
        <v>22070.205117360965</v>
      </c>
    </row>
    <row r="460" spans="1:39" ht="47.45" hidden="1" customHeight="1">
      <c r="A460" s="189">
        <v>28782531</v>
      </c>
      <c r="B460" s="139"/>
      <c r="C460" s="319">
        <v>45463</v>
      </c>
      <c r="D460" s="80" t="s">
        <v>7163</v>
      </c>
      <c r="E460" s="80" t="s">
        <v>7164</v>
      </c>
      <c r="F460" s="80" t="s">
        <v>7165</v>
      </c>
      <c r="G460" s="134">
        <v>1066000</v>
      </c>
      <c r="H460" s="150"/>
      <c r="I460" s="139" t="s">
        <v>321</v>
      </c>
      <c r="J460" s="139" t="s">
        <v>1942</v>
      </c>
      <c r="K460" s="80" t="s">
        <v>7166</v>
      </c>
      <c r="L460" s="80">
        <v>46.558804000000002</v>
      </c>
      <c r="M460" s="80">
        <v>-71.423854000000006</v>
      </c>
      <c r="N460" s="144">
        <v>4.96</v>
      </c>
      <c r="O460" s="139" t="s">
        <v>18</v>
      </c>
      <c r="P460" s="60" t="s">
        <v>154</v>
      </c>
      <c r="Q460" s="439">
        <v>3</v>
      </c>
      <c r="R460" s="60" t="s">
        <v>4669</v>
      </c>
      <c r="S460" s="139">
        <v>4.5</v>
      </c>
      <c r="T460" s="139" t="s">
        <v>4596</v>
      </c>
      <c r="U460" s="139"/>
      <c r="V460" s="139"/>
      <c r="W460" s="139"/>
      <c r="X460" s="150"/>
      <c r="Y460" s="144"/>
      <c r="Z460" s="144"/>
      <c r="AA460" s="152"/>
      <c r="AB460" s="139"/>
      <c r="AC460" s="146"/>
      <c r="AD460" s="150"/>
      <c r="AE460" s="159"/>
      <c r="AF460" s="144"/>
      <c r="AG460" s="150"/>
      <c r="AH460" s="139"/>
      <c r="AI460" s="139"/>
      <c r="AJ460" s="139"/>
      <c r="AK460" s="60" t="s">
        <v>7167</v>
      </c>
      <c r="AL460" s="60"/>
      <c r="AM460" s="150">
        <f>G460/N460</f>
        <v>214919.35483870967</v>
      </c>
    </row>
    <row r="461" spans="1:39" ht="47.45" hidden="1" customHeight="1">
      <c r="A461" s="187">
        <v>28778361</v>
      </c>
      <c r="B461" s="43"/>
      <c r="C461" s="51">
        <v>45463</v>
      </c>
      <c r="D461" s="37" t="s">
        <v>7168</v>
      </c>
      <c r="E461" s="37" t="s">
        <v>7169</v>
      </c>
      <c r="F461" s="45" t="s">
        <v>7170</v>
      </c>
      <c r="G461" s="1">
        <v>940000</v>
      </c>
      <c r="H461" s="1"/>
      <c r="I461" s="43" t="s">
        <v>75</v>
      </c>
      <c r="J461" s="43" t="s">
        <v>5565</v>
      </c>
      <c r="K461" s="43" t="s">
        <v>7171</v>
      </c>
      <c r="L461" s="4" t="s">
        <v>7172</v>
      </c>
      <c r="M461" s="7" t="s">
        <v>7173</v>
      </c>
      <c r="N461" s="46">
        <f>3.42+4.49+15.55+7.35</f>
        <v>30.810000000000002</v>
      </c>
      <c r="O461" s="43" t="s">
        <v>18</v>
      </c>
      <c r="P461" s="47" t="s">
        <v>206</v>
      </c>
      <c r="Q461" s="267" t="s">
        <v>4856</v>
      </c>
      <c r="R461" s="47" t="s">
        <v>4669</v>
      </c>
      <c r="S461" s="43">
        <f>29.42</f>
        <v>29.42</v>
      </c>
      <c r="T461" s="43" t="s">
        <v>4596</v>
      </c>
      <c r="U461" s="43">
        <v>0</v>
      </c>
      <c r="V461" s="43" t="s">
        <v>4628</v>
      </c>
      <c r="W461" s="43"/>
      <c r="X461" s="1"/>
      <c r="Y461" s="46">
        <v>0</v>
      </c>
      <c r="Z461" s="46"/>
      <c r="AA461" s="2"/>
      <c r="AB461" s="43"/>
      <c r="AC461" s="87"/>
      <c r="AD461" s="1"/>
      <c r="AE461" s="3"/>
      <c r="AF461" s="46"/>
      <c r="AG461" s="1"/>
      <c r="AH461" s="43"/>
      <c r="AI461" s="43"/>
      <c r="AJ461" s="43"/>
      <c r="AK461" s="10" t="s">
        <v>7174</v>
      </c>
      <c r="AL461" s="12"/>
      <c r="AM461" s="14">
        <f>Terre!$G34/Terre!$N34</f>
        <v>12950.17266896892</v>
      </c>
    </row>
    <row r="462" spans="1:39" ht="47.45" customHeight="1">
      <c r="A462" s="196" t="s">
        <v>7175</v>
      </c>
      <c r="C462" s="317">
        <v>45463</v>
      </c>
      <c r="F462" t="s">
        <v>7176</v>
      </c>
      <c r="I462" t="s">
        <v>39</v>
      </c>
      <c r="J462" t="s">
        <v>7177</v>
      </c>
      <c r="AM462" s="1" t="e">
        <f>G462/N462</f>
        <v>#DIV/0!</v>
      </c>
    </row>
    <row r="463" spans="1:39" ht="47.45" hidden="1" customHeight="1">
      <c r="A463" s="187">
        <v>28784686</v>
      </c>
      <c r="B463" s="43"/>
      <c r="C463" s="51">
        <v>45464</v>
      </c>
      <c r="D463" s="37" t="s">
        <v>7178</v>
      </c>
      <c r="E463" s="37" t="s">
        <v>7179</v>
      </c>
      <c r="F463" s="45">
        <v>2639529</v>
      </c>
      <c r="G463" s="16">
        <v>2905683</v>
      </c>
      <c r="H463" s="16"/>
      <c r="I463" s="47" t="s">
        <v>4880</v>
      </c>
      <c r="J463" s="43" t="s">
        <v>1031</v>
      </c>
      <c r="K463" s="43" t="s">
        <v>7180</v>
      </c>
      <c r="L463" s="25">
        <v>46.574488000000002</v>
      </c>
      <c r="M463" s="296">
        <v>-71.230378999999999</v>
      </c>
      <c r="N463" s="46">
        <v>10.09</v>
      </c>
      <c r="O463" s="43" t="s">
        <v>18</v>
      </c>
      <c r="P463" s="47" t="s">
        <v>35</v>
      </c>
      <c r="Q463" s="267">
        <v>4</v>
      </c>
      <c r="R463" s="47" t="s">
        <v>4801</v>
      </c>
      <c r="S463" s="43">
        <v>9.5</v>
      </c>
      <c r="T463" s="43" t="s">
        <v>4596</v>
      </c>
      <c r="U463" s="43">
        <v>0</v>
      </c>
      <c r="V463" s="43" t="s">
        <v>4628</v>
      </c>
      <c r="W463" s="43"/>
      <c r="X463" s="16"/>
      <c r="Y463" s="46">
        <v>0</v>
      </c>
      <c r="Z463" s="46"/>
      <c r="AA463" s="102"/>
      <c r="AB463" s="43"/>
      <c r="AC463" s="87"/>
      <c r="AD463" s="16"/>
      <c r="AE463" s="103"/>
      <c r="AF463" s="46"/>
      <c r="AG463" s="16"/>
      <c r="AH463" s="43"/>
      <c r="AI463" s="43"/>
      <c r="AJ463" s="43"/>
      <c r="AK463" s="37"/>
      <c r="AL463" s="47"/>
      <c r="AM463" s="49">
        <f>Terre!$G32/Terre!$N32</f>
        <v>34071.550255536626</v>
      </c>
    </row>
    <row r="464" spans="1:39" ht="47.45" hidden="1" customHeight="1">
      <c r="A464" s="196">
        <v>28784681</v>
      </c>
      <c r="C464" s="317">
        <v>45464</v>
      </c>
      <c r="D464" s="249" t="s">
        <v>7181</v>
      </c>
      <c r="E464" s="249" t="s">
        <v>7182</v>
      </c>
      <c r="F464" s="249" t="s">
        <v>7183</v>
      </c>
      <c r="G464" s="94">
        <v>290000</v>
      </c>
      <c r="I464" t="s">
        <v>321</v>
      </c>
      <c r="J464" t="s">
        <v>7184</v>
      </c>
      <c r="K464" s="249" t="s">
        <v>7185</v>
      </c>
      <c r="N464" s="63">
        <v>21.04</v>
      </c>
      <c r="O464" t="s">
        <v>18</v>
      </c>
      <c r="P464" s="47" t="s">
        <v>154</v>
      </c>
      <c r="Q464" s="436">
        <v>3</v>
      </c>
      <c r="R464" t="s">
        <v>5297</v>
      </c>
      <c r="S464">
        <v>10.9</v>
      </c>
      <c r="T464" s="43" t="s">
        <v>4596</v>
      </c>
      <c r="Y464" s="63">
        <v>10.14</v>
      </c>
      <c r="AK464" t="s">
        <v>7186</v>
      </c>
      <c r="AM464" s="1">
        <f>G464/N464</f>
        <v>13783.269961977187</v>
      </c>
    </row>
    <row r="465" spans="1:39" ht="47.45" hidden="1" customHeight="1">
      <c r="A465" s="196">
        <v>28784751</v>
      </c>
      <c r="C465" s="317">
        <v>45464</v>
      </c>
      <c r="D465" s="249" t="s">
        <v>7187</v>
      </c>
      <c r="E465" s="249" t="s">
        <v>7188</v>
      </c>
      <c r="F465" s="249" t="s">
        <v>7189</v>
      </c>
      <c r="G465" s="94">
        <v>600000</v>
      </c>
      <c r="I465" t="s">
        <v>149</v>
      </c>
      <c r="J465" t="s">
        <v>5000</v>
      </c>
      <c r="N465" s="63">
        <v>33.19</v>
      </c>
      <c r="O465" t="s">
        <v>18</v>
      </c>
      <c r="P465" s="47" t="s">
        <v>154</v>
      </c>
      <c r="Q465" s="436" t="s">
        <v>6884</v>
      </c>
      <c r="R465" t="s">
        <v>4946</v>
      </c>
      <c r="S465">
        <v>8.4</v>
      </c>
      <c r="T465" s="43" t="s">
        <v>4596</v>
      </c>
      <c r="Y465" s="63">
        <v>24.79</v>
      </c>
      <c r="AK465" t="s">
        <v>7190</v>
      </c>
      <c r="AM465" s="1">
        <f>G465/N465</f>
        <v>18077.73425730642</v>
      </c>
    </row>
    <row r="466" spans="1:39" ht="47.45" hidden="1" customHeight="1">
      <c r="A466" s="187">
        <v>28786051</v>
      </c>
      <c r="B466" s="43"/>
      <c r="C466" s="51">
        <v>45464</v>
      </c>
      <c r="D466" s="37" t="s">
        <v>7191</v>
      </c>
      <c r="E466" s="37" t="s">
        <v>7192</v>
      </c>
      <c r="F466" s="45">
        <v>4175431</v>
      </c>
      <c r="G466" s="1">
        <v>1060000</v>
      </c>
      <c r="H466" s="1"/>
      <c r="I466" s="43" t="s">
        <v>75</v>
      </c>
      <c r="J466" s="43" t="s">
        <v>585</v>
      </c>
      <c r="K466" s="43" t="s">
        <v>7193</v>
      </c>
      <c r="L466" s="4" t="s">
        <v>7194</v>
      </c>
      <c r="M466" s="7" t="s">
        <v>7195</v>
      </c>
      <c r="N466" s="46">
        <v>34.94</v>
      </c>
      <c r="O466" s="43" t="s">
        <v>18</v>
      </c>
      <c r="P466" s="47" t="s">
        <v>4702</v>
      </c>
      <c r="Q466" s="267" t="s">
        <v>4703</v>
      </c>
      <c r="R466" s="47" t="s">
        <v>4595</v>
      </c>
      <c r="S466" s="43">
        <v>34.1</v>
      </c>
      <c r="T466" s="43" t="s">
        <v>4596</v>
      </c>
      <c r="U466" s="43">
        <v>0</v>
      </c>
      <c r="V466" s="43" t="s">
        <v>4628</v>
      </c>
      <c r="W466" s="43"/>
      <c r="X466" s="1"/>
      <c r="Y466" s="46">
        <v>0</v>
      </c>
      <c r="Z466" s="46"/>
      <c r="AA466" s="2"/>
      <c r="AB466" s="43"/>
      <c r="AC466" s="87"/>
      <c r="AD466" s="1"/>
      <c r="AE466" s="3"/>
      <c r="AF466" s="46"/>
      <c r="AG466" s="1"/>
      <c r="AH466" s="43"/>
      <c r="AI466" s="43"/>
      <c r="AJ466" s="43"/>
      <c r="AK466" s="37"/>
      <c r="AL466" s="47"/>
      <c r="AM466" s="49">
        <f>Terre!$G33/Terre!$N33</f>
        <v>17540.928833945873</v>
      </c>
    </row>
    <row r="467" spans="1:39" ht="47.45" hidden="1" customHeight="1">
      <c r="A467" s="187">
        <v>28783091</v>
      </c>
      <c r="B467" s="43"/>
      <c r="C467" s="51">
        <v>45464</v>
      </c>
      <c r="D467" s="37" t="s">
        <v>7196</v>
      </c>
      <c r="E467" s="37" t="s">
        <v>7197</v>
      </c>
      <c r="F467" s="45" t="s">
        <v>7198</v>
      </c>
      <c r="G467" s="1">
        <v>809200</v>
      </c>
      <c r="H467" s="1"/>
      <c r="I467" s="43" t="s">
        <v>408</v>
      </c>
      <c r="J467" s="43" t="s">
        <v>6705</v>
      </c>
      <c r="K467" s="43" t="s">
        <v>7199</v>
      </c>
      <c r="L467" s="4">
        <v>45.829082</v>
      </c>
      <c r="M467" s="7">
        <v>-71.840277</v>
      </c>
      <c r="N467" s="46">
        <v>37.020000000000003</v>
      </c>
      <c r="O467" s="43" t="s">
        <v>18</v>
      </c>
      <c r="P467" s="47" t="s">
        <v>384</v>
      </c>
      <c r="Q467" s="267">
        <v>3</v>
      </c>
      <c r="R467" s="47" t="s">
        <v>7200</v>
      </c>
      <c r="S467" s="43">
        <v>33.299999999999997</v>
      </c>
      <c r="T467" s="43" t="s">
        <v>4596</v>
      </c>
      <c r="U467" s="43"/>
      <c r="V467" s="43"/>
      <c r="W467" s="43"/>
      <c r="X467" s="1"/>
      <c r="Y467" s="46">
        <v>2</v>
      </c>
      <c r="Z467" s="46"/>
      <c r="AA467" s="2"/>
      <c r="AB467" s="43"/>
      <c r="AC467" s="87"/>
      <c r="AD467" s="1"/>
      <c r="AE467" s="3"/>
      <c r="AF467" s="46"/>
      <c r="AG467" s="1"/>
      <c r="AH467" s="43"/>
      <c r="AI467" s="43"/>
      <c r="AJ467" s="43"/>
      <c r="AK467" s="37" t="s">
        <v>7201</v>
      </c>
      <c r="AL467" s="47"/>
      <c r="AM467" s="1">
        <f>G467/N467</f>
        <v>21858.454889249053</v>
      </c>
    </row>
    <row r="468" spans="1:39" ht="47.45" hidden="1" customHeight="1">
      <c r="A468" s="187">
        <v>28882671</v>
      </c>
      <c r="B468" s="43"/>
      <c r="C468" s="51">
        <v>45467</v>
      </c>
      <c r="D468" s="37" t="s">
        <v>7202</v>
      </c>
      <c r="E468" s="37" t="s">
        <v>7203</v>
      </c>
      <c r="F468" s="45">
        <v>4715991</v>
      </c>
      <c r="G468" s="16">
        <v>1150000</v>
      </c>
      <c r="H468" s="16"/>
      <c r="I468" s="43" t="s">
        <v>6143</v>
      </c>
      <c r="J468" s="43" t="s">
        <v>7204</v>
      </c>
      <c r="K468" s="43" t="s">
        <v>7205</v>
      </c>
      <c r="L468" s="25"/>
      <c r="M468" s="26"/>
      <c r="N468" s="46">
        <v>20.43</v>
      </c>
      <c r="O468" s="43" t="s">
        <v>4996</v>
      </c>
      <c r="P468" s="47"/>
      <c r="Q468" s="267" t="s">
        <v>6940</v>
      </c>
      <c r="R468" s="47"/>
      <c r="S468" s="43">
        <v>17.600000000000001</v>
      </c>
      <c r="T468" s="43"/>
      <c r="U468" s="43" t="e">
        <v>#REF!</v>
      </c>
      <c r="V468" s="43" t="s">
        <v>7206</v>
      </c>
      <c r="W468" s="43"/>
      <c r="X468" s="16"/>
      <c r="Y468" s="46">
        <v>2.1</v>
      </c>
      <c r="Z468" s="46"/>
      <c r="AA468" s="102"/>
      <c r="AB468" s="43"/>
      <c r="AC468" s="87"/>
      <c r="AD468" s="16"/>
      <c r="AE468" s="103"/>
      <c r="AF468" s="46"/>
      <c r="AG468" s="16"/>
      <c r="AH468" s="43"/>
      <c r="AI468" s="43"/>
      <c r="AJ468" s="43" t="s">
        <v>7207</v>
      </c>
      <c r="AK468" s="37">
        <v>0</v>
      </c>
      <c r="AL468" s="47"/>
      <c r="AM468" s="74">
        <f>G468/N468</f>
        <v>56289.769946157612</v>
      </c>
    </row>
    <row r="469" spans="1:39" ht="47.45" hidden="1" customHeight="1">
      <c r="A469" s="187">
        <v>28792348</v>
      </c>
      <c r="B469" s="43"/>
      <c r="C469" s="51">
        <v>45468</v>
      </c>
      <c r="D469" s="37" t="s">
        <v>7208</v>
      </c>
      <c r="E469" s="37" t="s">
        <v>7209</v>
      </c>
      <c r="F469" s="45" t="s">
        <v>7210</v>
      </c>
      <c r="G469" s="16">
        <v>80000</v>
      </c>
      <c r="H469" s="16"/>
      <c r="I469" s="43" t="s">
        <v>611</v>
      </c>
      <c r="J469" s="43" t="s">
        <v>6010</v>
      </c>
      <c r="K469" s="43" t="s">
        <v>7211</v>
      </c>
      <c r="L469" s="26" t="s">
        <v>7212</v>
      </c>
      <c r="M469" s="26" t="s">
        <v>7213</v>
      </c>
      <c r="N469" s="46">
        <v>2.34</v>
      </c>
      <c r="O469" s="43" t="s">
        <v>18</v>
      </c>
      <c r="P469" s="47" t="s">
        <v>206</v>
      </c>
      <c r="Q469" s="267">
        <v>2</v>
      </c>
      <c r="R469" s="47" t="s">
        <v>4669</v>
      </c>
      <c r="S469" s="43">
        <v>2.2999999999999998</v>
      </c>
      <c r="T469" s="43" t="s">
        <v>4596</v>
      </c>
      <c r="U469" s="43">
        <v>0</v>
      </c>
      <c r="V469" s="43" t="s">
        <v>5038</v>
      </c>
      <c r="W469" s="43"/>
      <c r="X469" s="16"/>
      <c r="Y469" s="46">
        <v>0</v>
      </c>
      <c r="Z469" s="46"/>
      <c r="AA469" s="102"/>
      <c r="AB469" s="43"/>
      <c r="AC469" s="87"/>
      <c r="AD469" s="16"/>
      <c r="AE469" s="103"/>
      <c r="AF469" s="46"/>
      <c r="AG469" s="16"/>
      <c r="AH469" s="43"/>
      <c r="AI469" s="43"/>
      <c r="AJ469" s="43"/>
      <c r="AK469" s="37" t="s">
        <v>7214</v>
      </c>
      <c r="AL469" s="47" t="s">
        <v>7215</v>
      </c>
      <c r="AM469" s="49">
        <f>Terre!$G31/Terre!$N31</f>
        <v>7867.8206136900071</v>
      </c>
    </row>
    <row r="470" spans="1:39" ht="47.45" hidden="1" customHeight="1">
      <c r="A470" s="194">
        <v>28791313</v>
      </c>
      <c r="B470" s="139"/>
      <c r="C470" s="148">
        <v>45468</v>
      </c>
      <c r="D470" s="60" t="s">
        <v>7216</v>
      </c>
      <c r="E470" s="60" t="s">
        <v>7217</v>
      </c>
      <c r="F470" s="140" t="s">
        <v>7218</v>
      </c>
      <c r="G470" s="141">
        <v>3300000</v>
      </c>
      <c r="H470" s="141"/>
      <c r="I470" s="139" t="s">
        <v>321</v>
      </c>
      <c r="J470" s="139" t="s">
        <v>1942</v>
      </c>
      <c r="K470" s="139" t="s">
        <v>7219</v>
      </c>
      <c r="L470" s="142">
        <v>46.561172999999997</v>
      </c>
      <c r="M470" s="143">
        <v>-71.424632000000003</v>
      </c>
      <c r="N470" s="144">
        <v>9.18</v>
      </c>
      <c r="O470" s="139" t="s">
        <v>18</v>
      </c>
      <c r="P470" s="60" t="s">
        <v>154</v>
      </c>
      <c r="Q470" s="439">
        <v>3</v>
      </c>
      <c r="R470" s="60" t="s">
        <v>4669</v>
      </c>
      <c r="S470" s="139">
        <v>9.18</v>
      </c>
      <c r="T470" s="139" t="s">
        <v>4596</v>
      </c>
      <c r="U470" s="139"/>
      <c r="V470" s="139"/>
      <c r="W470" s="139"/>
      <c r="X470" s="141"/>
      <c r="Y470" s="144"/>
      <c r="Z470" s="144"/>
      <c r="AA470" s="145"/>
      <c r="AB470" s="139"/>
      <c r="AC470" s="146"/>
      <c r="AD470" s="141"/>
      <c r="AE470" s="158"/>
      <c r="AF470" s="144"/>
      <c r="AG470" s="141"/>
      <c r="AH470" s="139"/>
      <c r="AI470" s="139"/>
      <c r="AJ470" s="139"/>
      <c r="AK470" s="60" t="s">
        <v>7220</v>
      </c>
      <c r="AL470" s="60"/>
      <c r="AM470" s="141">
        <f>G470/N470</f>
        <v>359477.12418300653</v>
      </c>
    </row>
    <row r="471" spans="1:39" ht="47.45" hidden="1" customHeight="1">
      <c r="A471" s="196">
        <v>28789656</v>
      </c>
      <c r="C471" s="317">
        <v>45468</v>
      </c>
      <c r="D471" t="s">
        <v>7221</v>
      </c>
      <c r="E471" t="s">
        <v>5341</v>
      </c>
      <c r="F471" s="269">
        <v>6635252</v>
      </c>
      <c r="G471" s="94">
        <v>1079050</v>
      </c>
      <c r="I471" t="s">
        <v>4917</v>
      </c>
      <c r="J471" t="s">
        <v>5091</v>
      </c>
      <c r="K471" t="s">
        <v>7222</v>
      </c>
      <c r="L471" s="96" t="s">
        <v>7223</v>
      </c>
      <c r="M471" s="245" t="s">
        <v>7224</v>
      </c>
      <c r="N471" s="63">
        <f>210813.1/10000</f>
        <v>21.081310000000002</v>
      </c>
      <c r="O471" s="43" t="s">
        <v>36</v>
      </c>
      <c r="P471" t="s">
        <v>35</v>
      </c>
      <c r="Q471" s="436">
        <v>2</v>
      </c>
      <c r="R471" t="s">
        <v>4669</v>
      </c>
      <c r="S471">
        <f>9.6+6.8+2.3</f>
        <v>18.7</v>
      </c>
      <c r="V471">
        <f>Table3[[#This Row],[Superficie cultivée (ha)]]</f>
        <v>18.7</v>
      </c>
      <c r="Y471" s="63">
        <v>1</v>
      </c>
      <c r="AM471" s="1">
        <f>G471/N471</f>
        <v>51185.149309981207</v>
      </c>
    </row>
    <row r="472" spans="1:39" ht="47.45" hidden="1" customHeight="1">
      <c r="A472" s="196">
        <v>28789968</v>
      </c>
      <c r="C472" s="317">
        <v>45468</v>
      </c>
      <c r="D472" s="247" t="s">
        <v>7225</v>
      </c>
      <c r="E472" s="247" t="s">
        <v>7226</v>
      </c>
      <c r="F472" t="s">
        <v>7227</v>
      </c>
      <c r="G472" s="94">
        <v>500000</v>
      </c>
      <c r="I472" t="s">
        <v>5985</v>
      </c>
      <c r="J472" t="s">
        <v>1466</v>
      </c>
      <c r="L472" s="96">
        <v>45.967168999999998</v>
      </c>
      <c r="M472" s="96">
        <v>-71.947090000000003</v>
      </c>
      <c r="N472" s="63">
        <v>30.85</v>
      </c>
      <c r="O472" t="s">
        <v>36</v>
      </c>
      <c r="P472" t="s">
        <v>19</v>
      </c>
      <c r="Q472" s="436">
        <v>5</v>
      </c>
      <c r="R472" t="s">
        <v>5056</v>
      </c>
      <c r="S472">
        <v>23.2</v>
      </c>
      <c r="T472" t="s">
        <v>4596</v>
      </c>
      <c r="Y472" s="63">
        <v>2</v>
      </c>
      <c r="AK472" t="s">
        <v>7228</v>
      </c>
      <c r="AM472" s="1">
        <f>G472/N472</f>
        <v>16207.455429497568</v>
      </c>
    </row>
    <row r="473" spans="1:39" ht="47.45" hidden="1" customHeight="1">
      <c r="A473" s="187">
        <v>28788391</v>
      </c>
      <c r="B473" s="43"/>
      <c r="C473" s="51">
        <v>45468</v>
      </c>
      <c r="D473" s="265" t="s">
        <v>7229</v>
      </c>
      <c r="E473" s="265" t="s">
        <v>7230</v>
      </c>
      <c r="F473" s="247" t="s">
        <v>7231</v>
      </c>
      <c r="G473" s="16">
        <v>2616765</v>
      </c>
      <c r="H473" s="16"/>
      <c r="I473" s="43" t="s">
        <v>654</v>
      </c>
      <c r="J473" s="43" t="s">
        <v>4143</v>
      </c>
      <c r="K473" s="265" t="s">
        <v>7232</v>
      </c>
      <c r="L473" s="25">
        <v>46.767854</v>
      </c>
      <c r="M473" s="26">
        <v>-71.777788000000001</v>
      </c>
      <c r="N473" s="46">
        <v>107.06</v>
      </c>
      <c r="O473" s="43" t="s">
        <v>18</v>
      </c>
      <c r="P473" s="37" t="s">
        <v>7233</v>
      </c>
      <c r="Q473" s="267">
        <v>2</v>
      </c>
      <c r="R473" s="47" t="s">
        <v>4669</v>
      </c>
      <c r="S473" s="43">
        <v>55.8</v>
      </c>
      <c r="T473" s="43" t="s">
        <v>4596</v>
      </c>
      <c r="U473" s="43"/>
      <c r="V473" s="43"/>
      <c r="W473" s="43"/>
      <c r="X473" s="16"/>
      <c r="Y473" s="46">
        <v>46.26</v>
      </c>
      <c r="Z473" s="46"/>
      <c r="AA473" s="102"/>
      <c r="AB473" s="43"/>
      <c r="AC473" s="87"/>
      <c r="AD473" s="16"/>
      <c r="AE473" s="103"/>
      <c r="AF473" s="46"/>
      <c r="AG473" s="16"/>
      <c r="AH473" s="43"/>
      <c r="AI473" s="43"/>
      <c r="AJ473" s="43"/>
      <c r="AK473" s="37" t="s">
        <v>7234</v>
      </c>
      <c r="AL473" s="47"/>
      <c r="AM473" s="16">
        <f>G473/N473</f>
        <v>24442.041845694002</v>
      </c>
    </row>
    <row r="474" spans="1:39" ht="47.45" hidden="1" customHeight="1">
      <c r="A474" s="187">
        <v>28795644</v>
      </c>
      <c r="B474" s="43"/>
      <c r="C474" s="51">
        <v>45469</v>
      </c>
      <c r="D474" s="37" t="s">
        <v>7235</v>
      </c>
      <c r="E474" s="37" t="s">
        <v>7236</v>
      </c>
      <c r="F474" s="45">
        <v>4009923</v>
      </c>
      <c r="G474" s="16">
        <v>800000</v>
      </c>
      <c r="H474" s="16"/>
      <c r="I474" s="43" t="s">
        <v>654</v>
      </c>
      <c r="J474" s="43" t="s">
        <v>4143</v>
      </c>
      <c r="K474" s="43" t="s">
        <v>7237</v>
      </c>
      <c r="L474" s="25" t="s">
        <v>7238</v>
      </c>
      <c r="M474" s="26" t="s">
        <v>7239</v>
      </c>
      <c r="N474" s="46">
        <v>21.3</v>
      </c>
      <c r="O474" s="43" t="s">
        <v>18</v>
      </c>
      <c r="P474" s="47" t="s">
        <v>206</v>
      </c>
      <c r="Q474" s="267">
        <v>2</v>
      </c>
      <c r="R474" s="47" t="s">
        <v>4865</v>
      </c>
      <c r="S474" s="43">
        <f>2.8+3+2.6+2.6+4.4+3.4+0.8</f>
        <v>19.600000000000001</v>
      </c>
      <c r="T474" s="43" t="s">
        <v>4596</v>
      </c>
      <c r="U474" s="43"/>
      <c r="V474" s="43"/>
      <c r="W474" s="43"/>
      <c r="X474" s="16"/>
      <c r="Y474" s="46">
        <v>0.7</v>
      </c>
      <c r="Z474" s="46"/>
      <c r="AA474" s="102"/>
      <c r="AB474" s="43"/>
      <c r="AC474" s="87"/>
      <c r="AD474" s="16"/>
      <c r="AE474" s="103"/>
      <c r="AF474" s="46"/>
      <c r="AG474" s="16"/>
      <c r="AH474" s="43"/>
      <c r="AI474" s="43" t="s">
        <v>7240</v>
      </c>
      <c r="AJ474" s="43">
        <v>100000</v>
      </c>
      <c r="AK474" s="37" t="s">
        <v>6820</v>
      </c>
      <c r="AL474" s="47"/>
      <c r="AM474" s="16">
        <f>G474/N474</f>
        <v>37558.685446009389</v>
      </c>
    </row>
    <row r="475" spans="1:39" ht="47.45" hidden="1" customHeight="1">
      <c r="A475" s="187">
        <v>28794426</v>
      </c>
      <c r="B475" s="43"/>
      <c r="C475" s="51">
        <v>45469</v>
      </c>
      <c r="D475" s="37" t="s">
        <v>7241</v>
      </c>
      <c r="E475" s="37" t="s">
        <v>7242</v>
      </c>
      <c r="F475" s="45">
        <v>4449405</v>
      </c>
      <c r="G475" s="1">
        <v>1125000</v>
      </c>
      <c r="H475" s="1"/>
      <c r="I475" s="43" t="s">
        <v>321</v>
      </c>
      <c r="J475" s="43" t="s">
        <v>6792</v>
      </c>
      <c r="K475" s="43" t="s">
        <v>7243</v>
      </c>
      <c r="L475" s="4" t="s">
        <v>7244</v>
      </c>
      <c r="M475" s="7" t="s">
        <v>7245</v>
      </c>
      <c r="N475" s="46">
        <v>44.77</v>
      </c>
      <c r="O475" s="43" t="s">
        <v>18</v>
      </c>
      <c r="P475" s="47" t="s">
        <v>4985</v>
      </c>
      <c r="Q475" s="267">
        <v>4</v>
      </c>
      <c r="R475" s="47" t="s">
        <v>4801</v>
      </c>
      <c r="S475" s="43">
        <v>39</v>
      </c>
      <c r="T475" s="43" t="s">
        <v>4596</v>
      </c>
      <c r="U475" s="43">
        <v>0</v>
      </c>
      <c r="V475" s="43" t="s">
        <v>5029</v>
      </c>
      <c r="W475" s="43"/>
      <c r="X475" s="1"/>
      <c r="Y475" s="46">
        <v>3</v>
      </c>
      <c r="Z475" s="46"/>
      <c r="AA475" s="2"/>
      <c r="AB475" s="43"/>
      <c r="AC475" s="87"/>
      <c r="AD475" s="1"/>
      <c r="AE475" s="3"/>
      <c r="AF475" s="46"/>
      <c r="AG475" s="1"/>
      <c r="AH475" s="43"/>
      <c r="AI475" s="43"/>
      <c r="AJ475" s="43"/>
      <c r="AK475" s="37"/>
      <c r="AL475" s="47"/>
      <c r="AM475" s="49">
        <f>Terre!$G29/Terre!$N29</f>
        <v>14917.050048794088</v>
      </c>
    </row>
    <row r="476" spans="1:39" ht="47.45" hidden="1" customHeight="1">
      <c r="A476" s="187">
        <v>28807000</v>
      </c>
      <c r="B476" s="43"/>
      <c r="C476" s="51">
        <v>45475</v>
      </c>
      <c r="D476" s="37" t="s">
        <v>7246</v>
      </c>
      <c r="E476" s="37" t="s">
        <v>7247</v>
      </c>
      <c r="F476" s="45" t="s">
        <v>7248</v>
      </c>
      <c r="G476" s="1">
        <v>100000</v>
      </c>
      <c r="H476" s="1"/>
      <c r="I476" s="43" t="s">
        <v>602</v>
      </c>
      <c r="J476" s="43" t="s">
        <v>5233</v>
      </c>
      <c r="K476" s="43" t="s">
        <v>7249</v>
      </c>
      <c r="L476" s="4" t="s">
        <v>7250</v>
      </c>
      <c r="M476" s="7" t="s">
        <v>7251</v>
      </c>
      <c r="N476" s="46">
        <v>22.42</v>
      </c>
      <c r="O476" s="43" t="s">
        <v>18</v>
      </c>
      <c r="P476" s="47" t="s">
        <v>206</v>
      </c>
      <c r="Q476" s="267" t="s">
        <v>4771</v>
      </c>
      <c r="R476" s="47" t="s">
        <v>4801</v>
      </c>
      <c r="S476" s="43">
        <f>1.6+1.6+3+2.4</f>
        <v>8.6</v>
      </c>
      <c r="T476" s="43" t="s">
        <v>4596</v>
      </c>
      <c r="U476" s="43">
        <v>0</v>
      </c>
      <c r="V476" s="43" t="s">
        <v>4628</v>
      </c>
      <c r="W476" s="43"/>
      <c r="X476" s="1"/>
      <c r="Y476" s="46">
        <v>12</v>
      </c>
      <c r="Z476" s="46"/>
      <c r="AA476" s="2"/>
      <c r="AB476" s="43"/>
      <c r="AC476" s="87"/>
      <c r="AD476" s="1"/>
      <c r="AE476" s="3"/>
      <c r="AF476" s="46"/>
      <c r="AG476" s="1"/>
      <c r="AH476" s="43"/>
      <c r="AI476" s="43"/>
      <c r="AJ476" s="43"/>
      <c r="AK476" s="37" t="s">
        <v>7252</v>
      </c>
      <c r="AL476" s="47"/>
      <c r="AM476" s="49">
        <f>Terre!$G28/Terre!$N28</f>
        <v>12503.812137846904</v>
      </c>
    </row>
    <row r="477" spans="1:39" ht="47.45" hidden="1" customHeight="1">
      <c r="A477" s="196">
        <v>28810760</v>
      </c>
      <c r="C477" s="317">
        <v>45476</v>
      </c>
      <c r="D477" t="s">
        <v>7253</v>
      </c>
      <c r="E477" t="s">
        <v>7254</v>
      </c>
      <c r="F477" t="s">
        <v>7255</v>
      </c>
      <c r="G477" s="94">
        <v>1100000</v>
      </c>
      <c r="I477" t="s">
        <v>321</v>
      </c>
      <c r="J477" t="s">
        <v>7256</v>
      </c>
      <c r="K477" t="s">
        <v>7257</v>
      </c>
      <c r="N477" s="63">
        <v>37.79</v>
      </c>
      <c r="O477" t="s">
        <v>18</v>
      </c>
      <c r="P477" t="s">
        <v>35</v>
      </c>
      <c r="Q477" s="436">
        <v>3</v>
      </c>
      <c r="R477" t="s">
        <v>4669</v>
      </c>
      <c r="S477">
        <v>31.6</v>
      </c>
      <c r="T477" s="43" t="s">
        <v>4596</v>
      </c>
      <c r="Y477" s="63">
        <v>6</v>
      </c>
      <c r="AK477" t="s">
        <v>7258</v>
      </c>
      <c r="AM477" s="1">
        <f t="shared" ref="AM477:AM490" si="20">G477/N477</f>
        <v>29108.229690394284</v>
      </c>
    </row>
    <row r="478" spans="1:39" ht="47.45" hidden="1" customHeight="1">
      <c r="A478" s="187">
        <v>28945496</v>
      </c>
      <c r="B478" s="43"/>
      <c r="C478" s="51">
        <v>45486</v>
      </c>
      <c r="D478" s="37" t="s">
        <v>7259</v>
      </c>
      <c r="E478" s="37" t="s">
        <v>7260</v>
      </c>
      <c r="F478" s="45" t="s">
        <v>7261</v>
      </c>
      <c r="G478" s="1">
        <v>500000</v>
      </c>
      <c r="H478" s="1"/>
      <c r="I478" s="43" t="s">
        <v>654</v>
      </c>
      <c r="J478" s="43" t="s">
        <v>4143</v>
      </c>
      <c r="K478" s="43" t="s">
        <v>7262</v>
      </c>
      <c r="L478" s="4" t="s">
        <v>7263</v>
      </c>
      <c r="M478" s="7" t="s">
        <v>7264</v>
      </c>
      <c r="N478" s="46">
        <v>18.61</v>
      </c>
      <c r="O478" s="43" t="s">
        <v>18</v>
      </c>
      <c r="P478" s="47" t="s">
        <v>206</v>
      </c>
      <c r="Q478" s="267">
        <v>3</v>
      </c>
      <c r="R478" s="47" t="s">
        <v>155</v>
      </c>
      <c r="S478" s="43">
        <v>16.5</v>
      </c>
      <c r="T478" s="43" t="s">
        <v>4781</v>
      </c>
      <c r="U478" s="43"/>
      <c r="V478" s="43"/>
      <c r="W478" s="43"/>
      <c r="X478" s="1"/>
      <c r="Y478" s="46">
        <v>0.9</v>
      </c>
      <c r="Z478" s="46"/>
      <c r="AA478" s="2"/>
      <c r="AB478" s="43"/>
      <c r="AC478" s="87"/>
      <c r="AD478" s="1"/>
      <c r="AE478" s="3"/>
      <c r="AF478" s="46"/>
      <c r="AG478" s="1"/>
      <c r="AH478" s="43"/>
      <c r="AI478" s="43"/>
      <c r="AJ478" s="43"/>
      <c r="AK478" s="37"/>
      <c r="AL478" s="47"/>
      <c r="AM478" s="1">
        <f t="shared" si="20"/>
        <v>26867.275658248254</v>
      </c>
    </row>
    <row r="479" spans="1:39" ht="47.45" hidden="1" customHeight="1">
      <c r="A479" s="196">
        <v>28837541</v>
      </c>
      <c r="C479" s="317">
        <v>45488</v>
      </c>
      <c r="F479" s="272" t="s">
        <v>7265</v>
      </c>
      <c r="G479" s="94">
        <v>450000</v>
      </c>
      <c r="I479" t="s">
        <v>7266</v>
      </c>
      <c r="J479" t="s">
        <v>7267</v>
      </c>
      <c r="N479" s="63">
        <v>10.119999999999999</v>
      </c>
      <c r="O479" t="s">
        <v>18</v>
      </c>
      <c r="P479" t="s">
        <v>35</v>
      </c>
      <c r="Q479" s="436">
        <v>4</v>
      </c>
      <c r="R479" t="s">
        <v>155</v>
      </c>
      <c r="S479">
        <v>4.0999999999999996</v>
      </c>
      <c r="T479" t="s">
        <v>3124</v>
      </c>
      <c r="Y479" s="63">
        <v>6</v>
      </c>
      <c r="AM479" s="1">
        <f t="shared" si="20"/>
        <v>44466.403162055336</v>
      </c>
    </row>
    <row r="480" spans="1:39" ht="47.45" hidden="1" customHeight="1">
      <c r="A480" s="196" t="s">
        <v>7268</v>
      </c>
      <c r="C480" s="317">
        <v>45489</v>
      </c>
      <c r="D480" s="239" t="s">
        <v>7269</v>
      </c>
      <c r="E480" s="239" t="s">
        <v>7270</v>
      </c>
      <c r="F480" s="239" t="s">
        <v>7271</v>
      </c>
      <c r="G480" s="94">
        <v>1507500</v>
      </c>
      <c r="I480" t="s">
        <v>1597</v>
      </c>
      <c r="J480" t="s">
        <v>3298</v>
      </c>
      <c r="K480" s="239" t="s">
        <v>7272</v>
      </c>
      <c r="L480" s="96">
        <v>45.286163999999999</v>
      </c>
      <c r="M480" s="96">
        <v>-72.177858999999998</v>
      </c>
      <c r="N480" s="63">
        <v>13.82</v>
      </c>
      <c r="O480" t="s">
        <v>25</v>
      </c>
      <c r="P480" t="s">
        <v>35</v>
      </c>
      <c r="Q480" s="436">
        <v>5</v>
      </c>
      <c r="R480" t="s">
        <v>6573</v>
      </c>
      <c r="S480">
        <v>13</v>
      </c>
      <c r="T480" t="s">
        <v>7273</v>
      </c>
      <c r="AK480" t="s">
        <v>7274</v>
      </c>
      <c r="AM480" s="1">
        <f t="shared" si="20"/>
        <v>109081.04196816208</v>
      </c>
    </row>
    <row r="481" spans="1:39" ht="47.45" hidden="1" customHeight="1">
      <c r="A481" s="194">
        <v>28844747</v>
      </c>
      <c r="B481" s="139"/>
      <c r="C481" s="148">
        <v>45490</v>
      </c>
      <c r="D481" s="60" t="s">
        <v>7275</v>
      </c>
      <c r="E481" s="60" t="s">
        <v>7276</v>
      </c>
      <c r="F481" s="140" t="s">
        <v>7277</v>
      </c>
      <c r="G481" s="141">
        <v>175000</v>
      </c>
      <c r="H481" s="141"/>
      <c r="I481" s="139" t="s">
        <v>2163</v>
      </c>
      <c r="J481" s="139" t="s">
        <v>7278</v>
      </c>
      <c r="K481" s="139" t="s">
        <v>7279</v>
      </c>
      <c r="L481" s="142">
        <v>48.346978999999997</v>
      </c>
      <c r="M481" s="143">
        <v>-68.166219999999996</v>
      </c>
      <c r="N481" s="144">
        <v>42.98</v>
      </c>
      <c r="O481" s="139" t="s">
        <v>36</v>
      </c>
      <c r="P481" s="60" t="s">
        <v>3789</v>
      </c>
      <c r="Q481" s="439">
        <v>3</v>
      </c>
      <c r="R481" s="60" t="s">
        <v>4687</v>
      </c>
      <c r="S481" s="139">
        <v>24.9</v>
      </c>
      <c r="T481" s="139" t="s">
        <v>4596</v>
      </c>
      <c r="U481" s="139"/>
      <c r="V481" s="139"/>
      <c r="W481" s="139"/>
      <c r="X481" s="141"/>
      <c r="Y481" s="144">
        <v>18.079999999999998</v>
      </c>
      <c r="Z481" s="144"/>
      <c r="AA481" s="145">
        <v>500</v>
      </c>
      <c r="AB481" s="139"/>
      <c r="AC481" s="146">
        <v>1</v>
      </c>
      <c r="AD481" s="141"/>
      <c r="AE481" s="158"/>
      <c r="AF481" s="144"/>
      <c r="AG481" s="141"/>
      <c r="AH481" s="139"/>
      <c r="AI481" s="139"/>
      <c r="AJ481" s="139"/>
      <c r="AK481" s="60" t="s">
        <v>7280</v>
      </c>
      <c r="AL481" s="60"/>
      <c r="AM481" s="141">
        <f t="shared" si="20"/>
        <v>4071.6612377850165</v>
      </c>
    </row>
    <row r="482" spans="1:39" ht="47.45" hidden="1" customHeight="1">
      <c r="A482" s="239" t="s">
        <v>7281</v>
      </c>
      <c r="C482" s="317">
        <v>45491</v>
      </c>
      <c r="D482" s="249" t="s">
        <v>7282</v>
      </c>
      <c r="E482" s="249" t="s">
        <v>7283</v>
      </c>
      <c r="F482" t="s">
        <v>7284</v>
      </c>
      <c r="G482" s="94">
        <v>1000000</v>
      </c>
      <c r="I482" t="s">
        <v>1597</v>
      </c>
      <c r="J482" t="s">
        <v>3783</v>
      </c>
      <c r="L482" s="96">
        <v>45.02064</v>
      </c>
      <c r="M482" s="96">
        <v>-72.082362000000003</v>
      </c>
      <c r="N482" s="63">
        <v>6.83</v>
      </c>
      <c r="O482" t="s">
        <v>25</v>
      </c>
      <c r="P482" t="s">
        <v>35</v>
      </c>
      <c r="Q482" s="436">
        <v>3</v>
      </c>
      <c r="R482" t="s">
        <v>4946</v>
      </c>
      <c r="S482" s="63">
        <v>6.83</v>
      </c>
      <c r="T482" t="s">
        <v>7273</v>
      </c>
      <c r="AK482" t="s">
        <v>7285</v>
      </c>
      <c r="AM482" s="1">
        <f t="shared" si="20"/>
        <v>146412.88433382136</v>
      </c>
    </row>
    <row r="483" spans="1:39" ht="47.45" hidden="1" customHeight="1">
      <c r="A483" s="187">
        <v>28854558</v>
      </c>
      <c r="B483" s="43"/>
      <c r="C483" s="51">
        <v>45495</v>
      </c>
      <c r="D483" s="37" t="s">
        <v>7286</v>
      </c>
      <c r="E483" s="37" t="s">
        <v>7287</v>
      </c>
      <c r="F483" s="45">
        <v>3055865</v>
      </c>
      <c r="G483" s="1">
        <v>340000</v>
      </c>
      <c r="H483" s="1"/>
      <c r="I483" s="43" t="s">
        <v>201</v>
      </c>
      <c r="J483" s="43" t="s">
        <v>202</v>
      </c>
      <c r="K483" s="43" t="s">
        <v>7288</v>
      </c>
      <c r="L483" s="4" t="s">
        <v>7289</v>
      </c>
      <c r="M483" s="7" t="s">
        <v>7290</v>
      </c>
      <c r="N483" s="46">
        <v>15.2</v>
      </c>
      <c r="O483" s="43" t="s">
        <v>18</v>
      </c>
      <c r="P483" s="47" t="s">
        <v>206</v>
      </c>
      <c r="Q483" s="267">
        <v>3</v>
      </c>
      <c r="R483" s="47" t="s">
        <v>4604</v>
      </c>
      <c r="S483" s="43">
        <f>6.9+0.7+0.6+5.3</f>
        <v>13.5</v>
      </c>
      <c r="T483" s="43" t="s">
        <v>4781</v>
      </c>
      <c r="U483" s="43"/>
      <c r="V483" s="43"/>
      <c r="W483" s="43"/>
      <c r="X483" s="1"/>
      <c r="Y483" s="46"/>
      <c r="Z483" s="46"/>
      <c r="AA483" s="2"/>
      <c r="AB483" s="43"/>
      <c r="AC483" s="87"/>
      <c r="AD483" s="1"/>
      <c r="AE483" s="3"/>
      <c r="AF483" s="46"/>
      <c r="AG483" s="1"/>
      <c r="AH483" s="43"/>
      <c r="AI483" s="43"/>
      <c r="AJ483" s="43"/>
      <c r="AK483" s="37" t="s">
        <v>7291</v>
      </c>
      <c r="AL483" s="47"/>
      <c r="AM483" s="1">
        <f t="shared" si="20"/>
        <v>22368.42105263158</v>
      </c>
    </row>
    <row r="484" spans="1:39" ht="47.45" hidden="1" customHeight="1">
      <c r="A484" s="187">
        <v>28860689</v>
      </c>
      <c r="B484" s="43"/>
      <c r="C484" s="51">
        <v>45497</v>
      </c>
      <c r="D484" s="37" t="s">
        <v>7292</v>
      </c>
      <c r="E484" s="37" t="s">
        <v>7293</v>
      </c>
      <c r="F484" s="45">
        <v>3023228</v>
      </c>
      <c r="G484" s="16">
        <v>1500000</v>
      </c>
      <c r="H484" s="16"/>
      <c r="I484" s="43"/>
      <c r="J484" s="43" t="s">
        <v>5227</v>
      </c>
      <c r="K484" s="43" t="s">
        <v>6783</v>
      </c>
      <c r="L484" s="25"/>
      <c r="M484" s="26"/>
      <c r="N484" s="46">
        <v>29.59</v>
      </c>
      <c r="O484" s="43"/>
      <c r="P484" s="47"/>
      <c r="Q484" s="267" t="s">
        <v>7294</v>
      </c>
      <c r="R484" s="47"/>
      <c r="S484" s="43"/>
      <c r="T484" s="43"/>
      <c r="U484" s="43"/>
      <c r="V484" s="43"/>
      <c r="W484" s="43"/>
      <c r="X484" s="16"/>
      <c r="Y484" s="46"/>
      <c r="Z484" s="46"/>
      <c r="AA484" s="102"/>
      <c r="AB484" s="43"/>
      <c r="AC484" s="87"/>
      <c r="AD484" s="16"/>
      <c r="AE484" s="103"/>
      <c r="AF484" s="46"/>
      <c r="AG484" s="16"/>
      <c r="AH484" s="43"/>
      <c r="AI484" s="43"/>
      <c r="AJ484" s="43" t="s">
        <v>6877</v>
      </c>
      <c r="AK484" s="37"/>
      <c r="AL484" s="47"/>
      <c r="AM484" s="74">
        <f t="shared" si="20"/>
        <v>50692.801622169653</v>
      </c>
    </row>
    <row r="485" spans="1:39" ht="47.45" hidden="1" customHeight="1">
      <c r="A485" s="196">
        <v>28864276</v>
      </c>
      <c r="C485" s="317">
        <v>45499</v>
      </c>
      <c r="D485" t="s">
        <v>7295</v>
      </c>
      <c r="E485" t="s">
        <v>5506</v>
      </c>
      <c r="F485" s="269">
        <v>6637681</v>
      </c>
      <c r="G485" s="94">
        <v>310000</v>
      </c>
      <c r="I485" s="43" t="s">
        <v>5507</v>
      </c>
      <c r="J485" s="43" t="s">
        <v>3032</v>
      </c>
      <c r="K485" s="43" t="s">
        <v>5966</v>
      </c>
      <c r="L485" s="96" t="s">
        <v>7296</v>
      </c>
      <c r="M485" s="245" t="s">
        <v>7297</v>
      </c>
      <c r="N485" s="63">
        <v>33.979999999999997</v>
      </c>
      <c r="O485" s="43" t="s">
        <v>36</v>
      </c>
      <c r="P485" s="47" t="s">
        <v>206</v>
      </c>
      <c r="Q485" s="436">
        <v>4</v>
      </c>
      <c r="R485" t="s">
        <v>5016</v>
      </c>
      <c r="S485">
        <f>7.4+8.6+2.5+0.9</f>
        <v>19.399999999999999</v>
      </c>
      <c r="T485" s="139" t="s">
        <v>4596</v>
      </c>
      <c r="Y485" s="63">
        <f>Table3[[#This Row],[Superficie totale (ha)]]-Table3[[#This Row],[Superficie cultivée (ha)]]</f>
        <v>14.579999999999998</v>
      </c>
      <c r="AM485" s="1">
        <f t="shared" si="20"/>
        <v>9123.0135373749272</v>
      </c>
    </row>
    <row r="486" spans="1:39" ht="47.45" hidden="1" customHeight="1">
      <c r="A486" s="187" t="s">
        <v>7298</v>
      </c>
      <c r="B486" s="43"/>
      <c r="C486" s="51">
        <v>45503</v>
      </c>
      <c r="D486" s="37" t="s">
        <v>7299</v>
      </c>
      <c r="E486" s="37" t="s">
        <v>7300</v>
      </c>
      <c r="F486" s="45">
        <v>4024950</v>
      </c>
      <c r="G486" s="16">
        <v>275000</v>
      </c>
      <c r="H486" s="16"/>
      <c r="I486" s="43"/>
      <c r="J486" s="43" t="s">
        <v>1224</v>
      </c>
      <c r="K486" s="43" t="s">
        <v>7301</v>
      </c>
      <c r="L486" s="25"/>
      <c r="M486" s="26"/>
      <c r="N486" s="46">
        <v>8.1</v>
      </c>
      <c r="O486" s="43" t="s">
        <v>4996</v>
      </c>
      <c r="P486" s="47"/>
      <c r="Q486" s="267" t="s">
        <v>7302</v>
      </c>
      <c r="R486" s="47"/>
      <c r="S486" s="43">
        <v>6</v>
      </c>
      <c r="T486" s="43"/>
      <c r="U486" s="43">
        <v>0</v>
      </c>
      <c r="V486" s="43" t="s">
        <v>7303</v>
      </c>
      <c r="W486" s="43"/>
      <c r="X486" s="16"/>
      <c r="Y486" s="46">
        <v>8.1</v>
      </c>
      <c r="Z486" s="46"/>
      <c r="AA486" s="102"/>
      <c r="AB486" s="43"/>
      <c r="AC486" s="87"/>
      <c r="AD486" s="16"/>
      <c r="AE486" s="103"/>
      <c r="AF486" s="46"/>
      <c r="AG486" s="16"/>
      <c r="AH486" s="43"/>
      <c r="AI486" s="43"/>
      <c r="AJ486" s="43" t="s">
        <v>7304</v>
      </c>
      <c r="AK486" s="37">
        <v>0</v>
      </c>
      <c r="AL486" s="47"/>
      <c r="AM486" s="74">
        <f t="shared" si="20"/>
        <v>33950.617283950618</v>
      </c>
    </row>
    <row r="487" spans="1:39" ht="47.45" hidden="1" customHeight="1">
      <c r="A487" s="194">
        <v>28869697</v>
      </c>
      <c r="B487" s="139"/>
      <c r="C487" s="148">
        <v>45504</v>
      </c>
      <c r="D487" s="60" t="s">
        <v>7305</v>
      </c>
      <c r="E487" s="60" t="s">
        <v>7306</v>
      </c>
      <c r="F487" s="140" t="s">
        <v>7307</v>
      </c>
      <c r="G487" s="141">
        <v>150000</v>
      </c>
      <c r="H487" s="141"/>
      <c r="I487" s="139" t="s">
        <v>2163</v>
      </c>
      <c r="J487" s="139" t="s">
        <v>2450</v>
      </c>
      <c r="K487" s="139" t="s">
        <v>7308</v>
      </c>
      <c r="L487" s="142">
        <v>48.503371000000001</v>
      </c>
      <c r="M487" s="143">
        <v>-68.364232000000001</v>
      </c>
      <c r="N487" s="144">
        <v>27.79</v>
      </c>
      <c r="O487" s="139" t="s">
        <v>36</v>
      </c>
      <c r="P487" s="60" t="s">
        <v>154</v>
      </c>
      <c r="Q487" s="439">
        <v>3</v>
      </c>
      <c r="R487" s="60" t="s">
        <v>5016</v>
      </c>
      <c r="S487" s="139">
        <v>19.100000000000001</v>
      </c>
      <c r="T487" s="139" t="s">
        <v>4596</v>
      </c>
      <c r="U487" s="139"/>
      <c r="V487" s="139"/>
      <c r="W487" s="139"/>
      <c r="X487" s="141"/>
      <c r="Y487" s="144">
        <v>8.69</v>
      </c>
      <c r="Z487" s="144"/>
      <c r="AA487" s="145"/>
      <c r="AB487" s="139"/>
      <c r="AC487" s="146"/>
      <c r="AD487" s="141"/>
      <c r="AE487" s="158"/>
      <c r="AF487" s="144"/>
      <c r="AG487" s="141"/>
      <c r="AH487" s="139"/>
      <c r="AI487" s="139"/>
      <c r="AJ487" s="139"/>
      <c r="AK487" s="60"/>
      <c r="AL487" s="60"/>
      <c r="AM487" s="141">
        <f t="shared" si="20"/>
        <v>5397.6250449802092</v>
      </c>
    </row>
    <row r="488" spans="1:39" ht="47.45" hidden="1" customHeight="1">
      <c r="A488" s="194">
        <v>28870737</v>
      </c>
      <c r="B488" s="139"/>
      <c r="C488" s="148">
        <v>45504</v>
      </c>
      <c r="D488" s="60" t="s">
        <v>7309</v>
      </c>
      <c r="E488" s="60" t="s">
        <v>7310</v>
      </c>
      <c r="F488" s="140" t="s">
        <v>7311</v>
      </c>
      <c r="G488" s="141">
        <v>750000</v>
      </c>
      <c r="H488" s="141"/>
      <c r="I488" s="139" t="s">
        <v>2163</v>
      </c>
      <c r="J488" s="139" t="s">
        <v>7312</v>
      </c>
      <c r="K488" s="139" t="s">
        <v>7313</v>
      </c>
      <c r="L488" s="142">
        <v>48.580218000000002</v>
      </c>
      <c r="M488" s="143">
        <v>-68.160734000000005</v>
      </c>
      <c r="N488" s="144">
        <v>35.119999999999997</v>
      </c>
      <c r="O488" s="139" t="s">
        <v>36</v>
      </c>
      <c r="P488" s="60" t="s">
        <v>154</v>
      </c>
      <c r="Q488" s="439">
        <v>3</v>
      </c>
      <c r="R488" s="60" t="s">
        <v>155</v>
      </c>
      <c r="S488" s="139">
        <v>26.7</v>
      </c>
      <c r="T488" s="139" t="s">
        <v>4596</v>
      </c>
      <c r="U488" s="139"/>
      <c r="V488" s="139"/>
      <c r="W488" s="139"/>
      <c r="X488" s="141"/>
      <c r="Y488" s="144">
        <f>8.42-1.75</f>
        <v>6.67</v>
      </c>
      <c r="Z488" s="144"/>
      <c r="AA488" s="144">
        <v>1.75</v>
      </c>
      <c r="AB488" s="139"/>
      <c r="AC488" s="146"/>
      <c r="AD488" s="141"/>
      <c r="AE488" s="158"/>
      <c r="AF488" s="144"/>
      <c r="AG488" s="141"/>
      <c r="AH488" s="139"/>
      <c r="AI488" s="139"/>
      <c r="AJ488" s="139"/>
      <c r="AK488" s="60" t="s">
        <v>7314</v>
      </c>
      <c r="AL488" s="60"/>
      <c r="AM488" s="141">
        <f t="shared" si="20"/>
        <v>21355.353075170846</v>
      </c>
    </row>
    <row r="489" spans="1:39" ht="47.45" hidden="1" customHeight="1">
      <c r="A489" s="187">
        <v>28872966</v>
      </c>
      <c r="B489" s="43"/>
      <c r="C489" s="51">
        <v>45505</v>
      </c>
      <c r="D489" s="37"/>
      <c r="E489" s="37"/>
      <c r="F489" s="45" t="s">
        <v>7315</v>
      </c>
      <c r="G489" s="1">
        <v>315000</v>
      </c>
      <c r="H489" s="1"/>
      <c r="I489" s="43" t="s">
        <v>58</v>
      </c>
      <c r="J489" s="43" t="s">
        <v>7316</v>
      </c>
      <c r="K489" s="43" t="s">
        <v>7317</v>
      </c>
      <c r="L489" s="4" t="s">
        <v>7318</v>
      </c>
      <c r="M489" s="7" t="s">
        <v>7319</v>
      </c>
      <c r="N489" s="46">
        <f>17.37+8.69</f>
        <v>26.060000000000002</v>
      </c>
      <c r="O489" s="43" t="s">
        <v>18</v>
      </c>
      <c r="P489" s="47" t="s">
        <v>35</v>
      </c>
      <c r="Q489" s="267">
        <v>3</v>
      </c>
      <c r="R489" s="47" t="s">
        <v>6052</v>
      </c>
      <c r="S489" s="43">
        <f>8.6+17.1</f>
        <v>25.700000000000003</v>
      </c>
      <c r="T489" s="43" t="s">
        <v>4596</v>
      </c>
      <c r="U489" s="43"/>
      <c r="V489" s="43"/>
      <c r="W489" s="43"/>
      <c r="X489" s="1"/>
      <c r="Y489" s="46"/>
      <c r="Z489" s="46"/>
      <c r="AA489" s="2"/>
      <c r="AB489" s="43"/>
      <c r="AC489" s="87"/>
      <c r="AD489" s="1"/>
      <c r="AE489" s="3"/>
      <c r="AF489" s="46"/>
      <c r="AG489" s="1"/>
      <c r="AH489" s="43"/>
      <c r="AI489" s="43"/>
      <c r="AJ489" s="43"/>
      <c r="AK489" s="37"/>
      <c r="AL489" s="47"/>
      <c r="AM489" s="1">
        <f t="shared" si="20"/>
        <v>12087.490406753644</v>
      </c>
    </row>
    <row r="490" spans="1:39" ht="47.45" hidden="1" customHeight="1">
      <c r="A490" s="187">
        <v>28872223</v>
      </c>
      <c r="B490" s="43"/>
      <c r="C490" s="51">
        <v>45505</v>
      </c>
      <c r="D490" s="249" t="s">
        <v>7320</v>
      </c>
      <c r="E490" s="249" t="s">
        <v>7321</v>
      </c>
      <c r="F490" s="249" t="s">
        <v>7322</v>
      </c>
      <c r="G490" s="1">
        <v>675000</v>
      </c>
      <c r="H490" s="1"/>
      <c r="I490" s="43" t="s">
        <v>654</v>
      </c>
      <c r="J490" s="43" t="s">
        <v>4143</v>
      </c>
      <c r="K490" s="249" t="s">
        <v>6089</v>
      </c>
      <c r="L490" s="4">
        <v>46.816434999999998</v>
      </c>
      <c r="M490" s="7">
        <v>-71.676756999999995</v>
      </c>
      <c r="N490" s="46">
        <v>42.8</v>
      </c>
      <c r="O490" s="43" t="s">
        <v>18</v>
      </c>
      <c r="P490" s="47" t="s">
        <v>4702</v>
      </c>
      <c r="Q490" s="267">
        <v>3</v>
      </c>
      <c r="R490" s="47" t="s">
        <v>155</v>
      </c>
      <c r="S490" s="43">
        <v>23.15</v>
      </c>
      <c r="T490" s="43" t="s">
        <v>4596</v>
      </c>
      <c r="U490" s="43"/>
      <c r="V490" s="43"/>
      <c r="W490" s="43"/>
      <c r="X490" s="1"/>
      <c r="Y490" s="46">
        <v>18.649999999999999</v>
      </c>
      <c r="Z490" s="46"/>
      <c r="AA490" s="2"/>
      <c r="AB490" s="43"/>
      <c r="AC490" s="87"/>
      <c r="AD490" s="1"/>
      <c r="AE490" s="3"/>
      <c r="AF490" s="46"/>
      <c r="AG490" s="1"/>
      <c r="AH490" s="43"/>
      <c r="AI490" s="43"/>
      <c r="AJ490" s="43"/>
      <c r="AK490" s="37" t="s">
        <v>7323</v>
      </c>
      <c r="AL490" s="47"/>
      <c r="AM490" s="1">
        <f t="shared" si="20"/>
        <v>15771.028037383179</v>
      </c>
    </row>
    <row r="491" spans="1:39" ht="47.45" hidden="1" customHeight="1">
      <c r="A491" s="187">
        <v>28872223</v>
      </c>
      <c r="B491" s="43"/>
      <c r="C491" s="51">
        <v>45505</v>
      </c>
      <c r="D491" s="37" t="s">
        <v>7320</v>
      </c>
      <c r="E491" s="37" t="s">
        <v>7321</v>
      </c>
      <c r="F491" s="45" t="s">
        <v>7324</v>
      </c>
      <c r="G491" s="1">
        <v>675000</v>
      </c>
      <c r="H491" s="1"/>
      <c r="I491" s="43" t="s">
        <v>654</v>
      </c>
      <c r="J491" s="43" t="s">
        <v>4143</v>
      </c>
      <c r="K491" s="43" t="s">
        <v>7325</v>
      </c>
      <c r="L491" s="4" t="s">
        <v>7326</v>
      </c>
      <c r="M491" s="7" t="s">
        <v>7327</v>
      </c>
      <c r="N491" s="46">
        <f>8.28+5.76+10.53+6.95+3.58+7.7</f>
        <v>42.800000000000004</v>
      </c>
      <c r="O491" s="43" t="s">
        <v>18</v>
      </c>
      <c r="P491" s="47" t="s">
        <v>206</v>
      </c>
      <c r="Q491" s="267">
        <v>4</v>
      </c>
      <c r="R491" s="47" t="s">
        <v>4801</v>
      </c>
      <c r="S491" s="43">
        <f>14.1+0.7+1.4+6.95</f>
        <v>23.15</v>
      </c>
      <c r="T491" s="43" t="s">
        <v>4596</v>
      </c>
      <c r="U491" s="43"/>
      <c r="V491" s="43"/>
      <c r="W491" s="43"/>
      <c r="X491" s="1"/>
      <c r="Y491" s="46">
        <f>8.28+3.2+2.9+4.2</f>
        <v>18.580000000000002</v>
      </c>
      <c r="Z491" s="46"/>
      <c r="AA491" s="2"/>
      <c r="AB491" s="43"/>
      <c r="AC491" s="87"/>
      <c r="AD491" s="1"/>
      <c r="AE491" s="3"/>
      <c r="AF491" s="46"/>
      <c r="AG491" s="1"/>
      <c r="AH491" s="43"/>
      <c r="AI491" s="43"/>
      <c r="AJ491" s="43"/>
      <c r="AK491" s="37" t="s">
        <v>6820</v>
      </c>
      <c r="AL491" s="47"/>
      <c r="AM491" s="49">
        <f>Terre!$G27/Terre!$N27</f>
        <v>4908.9793413786047</v>
      </c>
    </row>
    <row r="492" spans="1:39" ht="47.45" hidden="1" customHeight="1">
      <c r="A492" s="196" t="s">
        <v>7328</v>
      </c>
      <c r="C492" s="317">
        <v>45506</v>
      </c>
      <c r="D492" t="s">
        <v>7329</v>
      </c>
      <c r="E492" s="20" t="s">
        <v>7330</v>
      </c>
      <c r="F492" t="s">
        <v>7331</v>
      </c>
      <c r="G492" s="94">
        <v>1600000</v>
      </c>
      <c r="I492" t="s">
        <v>46</v>
      </c>
      <c r="J492" t="s">
        <v>1630</v>
      </c>
      <c r="K492" t="s">
        <v>7332</v>
      </c>
      <c r="L492" s="96">
        <v>45.423802000000002</v>
      </c>
      <c r="M492" s="245" t="s">
        <v>7333</v>
      </c>
      <c r="N492" s="63">
        <f>0.83+0.48+155.4</f>
        <v>156.71</v>
      </c>
      <c r="O492" t="s">
        <v>36</v>
      </c>
      <c r="P492" t="s">
        <v>206</v>
      </c>
      <c r="Q492" s="436" t="s">
        <v>4835</v>
      </c>
      <c r="R492" t="s">
        <v>155</v>
      </c>
      <c r="S492">
        <f>6.2+11.7+11.5+4.1+0.5</f>
        <v>34</v>
      </c>
      <c r="Y492" s="63">
        <f>88.1+17.8+0.5</f>
        <v>106.39999999999999</v>
      </c>
      <c r="AK492" s="20" t="s">
        <v>7334</v>
      </c>
      <c r="AM492" s="1">
        <f>G492/N492</f>
        <v>10209.941930955267</v>
      </c>
    </row>
    <row r="493" spans="1:39" ht="47.45" hidden="1" customHeight="1">
      <c r="A493" s="196">
        <v>28897203</v>
      </c>
      <c r="C493" s="317">
        <v>45519</v>
      </c>
      <c r="D493" t="s">
        <v>7335</v>
      </c>
      <c r="E493" s="239" t="s">
        <v>7336</v>
      </c>
      <c r="F493" s="239" t="s">
        <v>7337</v>
      </c>
      <c r="G493" s="94">
        <v>550000</v>
      </c>
      <c r="I493" t="s">
        <v>50</v>
      </c>
      <c r="J493" t="s">
        <v>6734</v>
      </c>
      <c r="L493" s="96">
        <v>46.002780000000001</v>
      </c>
      <c r="M493" s="96">
        <v>-70.747606000000005</v>
      </c>
      <c r="N493" s="63">
        <v>48.67</v>
      </c>
      <c r="O493" t="s">
        <v>18</v>
      </c>
      <c r="P493" t="s">
        <v>35</v>
      </c>
      <c r="Q493" s="436">
        <v>5</v>
      </c>
      <c r="R493" t="s">
        <v>5056</v>
      </c>
      <c r="S493">
        <v>10.1</v>
      </c>
      <c r="Y493" s="63">
        <f>Table3[[#This Row],[Superficie totale (ha)]]-Table3[[#This Row],[Superficie cultivée (ha)]]</f>
        <v>38.57</v>
      </c>
      <c r="AK493" t="s">
        <v>7338</v>
      </c>
      <c r="AM493" s="1">
        <f>Table3[[#This Row],[Prixdevente($)]]/Table3[[#This Row],[Superficie totale (ha)]]</f>
        <v>11300.595849599342</v>
      </c>
    </row>
    <row r="494" spans="1:39" ht="47.45" customHeight="1">
      <c r="A494" s="196" t="s">
        <v>7339</v>
      </c>
      <c r="C494" s="317">
        <v>45527</v>
      </c>
      <c r="F494" t="s">
        <v>7340</v>
      </c>
      <c r="I494" t="s">
        <v>39</v>
      </c>
      <c r="J494" t="s">
        <v>2446</v>
      </c>
      <c r="AM494" s="1" t="e">
        <f t="shared" ref="AM494:AM505" si="21">G494/N494</f>
        <v>#DIV/0!</v>
      </c>
    </row>
    <row r="495" spans="1:39" ht="47.45" hidden="1" customHeight="1">
      <c r="A495" s="187">
        <v>28916087</v>
      </c>
      <c r="B495" s="43"/>
      <c r="C495" s="51">
        <v>45530</v>
      </c>
      <c r="D495" s="37" t="s">
        <v>7341</v>
      </c>
      <c r="E495" s="37" t="s">
        <v>7342</v>
      </c>
      <c r="F495" s="45" t="s">
        <v>7343</v>
      </c>
      <c r="G495" s="1">
        <v>189000</v>
      </c>
      <c r="H495" s="1"/>
      <c r="I495" s="43" t="s">
        <v>1171</v>
      </c>
      <c r="J495" s="43" t="s">
        <v>7344</v>
      </c>
      <c r="K495" s="43" t="s">
        <v>7345</v>
      </c>
      <c r="L495" s="4">
        <v>45.792873</v>
      </c>
      <c r="M495" s="7">
        <v>-71.770831000000001</v>
      </c>
      <c r="N495" s="46">
        <v>36.49</v>
      </c>
      <c r="O495" s="43" t="s">
        <v>18</v>
      </c>
      <c r="P495" s="47" t="s">
        <v>35</v>
      </c>
      <c r="Q495" s="267">
        <v>4</v>
      </c>
      <c r="R495" s="47" t="s">
        <v>5056</v>
      </c>
      <c r="S495" s="43">
        <v>11.7</v>
      </c>
      <c r="T495" s="43" t="s">
        <v>4596</v>
      </c>
      <c r="U495" s="43"/>
      <c r="V495" s="43"/>
      <c r="W495" s="43"/>
      <c r="X495" s="1"/>
      <c r="Y495" s="46">
        <v>23.29</v>
      </c>
      <c r="Z495" s="46"/>
      <c r="AA495" s="2"/>
      <c r="AB495" s="43"/>
      <c r="AC495" s="87"/>
      <c r="AD495" s="1"/>
      <c r="AE495" s="3"/>
      <c r="AF495" s="46"/>
      <c r="AG495" s="1"/>
      <c r="AH495" s="43"/>
      <c r="AI495" s="43"/>
      <c r="AJ495" s="43"/>
      <c r="AK495" s="37"/>
      <c r="AL495" s="47"/>
      <c r="AM495" s="1">
        <f t="shared" si="21"/>
        <v>5179.5012332145789</v>
      </c>
    </row>
    <row r="496" spans="1:39" ht="47.45" hidden="1" customHeight="1">
      <c r="A496" s="187">
        <v>28921516</v>
      </c>
      <c r="B496" s="43"/>
      <c r="C496" s="51">
        <v>45532</v>
      </c>
      <c r="D496" s="37"/>
      <c r="E496" s="37"/>
      <c r="F496" s="45" t="s">
        <v>7346</v>
      </c>
      <c r="G496" s="1">
        <v>175000</v>
      </c>
      <c r="H496" s="1"/>
      <c r="I496" s="43" t="s">
        <v>53</v>
      </c>
      <c r="J496" s="43" t="s">
        <v>4776</v>
      </c>
      <c r="K496" s="43" t="s">
        <v>7347</v>
      </c>
      <c r="L496" s="4" t="s">
        <v>7348</v>
      </c>
      <c r="M496" s="7" t="s">
        <v>7349</v>
      </c>
      <c r="N496" s="46">
        <f>14.61+19.01</f>
        <v>33.620000000000005</v>
      </c>
      <c r="O496" s="43" t="s">
        <v>18</v>
      </c>
      <c r="P496" s="47" t="s">
        <v>361</v>
      </c>
      <c r="Q496" s="267">
        <v>3</v>
      </c>
      <c r="R496" s="47" t="s">
        <v>6561</v>
      </c>
      <c r="S496" s="43">
        <f>7.5+3.4+8.6</f>
        <v>19.5</v>
      </c>
      <c r="T496" s="43" t="s">
        <v>4596</v>
      </c>
      <c r="U496" s="43"/>
      <c r="V496" s="43"/>
      <c r="W496" s="43"/>
      <c r="X496" s="1"/>
      <c r="Y496" s="46">
        <v>10.8</v>
      </c>
      <c r="Z496" s="46"/>
      <c r="AA496" s="2"/>
      <c r="AB496" s="43"/>
      <c r="AC496" s="87"/>
      <c r="AD496" s="1"/>
      <c r="AE496" s="3"/>
      <c r="AF496" s="46" t="s">
        <v>7350</v>
      </c>
      <c r="AG496" s="1"/>
      <c r="AH496" s="43"/>
      <c r="AI496" s="43"/>
      <c r="AJ496" s="43"/>
      <c r="AK496" s="37"/>
      <c r="AL496" s="47"/>
      <c r="AM496" s="1">
        <f t="shared" si="21"/>
        <v>5205.2349791790593</v>
      </c>
    </row>
    <row r="497" spans="1:39" ht="47.45" customHeight="1">
      <c r="A497" s="187">
        <v>28921647</v>
      </c>
      <c r="B497" s="43"/>
      <c r="C497" s="51">
        <v>45532</v>
      </c>
      <c r="D497" s="37" t="s">
        <v>7351</v>
      </c>
      <c r="E497" s="37" t="s">
        <v>7352</v>
      </c>
      <c r="F497" s="45">
        <v>3557781</v>
      </c>
      <c r="G497" s="16" t="s">
        <v>7353</v>
      </c>
      <c r="H497" s="16"/>
      <c r="I497" t="s">
        <v>4911</v>
      </c>
      <c r="J497" s="43" t="s">
        <v>1178</v>
      </c>
      <c r="K497" s="43">
        <v>0</v>
      </c>
      <c r="L497" s="25"/>
      <c r="M497" s="26"/>
      <c r="N497" s="46"/>
      <c r="O497" s="43"/>
      <c r="P497" s="47"/>
      <c r="Q497" s="267"/>
      <c r="R497" s="47"/>
      <c r="S497" s="43"/>
      <c r="T497" s="43"/>
      <c r="U497" s="43"/>
      <c r="V497" s="43"/>
      <c r="W497" s="43"/>
      <c r="X497" s="16"/>
      <c r="Y497" s="46"/>
      <c r="Z497" s="46"/>
      <c r="AA497" s="102"/>
      <c r="AB497" s="43"/>
      <c r="AC497" s="87"/>
      <c r="AD497" s="16"/>
      <c r="AE497" s="103"/>
      <c r="AF497" s="46"/>
      <c r="AG497" s="16"/>
      <c r="AH497" s="43"/>
      <c r="AI497" s="43"/>
      <c r="AJ497" s="43" t="s">
        <v>7354</v>
      </c>
      <c r="AK497" s="37"/>
      <c r="AL497" s="47"/>
      <c r="AM497" s="74" t="e">
        <f t="shared" si="21"/>
        <v>#VALUE!</v>
      </c>
    </row>
    <row r="498" spans="1:39" ht="47.45" hidden="1" customHeight="1">
      <c r="A498" s="196">
        <v>28923419</v>
      </c>
      <c r="C498" s="317">
        <v>45533</v>
      </c>
      <c r="D498" s="247" t="s">
        <v>7355</v>
      </c>
      <c r="E498" s="247" t="s">
        <v>7356</v>
      </c>
      <c r="F498" s="247" t="s">
        <v>7357</v>
      </c>
      <c r="G498" s="94">
        <v>495000</v>
      </c>
      <c r="I498" t="s">
        <v>4880</v>
      </c>
      <c r="J498" t="s">
        <v>7358</v>
      </c>
      <c r="K498" s="247" t="s">
        <v>7359</v>
      </c>
      <c r="L498" s="96">
        <v>46.547080999999999</v>
      </c>
      <c r="M498" s="96">
        <v>-71.001355000000004</v>
      </c>
      <c r="N498" s="63">
        <v>16.239999999999998</v>
      </c>
      <c r="O498" t="s">
        <v>18</v>
      </c>
      <c r="P498" t="s">
        <v>19</v>
      </c>
      <c r="Q498" s="436">
        <v>4</v>
      </c>
      <c r="R498" t="s">
        <v>7200</v>
      </c>
      <c r="S498">
        <v>15.5</v>
      </c>
      <c r="Y498" s="63">
        <v>0</v>
      </c>
      <c r="AK498" t="s">
        <v>7360</v>
      </c>
      <c r="AM498" s="1">
        <f t="shared" si="21"/>
        <v>30480.295566502467</v>
      </c>
    </row>
    <row r="499" spans="1:39" ht="47.45" hidden="1" customHeight="1">
      <c r="A499" s="196">
        <v>28935096</v>
      </c>
      <c r="C499" s="317">
        <v>45539</v>
      </c>
      <c r="D499" t="s">
        <v>7361</v>
      </c>
      <c r="E499" t="s">
        <v>7362</v>
      </c>
      <c r="F499" s="269" t="s">
        <v>7363</v>
      </c>
      <c r="G499" s="62">
        <v>2550000</v>
      </c>
      <c r="H499" s="62"/>
      <c r="I499" t="s">
        <v>192</v>
      </c>
      <c r="J499" t="s">
        <v>7364</v>
      </c>
      <c r="L499" s="288" t="s">
        <v>7365</v>
      </c>
      <c r="M499" s="289" t="s">
        <v>7366</v>
      </c>
      <c r="N499" s="63">
        <f>46.87+0.5+3.41+18.7</f>
        <v>69.48</v>
      </c>
      <c r="O499" s="43" t="s">
        <v>36</v>
      </c>
      <c r="P499" t="s">
        <v>35</v>
      </c>
      <c r="Q499" s="436" t="s">
        <v>6884</v>
      </c>
      <c r="R499" t="s">
        <v>4595</v>
      </c>
      <c r="S499">
        <f>17.4+7.4+7.5+5.1+10.5+10.9</f>
        <v>58.8</v>
      </c>
      <c r="V499">
        <f>Table3[[#This Row],[Superficie cultivée (ha)]]-13.5</f>
        <v>45.3</v>
      </c>
      <c r="X499" s="62"/>
      <c r="AA499" s="64"/>
      <c r="AC499" s="65">
        <v>1</v>
      </c>
      <c r="AD499" s="62"/>
      <c r="AE499" s="62"/>
      <c r="AF499" s="63" t="s">
        <v>7367</v>
      </c>
      <c r="AG499" s="62"/>
      <c r="AM499" s="16">
        <f t="shared" si="21"/>
        <v>36701.208981001728</v>
      </c>
    </row>
    <row r="500" spans="1:39" ht="47.45" hidden="1" customHeight="1">
      <c r="A500" s="196">
        <v>28960966</v>
      </c>
      <c r="C500" s="317">
        <v>45552</v>
      </c>
      <c r="D500" s="239" t="s">
        <v>7368</v>
      </c>
      <c r="E500" s="239" t="s">
        <v>7369</v>
      </c>
      <c r="F500" s="239" t="s">
        <v>7370</v>
      </c>
      <c r="G500" s="94">
        <v>969804</v>
      </c>
      <c r="I500" t="s">
        <v>5985</v>
      </c>
      <c r="J500" t="s">
        <v>819</v>
      </c>
      <c r="K500" s="239" t="s">
        <v>7371</v>
      </c>
      <c r="L500" s="96">
        <v>45.931193</v>
      </c>
      <c r="M500" s="96">
        <v>-71.892212000000001</v>
      </c>
      <c r="N500" s="63">
        <v>47.57</v>
      </c>
      <c r="O500" t="s">
        <v>36</v>
      </c>
      <c r="P500" t="s">
        <v>19</v>
      </c>
      <c r="Q500" s="436">
        <v>4</v>
      </c>
      <c r="R500" t="s">
        <v>5056</v>
      </c>
      <c r="S500">
        <v>47</v>
      </c>
      <c r="T500" t="s">
        <v>3124</v>
      </c>
      <c r="Y500" s="63">
        <v>0</v>
      </c>
      <c r="AK500" t="s">
        <v>7372</v>
      </c>
      <c r="AM500" s="1">
        <f t="shared" si="21"/>
        <v>20386.882488963631</v>
      </c>
    </row>
    <row r="501" spans="1:39" ht="47.45" hidden="1" customHeight="1">
      <c r="A501" s="196">
        <v>28968203</v>
      </c>
      <c r="C501" s="317">
        <v>45555</v>
      </c>
      <c r="D501" t="s">
        <v>7373</v>
      </c>
      <c r="E501" t="s">
        <v>7374</v>
      </c>
      <c r="F501" t="s">
        <v>7375</v>
      </c>
      <c r="G501" s="62">
        <v>2600000</v>
      </c>
      <c r="H501" s="62"/>
      <c r="I501" t="s">
        <v>4917</v>
      </c>
      <c r="J501" t="s">
        <v>7376</v>
      </c>
      <c r="K501" t="s">
        <v>7377</v>
      </c>
      <c r="L501" s="288" t="s">
        <v>7378</v>
      </c>
      <c r="M501" s="289" t="s">
        <v>7379</v>
      </c>
      <c r="N501" s="63">
        <f>14.43+15.06+18.05</f>
        <v>47.540000000000006</v>
      </c>
      <c r="O501" s="43" t="s">
        <v>36</v>
      </c>
      <c r="P501" t="s">
        <v>35</v>
      </c>
      <c r="Q501" s="436">
        <v>2</v>
      </c>
      <c r="R501" t="s">
        <v>4669</v>
      </c>
      <c r="S501">
        <f>27.9+17.5</f>
        <v>45.4</v>
      </c>
      <c r="V501">
        <f>Table3[[#This Row],[Superficie cultivée (ha)]]-14</f>
        <v>31.4</v>
      </c>
      <c r="X501" s="62"/>
      <c r="AA501" s="64"/>
      <c r="AD501" s="62"/>
      <c r="AE501" s="62"/>
      <c r="AG501" s="62"/>
      <c r="AL501" t="s">
        <v>7380</v>
      </c>
      <c r="AM501" s="16">
        <f t="shared" si="21"/>
        <v>54690.786705931838</v>
      </c>
    </row>
    <row r="502" spans="1:39" ht="47.45" customHeight="1">
      <c r="A502" s="187">
        <v>28974433</v>
      </c>
      <c r="B502" s="43"/>
      <c r="C502" s="51">
        <v>45559</v>
      </c>
      <c r="D502" s="37" t="s">
        <v>7381</v>
      </c>
      <c r="E502" s="37" t="s">
        <v>7382</v>
      </c>
      <c r="F502" s="45">
        <v>6614339</v>
      </c>
      <c r="G502" s="16">
        <v>135000</v>
      </c>
      <c r="H502" s="16"/>
      <c r="I502" s="43"/>
      <c r="J502" s="43" t="s">
        <v>5627</v>
      </c>
      <c r="K502" s="43" t="s">
        <v>7383</v>
      </c>
      <c r="L502" s="25"/>
      <c r="M502" s="26"/>
      <c r="N502" s="46"/>
      <c r="O502" s="43"/>
      <c r="P502" s="47"/>
      <c r="Q502" s="267"/>
      <c r="R502" s="47"/>
      <c r="S502" s="43"/>
      <c r="T502" s="43"/>
      <c r="U502" s="43"/>
      <c r="V502" s="43"/>
      <c r="W502" s="43"/>
      <c r="X502" s="16"/>
      <c r="Y502" s="46"/>
      <c r="Z502" s="46"/>
      <c r="AA502" s="102"/>
      <c r="AB502" s="43"/>
      <c r="AC502" s="87"/>
      <c r="AD502" s="16"/>
      <c r="AE502" s="103"/>
      <c r="AF502" s="46"/>
      <c r="AG502" s="16"/>
      <c r="AH502" s="43"/>
      <c r="AI502" s="43"/>
      <c r="AJ502" s="43"/>
      <c r="AK502" s="37"/>
      <c r="AL502" s="47"/>
      <c r="AM502" s="74" t="e">
        <f t="shared" si="21"/>
        <v>#DIV/0!</v>
      </c>
    </row>
    <row r="503" spans="1:39" ht="47.45" hidden="1" customHeight="1">
      <c r="A503" s="194">
        <v>28981991</v>
      </c>
      <c r="B503" s="139"/>
      <c r="C503" s="148">
        <v>45562</v>
      </c>
      <c r="D503" s="60" t="s">
        <v>2783</v>
      </c>
      <c r="E503" s="60" t="s">
        <v>2784</v>
      </c>
      <c r="F503" s="140" t="s">
        <v>2785</v>
      </c>
      <c r="G503" s="150">
        <v>69000</v>
      </c>
      <c r="H503" s="150"/>
      <c r="I503" s="139" t="s">
        <v>2163</v>
      </c>
      <c r="J503" s="139" t="s">
        <v>2786</v>
      </c>
      <c r="K503" s="139" t="s">
        <v>2787</v>
      </c>
      <c r="L503" s="151">
        <v>48.502155999999999</v>
      </c>
      <c r="M503" s="155">
        <v>-67.969503000000003</v>
      </c>
      <c r="N503" s="144">
        <v>48.22</v>
      </c>
      <c r="O503" s="139" t="s">
        <v>36</v>
      </c>
      <c r="P503" s="60" t="s">
        <v>154</v>
      </c>
      <c r="Q503" s="439">
        <v>2</v>
      </c>
      <c r="R503" s="60" t="s">
        <v>7384</v>
      </c>
      <c r="S503" s="139">
        <v>7.3</v>
      </c>
      <c r="T503" s="139" t="s">
        <v>4596</v>
      </c>
      <c r="U503" s="139"/>
      <c r="V503" s="139"/>
      <c r="W503" s="139"/>
      <c r="X503" s="150"/>
      <c r="Y503" s="144">
        <v>40.92</v>
      </c>
      <c r="Z503" s="144"/>
      <c r="AA503" s="152"/>
      <c r="AB503" s="139"/>
      <c r="AC503" s="146"/>
      <c r="AD503" s="150"/>
      <c r="AE503" s="159"/>
      <c r="AF503" s="144"/>
      <c r="AG503" s="150"/>
      <c r="AH503" s="139"/>
      <c r="AI503" s="139"/>
      <c r="AJ503" s="139"/>
      <c r="AK503" s="60"/>
      <c r="AL503" s="60"/>
      <c r="AM503" s="150">
        <f t="shared" si="21"/>
        <v>1430.9415180423061</v>
      </c>
    </row>
    <row r="504" spans="1:39" ht="47.45" hidden="1" customHeight="1">
      <c r="A504" s="187">
        <v>28989820</v>
      </c>
      <c r="B504" s="43"/>
      <c r="C504" s="51">
        <v>45566</v>
      </c>
      <c r="D504" s="37" t="s">
        <v>7385</v>
      </c>
      <c r="E504" s="37" t="s">
        <v>7386</v>
      </c>
      <c r="F504" s="45" t="s">
        <v>7387</v>
      </c>
      <c r="G504" s="16">
        <v>560000</v>
      </c>
      <c r="H504" s="16"/>
      <c r="I504" s="43" t="s">
        <v>4911</v>
      </c>
      <c r="J504" s="43" t="s">
        <v>4912</v>
      </c>
      <c r="K504" s="43" t="s">
        <v>7388</v>
      </c>
      <c r="L504" s="25"/>
      <c r="M504" s="26"/>
      <c r="N504" s="46">
        <v>13.54</v>
      </c>
      <c r="O504" s="43"/>
      <c r="P504" s="47"/>
      <c r="Q504" s="267" t="s">
        <v>5085</v>
      </c>
      <c r="R504" s="47"/>
      <c r="S504" s="43">
        <v>13.5</v>
      </c>
      <c r="T504" s="43"/>
      <c r="U504" s="43"/>
      <c r="V504" s="43"/>
      <c r="W504" s="43"/>
      <c r="X504" s="16"/>
      <c r="Y504" s="46">
        <v>0</v>
      </c>
      <c r="Z504" s="46"/>
      <c r="AA504" s="102"/>
      <c r="AB504" s="43"/>
      <c r="AC504" s="87"/>
      <c r="AD504" s="16"/>
      <c r="AE504" s="103"/>
      <c r="AF504" s="46"/>
      <c r="AG504" s="16"/>
      <c r="AH504" s="43"/>
      <c r="AI504" s="43"/>
      <c r="AJ504" s="43" t="s">
        <v>7389</v>
      </c>
      <c r="AK504" s="37">
        <v>0</v>
      </c>
      <c r="AL504" s="47"/>
      <c r="AM504" s="74">
        <f t="shared" si="21"/>
        <v>41358.936484490405</v>
      </c>
    </row>
    <row r="505" spans="1:39" ht="47.45" hidden="1" customHeight="1">
      <c r="A505" s="196">
        <v>28997465</v>
      </c>
      <c r="C505" s="317">
        <v>45569</v>
      </c>
      <c r="D505" t="s">
        <v>7390</v>
      </c>
      <c r="E505" t="s">
        <v>7391</v>
      </c>
      <c r="F505" t="s">
        <v>7392</v>
      </c>
      <c r="G505" s="94">
        <v>9200000</v>
      </c>
      <c r="I505" t="s">
        <v>6023</v>
      </c>
      <c r="J505" t="s">
        <v>7393</v>
      </c>
      <c r="K505" t="s">
        <v>7393</v>
      </c>
      <c r="L505" s="96" t="s">
        <v>7394</v>
      </c>
      <c r="M505" s="245" t="s">
        <v>7395</v>
      </c>
      <c r="N505" s="63">
        <f>0.58+29.28+116.09</f>
        <v>145.94999999999999</v>
      </c>
      <c r="O505" t="s">
        <v>18</v>
      </c>
      <c r="P505" t="s">
        <v>35</v>
      </c>
      <c r="Q505" s="436" t="s">
        <v>7396</v>
      </c>
      <c r="S505">
        <v>142.5</v>
      </c>
      <c r="T505" s="43" t="s">
        <v>4596</v>
      </c>
      <c r="U505">
        <f>Table3[[#This Row],[Superficie cultivée (ha)]]-27.6</f>
        <v>114.9</v>
      </c>
      <c r="AK505" t="s">
        <v>7397</v>
      </c>
      <c r="AL505" t="s">
        <v>7398</v>
      </c>
      <c r="AM505" s="1">
        <f t="shared" si="21"/>
        <v>63035.286056868797</v>
      </c>
    </row>
    <row r="506" spans="1:39" ht="47.45" hidden="1" customHeight="1">
      <c r="A506" s="187">
        <v>29000457</v>
      </c>
      <c r="B506" s="43" t="s">
        <v>4652</v>
      </c>
      <c r="C506" s="51">
        <v>45569</v>
      </c>
      <c r="D506" s="37" t="s">
        <v>7399</v>
      </c>
      <c r="E506" s="37" t="s">
        <v>7400</v>
      </c>
      <c r="F506" s="45" t="s">
        <v>7401</v>
      </c>
      <c r="G506" s="16">
        <v>1300000</v>
      </c>
      <c r="H506" s="16" t="s">
        <v>4652</v>
      </c>
      <c r="I506" s="43" t="s">
        <v>476</v>
      </c>
      <c r="J506" s="43" t="s">
        <v>1428</v>
      </c>
      <c r="K506" s="43">
        <v>0</v>
      </c>
      <c r="L506" s="25" t="s">
        <v>4652</v>
      </c>
      <c r="M506" s="26" t="s">
        <v>4652</v>
      </c>
      <c r="N506" s="46" t="s">
        <v>7402</v>
      </c>
      <c r="O506" s="43" t="s">
        <v>36</v>
      </c>
      <c r="P506" s="47" t="s">
        <v>4652</v>
      </c>
      <c r="Q506" s="267" t="s">
        <v>7403</v>
      </c>
      <c r="R506" s="47" t="s">
        <v>4652</v>
      </c>
      <c r="S506" s="282">
        <v>20.6</v>
      </c>
      <c r="T506" s="43" t="s">
        <v>4652</v>
      </c>
      <c r="U506" s="43"/>
      <c r="V506" s="43" t="s">
        <v>4652</v>
      </c>
      <c r="W506" s="43"/>
      <c r="X506" s="16" t="s">
        <v>4652</v>
      </c>
      <c r="Y506" s="46" t="s">
        <v>7404</v>
      </c>
      <c r="Z506" s="46"/>
      <c r="AA506" s="102"/>
      <c r="AB506" s="43"/>
      <c r="AC506" s="87"/>
      <c r="AD506" s="16"/>
      <c r="AE506" s="103"/>
      <c r="AF506" s="46"/>
      <c r="AG506" s="16" t="s">
        <v>4996</v>
      </c>
      <c r="AH506" s="43">
        <v>0</v>
      </c>
      <c r="AI506" s="43"/>
      <c r="AJ506" s="43"/>
      <c r="AK506" s="37"/>
      <c r="AL506" s="47" t="s">
        <v>4996</v>
      </c>
      <c r="AM506" s="49">
        <f>Table3[[#This Row],[Prixdevente($)]]/Table3[[#This Row],[Superficie cultivée (ha)]]</f>
        <v>63106.796116504847</v>
      </c>
    </row>
    <row r="507" spans="1:39" ht="47.45" customHeight="1">
      <c r="A507" s="196" t="s">
        <v>7405</v>
      </c>
      <c r="C507" s="317">
        <v>45572</v>
      </c>
      <c r="F507" t="s">
        <v>7406</v>
      </c>
      <c r="G507" s="94">
        <v>700000</v>
      </c>
      <c r="I507" t="s">
        <v>1363</v>
      </c>
      <c r="AM507" s="1" t="e">
        <f t="shared" ref="AM507:AM515" si="22">G507/N507</f>
        <v>#DIV/0!</v>
      </c>
    </row>
    <row r="508" spans="1:39" ht="47.45" hidden="1" customHeight="1">
      <c r="A508" s="187" t="s">
        <v>7407</v>
      </c>
      <c r="B508" s="43"/>
      <c r="C508" s="51">
        <v>45582</v>
      </c>
      <c r="D508" s="37" t="s">
        <v>7408</v>
      </c>
      <c r="E508" s="37" t="s">
        <v>7409</v>
      </c>
      <c r="F508" s="45" t="s">
        <v>7410</v>
      </c>
      <c r="G508" s="16">
        <v>2315705</v>
      </c>
      <c r="H508" s="16"/>
      <c r="I508" s="43"/>
      <c r="J508" s="43" t="s">
        <v>6875</v>
      </c>
      <c r="K508" s="43" t="s">
        <v>5030</v>
      </c>
      <c r="L508" s="25"/>
      <c r="M508" s="26"/>
      <c r="N508" s="46">
        <v>33.07</v>
      </c>
      <c r="O508" s="43" t="s">
        <v>4996</v>
      </c>
      <c r="P508" s="47"/>
      <c r="Q508" s="267" t="s">
        <v>5085</v>
      </c>
      <c r="R508" s="47"/>
      <c r="S508" s="43">
        <v>31.6</v>
      </c>
      <c r="T508" s="43"/>
      <c r="U508" s="43">
        <v>31.6</v>
      </c>
      <c r="V508" s="43" t="s">
        <v>7411</v>
      </c>
      <c r="W508" s="43"/>
      <c r="X508" s="16"/>
      <c r="Y508" s="46">
        <v>0</v>
      </c>
      <c r="Z508" s="46"/>
      <c r="AA508" s="102"/>
      <c r="AB508" s="43"/>
      <c r="AC508" s="87"/>
      <c r="AD508" s="16"/>
      <c r="AE508" s="103"/>
      <c r="AF508" s="46"/>
      <c r="AG508" s="16"/>
      <c r="AH508" s="43"/>
      <c r="AI508" s="43"/>
      <c r="AJ508" s="43" t="s">
        <v>5150</v>
      </c>
      <c r="AK508" s="37">
        <v>0</v>
      </c>
      <c r="AL508" s="47"/>
      <c r="AM508" s="74">
        <f t="shared" si="22"/>
        <v>70024.342304203208</v>
      </c>
    </row>
    <row r="509" spans="1:39" ht="47.45" hidden="1" customHeight="1">
      <c r="A509" s="196">
        <v>29030601</v>
      </c>
      <c r="C509" s="317">
        <v>45588</v>
      </c>
      <c r="D509" t="s">
        <v>7412</v>
      </c>
      <c r="E509" t="s">
        <v>7413</v>
      </c>
      <c r="F509" t="s">
        <v>7414</v>
      </c>
      <c r="G509" s="94">
        <v>1450000</v>
      </c>
      <c r="I509" t="s">
        <v>37</v>
      </c>
      <c r="J509" t="s">
        <v>5135</v>
      </c>
      <c r="K509" t="s">
        <v>7415</v>
      </c>
      <c r="N509" s="63">
        <f>0.05+0.76+3.29+33.48</f>
        <v>37.58</v>
      </c>
      <c r="O509" t="s">
        <v>18</v>
      </c>
      <c r="P509" t="s">
        <v>35</v>
      </c>
      <c r="Q509" s="436" t="s">
        <v>4722</v>
      </c>
      <c r="R509" t="s">
        <v>4669</v>
      </c>
      <c r="S509">
        <f>3.4+0.7+1.7+0.4+1.1+0.9+0.5+3.4+3+3.6+3+0.6+0.4+0.5+1.1+0.8</f>
        <v>25.100000000000005</v>
      </c>
      <c r="U509">
        <f>Table3[[#This Row],[Superficie cultivée (ha)]]</f>
        <v>25.100000000000005</v>
      </c>
      <c r="Y509" s="63">
        <v>3.6</v>
      </c>
      <c r="AL509" t="s">
        <v>7416</v>
      </c>
      <c r="AM509" s="1">
        <f t="shared" si="22"/>
        <v>38584.353379457163</v>
      </c>
    </row>
    <row r="510" spans="1:39" ht="47.45" hidden="1" customHeight="1">
      <c r="A510" s="196">
        <v>29036978</v>
      </c>
      <c r="C510" s="317">
        <v>45590</v>
      </c>
      <c r="D510" s="275" t="s">
        <v>7417</v>
      </c>
      <c r="E510" s="275" t="s">
        <v>7418</v>
      </c>
      <c r="F510" s="272" t="s">
        <v>7419</v>
      </c>
      <c r="G510" s="94">
        <v>200000</v>
      </c>
      <c r="I510" t="s">
        <v>321</v>
      </c>
      <c r="J510" t="s">
        <v>322</v>
      </c>
      <c r="K510" s="272" t="s">
        <v>7420</v>
      </c>
      <c r="N510" s="63">
        <v>5.94</v>
      </c>
      <c r="O510" t="s">
        <v>18</v>
      </c>
      <c r="P510" t="s">
        <v>35</v>
      </c>
      <c r="Q510" s="436">
        <v>4</v>
      </c>
      <c r="R510" t="s">
        <v>4669</v>
      </c>
      <c r="S510" s="63">
        <v>5.94</v>
      </c>
      <c r="T510" t="s">
        <v>3124</v>
      </c>
      <c r="Y510" s="63">
        <v>0</v>
      </c>
      <c r="AK510" t="s">
        <v>7421</v>
      </c>
      <c r="AM510" s="1">
        <f t="shared" si="22"/>
        <v>33670.03367003367</v>
      </c>
    </row>
    <row r="511" spans="1:39" ht="47.45" hidden="1" customHeight="1">
      <c r="A511" s="187">
        <v>29046775</v>
      </c>
      <c r="B511" s="43"/>
      <c r="C511" s="51">
        <v>45595</v>
      </c>
      <c r="D511" s="37" t="s">
        <v>7422</v>
      </c>
      <c r="E511" s="37" t="s">
        <v>7423</v>
      </c>
      <c r="F511" s="45" t="s">
        <v>7424</v>
      </c>
      <c r="G511" s="1">
        <v>705300</v>
      </c>
      <c r="H511" s="1"/>
      <c r="I511" s="43" t="s">
        <v>602</v>
      </c>
      <c r="J511" s="43" t="s">
        <v>7425</v>
      </c>
      <c r="K511" s="43" t="s">
        <v>7426</v>
      </c>
      <c r="L511" s="4">
        <v>47.420622000000002</v>
      </c>
      <c r="M511" s="7">
        <v>-70.035518999999994</v>
      </c>
      <c r="N511" s="46">
        <v>28.19</v>
      </c>
      <c r="O511" s="139" t="s">
        <v>36</v>
      </c>
      <c r="P511" s="60" t="s">
        <v>1679</v>
      </c>
      <c r="Q511" s="267">
        <v>3</v>
      </c>
      <c r="R511" s="47" t="s">
        <v>4669</v>
      </c>
      <c r="S511" s="43">
        <v>27.69</v>
      </c>
      <c r="T511" s="43" t="s">
        <v>5087</v>
      </c>
      <c r="U511" s="43"/>
      <c r="V511" s="43"/>
      <c r="W511" s="43"/>
      <c r="X511" s="1"/>
      <c r="Y511" s="46">
        <v>0</v>
      </c>
      <c r="Z511" s="46"/>
      <c r="AA511" s="2"/>
      <c r="AB511" s="43"/>
      <c r="AC511" s="87"/>
      <c r="AD511" s="1"/>
      <c r="AE511" s="3"/>
      <c r="AF511" s="46"/>
      <c r="AG511" s="1"/>
      <c r="AH511" s="43"/>
      <c r="AI511" s="43"/>
      <c r="AJ511" s="43"/>
      <c r="AK511" s="37" t="s">
        <v>7427</v>
      </c>
      <c r="AL511" s="47"/>
      <c r="AM511" s="1">
        <f t="shared" si="22"/>
        <v>25019.510464703795</v>
      </c>
    </row>
    <row r="512" spans="1:39" ht="47.45" customHeight="1">
      <c r="A512" s="196">
        <v>29046692</v>
      </c>
      <c r="C512" s="317">
        <v>45595</v>
      </c>
      <c r="F512" s="249" t="s">
        <v>7428</v>
      </c>
      <c r="I512" t="s">
        <v>611</v>
      </c>
      <c r="AM512" s="1" t="e">
        <f t="shared" si="22"/>
        <v>#DIV/0!</v>
      </c>
    </row>
    <row r="513" spans="1:39" ht="47.45" customHeight="1">
      <c r="A513" s="196" t="s">
        <v>7429</v>
      </c>
      <c r="C513" s="317">
        <v>45596</v>
      </c>
      <c r="F513" t="s">
        <v>7430</v>
      </c>
      <c r="I513" t="s">
        <v>39</v>
      </c>
      <c r="J513" t="s">
        <v>7431</v>
      </c>
      <c r="AM513" s="1" t="e">
        <f t="shared" si="22"/>
        <v>#DIV/0!</v>
      </c>
    </row>
    <row r="514" spans="1:39" ht="47.45" hidden="1" customHeight="1">
      <c r="A514" s="187">
        <v>29231719</v>
      </c>
      <c r="B514" s="43"/>
      <c r="C514" s="51">
        <v>45602</v>
      </c>
      <c r="D514" s="37" t="s">
        <v>7432</v>
      </c>
      <c r="E514" s="37" t="s">
        <v>7433</v>
      </c>
      <c r="F514" s="45">
        <v>4995922</v>
      </c>
      <c r="G514" s="16">
        <v>3000000</v>
      </c>
      <c r="H514" s="16"/>
      <c r="I514" s="43" t="s">
        <v>5746</v>
      </c>
      <c r="J514" s="43" t="s">
        <v>1648</v>
      </c>
      <c r="K514" s="43" t="s">
        <v>7434</v>
      </c>
      <c r="L514" s="25"/>
      <c r="M514" s="26"/>
      <c r="N514" s="46">
        <v>42.79</v>
      </c>
      <c r="O514" s="43">
        <v>0</v>
      </c>
      <c r="P514" s="47"/>
      <c r="Q514" s="267" t="s">
        <v>6589</v>
      </c>
      <c r="R514" s="47"/>
      <c r="S514" s="43">
        <v>41.6</v>
      </c>
      <c r="T514" s="43"/>
      <c r="U514" s="43" t="s">
        <v>71</v>
      </c>
      <c r="V514" s="43" t="s">
        <v>5230</v>
      </c>
      <c r="W514" s="43"/>
      <c r="X514" s="16"/>
      <c r="Y514" s="46">
        <v>0</v>
      </c>
      <c r="Z514" s="46"/>
      <c r="AA514" s="102"/>
      <c r="AB514" s="43"/>
      <c r="AC514" s="87"/>
      <c r="AD514" s="16"/>
      <c r="AE514" s="103"/>
      <c r="AF514" s="46"/>
      <c r="AG514" s="16"/>
      <c r="AH514" s="43"/>
      <c r="AI514" s="43"/>
      <c r="AJ514" s="43"/>
      <c r="AK514" s="37"/>
      <c r="AL514" s="47"/>
      <c r="AM514" s="74">
        <f t="shared" si="22"/>
        <v>70109.838747370886</v>
      </c>
    </row>
    <row r="515" spans="1:39" ht="47.45" hidden="1" customHeight="1">
      <c r="A515" s="196">
        <v>29073318</v>
      </c>
      <c r="C515" s="317">
        <v>45608</v>
      </c>
      <c r="D515" t="s">
        <v>7435</v>
      </c>
      <c r="E515" t="s">
        <v>7436</v>
      </c>
      <c r="F515" t="s">
        <v>7437</v>
      </c>
      <c r="G515" s="94">
        <v>1800000</v>
      </c>
      <c r="I515" t="s">
        <v>37</v>
      </c>
      <c r="J515" t="s">
        <v>4713</v>
      </c>
      <c r="K515" t="s">
        <v>7438</v>
      </c>
      <c r="N515" s="63">
        <f>5.62+36.37</f>
        <v>41.989999999999995</v>
      </c>
      <c r="O515" t="s">
        <v>18</v>
      </c>
      <c r="P515" t="s">
        <v>35</v>
      </c>
      <c r="Q515" s="436">
        <v>4</v>
      </c>
      <c r="R515" t="s">
        <v>4595</v>
      </c>
      <c r="S515">
        <f>5.1+28</f>
        <v>33.1</v>
      </c>
      <c r="Y515" s="63">
        <v>7.5</v>
      </c>
      <c r="AF515" s="63" t="s">
        <v>5309</v>
      </c>
      <c r="AM515" s="1">
        <f t="shared" si="22"/>
        <v>42867.349368897361</v>
      </c>
    </row>
    <row r="516" spans="1:39" ht="47.45" hidden="1" customHeight="1">
      <c r="A516" s="187">
        <v>29081404</v>
      </c>
      <c r="B516" s="43" t="s">
        <v>4652</v>
      </c>
      <c r="C516" s="51">
        <v>45610</v>
      </c>
      <c r="D516" s="37" t="s">
        <v>7439</v>
      </c>
      <c r="E516" s="37" t="s">
        <v>7440</v>
      </c>
      <c r="F516" s="45">
        <v>6064215</v>
      </c>
      <c r="G516" s="16">
        <v>1675000</v>
      </c>
      <c r="H516" s="16" t="s">
        <v>4652</v>
      </c>
      <c r="I516" s="43" t="s">
        <v>2157</v>
      </c>
      <c r="J516" s="43" t="s">
        <v>7441</v>
      </c>
      <c r="K516" s="43" t="s">
        <v>7442</v>
      </c>
      <c r="L516" s="25" t="s">
        <v>4652</v>
      </c>
      <c r="M516" s="26" t="s">
        <v>4652</v>
      </c>
      <c r="N516" s="46" t="s">
        <v>7443</v>
      </c>
      <c r="O516" s="43" t="s">
        <v>36</v>
      </c>
      <c r="P516" s="47" t="s">
        <v>4652</v>
      </c>
      <c r="Q516" s="267" t="s">
        <v>6940</v>
      </c>
      <c r="R516" s="47" t="s">
        <v>4652</v>
      </c>
      <c r="S516" s="43">
        <v>7.3</v>
      </c>
      <c r="T516" s="43" t="s">
        <v>4652</v>
      </c>
      <c r="U516" s="43" t="e">
        <v>#REF!</v>
      </c>
      <c r="V516" s="43" t="s">
        <v>4652</v>
      </c>
      <c r="W516" s="43"/>
      <c r="X516" s="16" t="s">
        <v>4652</v>
      </c>
      <c r="Y516" s="46" t="s">
        <v>4996</v>
      </c>
      <c r="Z516" s="46"/>
      <c r="AA516" s="102"/>
      <c r="AB516" s="43"/>
      <c r="AC516" s="87"/>
      <c r="AD516" s="16"/>
      <c r="AE516" s="103"/>
      <c r="AF516" s="46"/>
      <c r="AG516" s="16">
        <v>350</v>
      </c>
      <c r="AH516" s="43">
        <v>40</v>
      </c>
      <c r="AI516" s="43"/>
      <c r="AJ516" s="43"/>
      <c r="AK516" s="37"/>
      <c r="AL516" s="47" t="s">
        <v>7444</v>
      </c>
      <c r="AM516" s="49">
        <f>Table3[[#This Row],[Prixdevente($)]]/Table3[[#This Row],[Superficie cultivée (ha)]]</f>
        <v>229452.05479452055</v>
      </c>
    </row>
    <row r="517" spans="1:39" ht="47.45" hidden="1" customHeight="1">
      <c r="A517" s="196">
        <v>29103777</v>
      </c>
      <c r="C517" s="317">
        <v>45612</v>
      </c>
      <c r="D517" s="249" t="s">
        <v>7445</v>
      </c>
      <c r="E517" s="249" t="s">
        <v>7446</v>
      </c>
      <c r="F517" s="249" t="s">
        <v>7447</v>
      </c>
      <c r="G517" s="94">
        <v>140000</v>
      </c>
      <c r="I517" t="s">
        <v>50</v>
      </c>
      <c r="J517" t="s">
        <v>7448</v>
      </c>
      <c r="L517" s="96">
        <v>45.877974999999999</v>
      </c>
      <c r="M517" s="96">
        <v>-70.564677000000003</v>
      </c>
      <c r="N517" s="63">
        <v>35.78</v>
      </c>
      <c r="O517" t="s">
        <v>18</v>
      </c>
      <c r="P517" t="s">
        <v>154</v>
      </c>
      <c r="Q517" s="436">
        <v>4</v>
      </c>
      <c r="R517" t="s">
        <v>4687</v>
      </c>
      <c r="S517">
        <v>25.3</v>
      </c>
      <c r="Y517" s="63">
        <v>10</v>
      </c>
      <c r="AK517" t="s">
        <v>7449</v>
      </c>
      <c r="AM517" s="1">
        <f>G517/N517</f>
        <v>3912.8004471771937</v>
      </c>
    </row>
    <row r="518" spans="1:39" ht="47.45" hidden="1" customHeight="1">
      <c r="A518" s="187">
        <v>29096284</v>
      </c>
      <c r="B518" s="43" t="s">
        <v>4652</v>
      </c>
      <c r="C518" s="51">
        <v>45615</v>
      </c>
      <c r="D518" s="37" t="s">
        <v>7450</v>
      </c>
      <c r="E518" s="37" t="s">
        <v>7451</v>
      </c>
      <c r="F518" s="45" t="s">
        <v>7452</v>
      </c>
      <c r="G518" s="16">
        <v>1545000</v>
      </c>
      <c r="H518" s="16" t="s">
        <v>4652</v>
      </c>
      <c r="I518" s="43" t="s">
        <v>48</v>
      </c>
      <c r="J518" s="43" t="s">
        <v>5870</v>
      </c>
      <c r="K518" s="43" t="s">
        <v>4194</v>
      </c>
      <c r="L518" s="25" t="s">
        <v>4652</v>
      </c>
      <c r="M518" s="26" t="s">
        <v>4652</v>
      </c>
      <c r="N518" s="46" t="s">
        <v>7453</v>
      </c>
      <c r="O518" s="43" t="s">
        <v>36</v>
      </c>
      <c r="P518" s="47" t="s">
        <v>4652</v>
      </c>
      <c r="Q518" s="267" t="s">
        <v>7454</v>
      </c>
      <c r="R518" s="47" t="s">
        <v>4652</v>
      </c>
      <c r="S518" s="43">
        <v>31.9</v>
      </c>
      <c r="T518" s="43" t="s">
        <v>4652</v>
      </c>
      <c r="U518" s="43"/>
      <c r="V518" s="43" t="s">
        <v>4652</v>
      </c>
      <c r="W518" s="43"/>
      <c r="X518" s="16" t="s">
        <v>4652</v>
      </c>
      <c r="Y518" s="46">
        <f>53.66-31.9</f>
        <v>21.759999999999998</v>
      </c>
      <c r="Z518" s="46"/>
      <c r="AA518" s="102"/>
      <c r="AB518" s="43"/>
      <c r="AC518" s="87"/>
      <c r="AD518" s="16"/>
      <c r="AE518" s="103"/>
      <c r="AF518" s="46"/>
      <c r="AG518" s="16" t="s">
        <v>4652</v>
      </c>
      <c r="AH518" s="43" t="s">
        <v>4652</v>
      </c>
      <c r="AI518" s="43"/>
      <c r="AJ518" s="43"/>
      <c r="AK518" s="37"/>
      <c r="AL518" s="47" t="s">
        <v>4652</v>
      </c>
      <c r="AM518" s="49">
        <f>Table3[[#This Row],[Prixdevente($)]]/Table3[[#This Row],[Superficie cultivée (ha)]]</f>
        <v>48432.601880877744</v>
      </c>
    </row>
    <row r="519" spans="1:39" ht="47.45" hidden="1" customHeight="1">
      <c r="A519" s="196" t="s">
        <v>7455</v>
      </c>
      <c r="C519" s="317">
        <v>45616</v>
      </c>
      <c r="D519" t="s">
        <v>7456</v>
      </c>
      <c r="E519" t="s">
        <v>7457</v>
      </c>
      <c r="F519" t="s">
        <v>7458</v>
      </c>
      <c r="G519" s="94">
        <v>825000</v>
      </c>
      <c r="I519" t="s">
        <v>722</v>
      </c>
      <c r="J519" t="s">
        <v>1888</v>
      </c>
      <c r="K519" t="s">
        <v>7459</v>
      </c>
      <c r="L519" s="96">
        <v>46.487557000000002</v>
      </c>
      <c r="M519" s="245" t="s">
        <v>7460</v>
      </c>
      <c r="N519" s="63">
        <v>30.92</v>
      </c>
      <c r="O519" t="s">
        <v>18</v>
      </c>
      <c r="P519" t="s">
        <v>206</v>
      </c>
      <c r="Q519" s="436" t="s">
        <v>4771</v>
      </c>
      <c r="R519" t="s">
        <v>4801</v>
      </c>
      <c r="S519">
        <f>9.6+14.9</f>
        <v>24.5</v>
      </c>
      <c r="W519" t="s">
        <v>7461</v>
      </c>
      <c r="Y519" s="63">
        <v>5.3</v>
      </c>
      <c r="AM519" s="1">
        <f t="shared" ref="AM519:AM564" si="23">G519/N519</f>
        <v>26681.759379042691</v>
      </c>
    </row>
    <row r="520" spans="1:39" ht="47.45" hidden="1" customHeight="1">
      <c r="A520" s="196">
        <v>29095817</v>
      </c>
      <c r="C520" s="317">
        <v>45618</v>
      </c>
      <c r="D520" t="s">
        <v>7462</v>
      </c>
      <c r="E520" t="s">
        <v>7463</v>
      </c>
      <c r="F520" s="269">
        <v>3698666</v>
      </c>
      <c r="G520" s="94">
        <v>1000000</v>
      </c>
      <c r="I520" t="s">
        <v>37</v>
      </c>
      <c r="J520" t="s">
        <v>7464</v>
      </c>
      <c r="K520" t="s">
        <v>7465</v>
      </c>
      <c r="L520" s="96" t="s">
        <v>7466</v>
      </c>
      <c r="M520" s="245" t="s">
        <v>7467</v>
      </c>
      <c r="N520" s="63">
        <v>40.369999999999997</v>
      </c>
      <c r="O520" s="43" t="s">
        <v>36</v>
      </c>
      <c r="P520" t="s">
        <v>35</v>
      </c>
      <c r="Q520" s="436" t="s">
        <v>4722</v>
      </c>
      <c r="R520" t="s">
        <v>4669</v>
      </c>
      <c r="S520">
        <f>1+0.6+1.4+3+3.1+4.1+3.5+3.9</f>
        <v>20.599999999999998</v>
      </c>
      <c r="U520">
        <f>Table3[[#This Row],[Superficie cultivée (ha)]]</f>
        <v>20.599999999999998</v>
      </c>
      <c r="Y520" s="63">
        <v>19</v>
      </c>
      <c r="AM520" s="1">
        <f t="shared" si="23"/>
        <v>24770.869457517962</v>
      </c>
    </row>
    <row r="521" spans="1:39" ht="47.45" hidden="1" customHeight="1">
      <c r="A521" s="196">
        <v>29096195</v>
      </c>
      <c r="B521" s="43"/>
      <c r="C521" s="317">
        <v>45618</v>
      </c>
      <c r="D521" t="s">
        <v>7468</v>
      </c>
      <c r="E521" s="20" t="s">
        <v>7469</v>
      </c>
      <c r="F521" t="s">
        <v>7470</v>
      </c>
      <c r="G521" s="94">
        <v>200000</v>
      </c>
      <c r="H521" s="1"/>
      <c r="I521" s="43" t="s">
        <v>16</v>
      </c>
      <c r="J521" s="43" t="s">
        <v>5049</v>
      </c>
      <c r="K521" s="43" t="s">
        <v>7471</v>
      </c>
      <c r="L521" s="4" t="s">
        <v>7472</v>
      </c>
      <c r="M521" s="245" t="s">
        <v>7473</v>
      </c>
      <c r="N521" s="63">
        <f>3.3+3.11</f>
        <v>6.41</v>
      </c>
      <c r="O521" s="43" t="s">
        <v>18</v>
      </c>
      <c r="P521" s="47" t="s">
        <v>206</v>
      </c>
      <c r="Q521" s="267">
        <v>3</v>
      </c>
      <c r="R521" s="47" t="s">
        <v>4669</v>
      </c>
      <c r="S521" s="43">
        <v>5.5</v>
      </c>
      <c r="T521" s="43" t="s">
        <v>4781</v>
      </c>
      <c r="U521" s="43"/>
      <c r="V521" s="43"/>
      <c r="W521" s="43"/>
      <c r="X521" s="1"/>
      <c r="Y521" s="46"/>
      <c r="Z521" s="46"/>
      <c r="AA521" s="2"/>
      <c r="AB521" s="43"/>
      <c r="AC521" s="87"/>
      <c r="AD521" s="1"/>
      <c r="AE521" s="3"/>
      <c r="AF521" s="46"/>
      <c r="AG521" s="1"/>
      <c r="AH521" s="43"/>
      <c r="AI521" s="43"/>
      <c r="AJ521" s="43"/>
      <c r="AK521" s="37" t="s">
        <v>7474</v>
      </c>
      <c r="AL521" s="47"/>
      <c r="AM521" s="1">
        <f t="shared" si="23"/>
        <v>31201.248049921996</v>
      </c>
    </row>
    <row r="522" spans="1:39" ht="47.45" hidden="1" customHeight="1">
      <c r="A522" s="194">
        <v>29099654</v>
      </c>
      <c r="B522" s="139"/>
      <c r="C522" s="148">
        <v>45621</v>
      </c>
      <c r="D522" s="60" t="s">
        <v>7475</v>
      </c>
      <c r="E522" s="60" t="s">
        <v>6038</v>
      </c>
      <c r="F522" s="140" t="s">
        <v>7476</v>
      </c>
      <c r="G522" s="141">
        <v>380000</v>
      </c>
      <c r="H522" s="141"/>
      <c r="I522" s="139" t="s">
        <v>2163</v>
      </c>
      <c r="J522" s="139" t="s">
        <v>7477</v>
      </c>
      <c r="K522" s="139" t="s">
        <v>7478</v>
      </c>
      <c r="L522" s="142">
        <v>48.568105000000003</v>
      </c>
      <c r="M522" s="143">
        <v>-68.066740999999993</v>
      </c>
      <c r="N522" s="144">
        <v>199.33</v>
      </c>
      <c r="O522" s="139" t="s">
        <v>36</v>
      </c>
      <c r="P522" s="60" t="s">
        <v>3789</v>
      </c>
      <c r="Q522" s="439" t="s">
        <v>7479</v>
      </c>
      <c r="R522" s="60" t="s">
        <v>5016</v>
      </c>
      <c r="S522" s="139">
        <v>91.5</v>
      </c>
      <c r="T522" s="139" t="s">
        <v>5087</v>
      </c>
      <c r="U522" s="139"/>
      <c r="V522" s="139"/>
      <c r="W522" s="139"/>
      <c r="X522" s="141"/>
      <c r="Y522" s="144">
        <v>105.03</v>
      </c>
      <c r="Z522" s="144"/>
      <c r="AA522" s="145"/>
      <c r="AB522" s="139"/>
      <c r="AC522" s="146"/>
      <c r="AD522" s="141"/>
      <c r="AE522" s="158"/>
      <c r="AF522" s="144"/>
      <c r="AG522" s="141"/>
      <c r="AH522" s="139"/>
      <c r="AI522" s="139"/>
      <c r="AJ522" s="139"/>
      <c r="AK522" s="60" t="s">
        <v>7480</v>
      </c>
      <c r="AL522" s="60"/>
      <c r="AM522" s="141">
        <f t="shared" si="23"/>
        <v>1906.3863944213113</v>
      </c>
    </row>
    <row r="523" spans="1:39" ht="47.45" hidden="1" customHeight="1">
      <c r="A523" s="187">
        <v>29104521</v>
      </c>
      <c r="B523" s="43"/>
      <c r="C523" s="51">
        <v>45622</v>
      </c>
      <c r="D523" s="37" t="s">
        <v>7481</v>
      </c>
      <c r="E523" s="37" t="s">
        <v>7482</v>
      </c>
      <c r="F523" s="45" t="s">
        <v>7483</v>
      </c>
      <c r="G523" s="1">
        <v>277195.64</v>
      </c>
      <c r="H523" s="1"/>
      <c r="I523" s="43" t="s">
        <v>16</v>
      </c>
      <c r="J523" s="43" t="s">
        <v>7484</v>
      </c>
      <c r="K523" s="43" t="s">
        <v>7484</v>
      </c>
      <c r="L523" s="4" t="s">
        <v>7485</v>
      </c>
      <c r="M523" s="7" t="s">
        <v>7486</v>
      </c>
      <c r="N523" s="46">
        <f>5.81+14.18+3.98</f>
        <v>23.97</v>
      </c>
      <c r="O523" s="43" t="s">
        <v>18</v>
      </c>
      <c r="P523" s="47" t="s">
        <v>206</v>
      </c>
      <c r="Q523" s="267">
        <v>4</v>
      </c>
      <c r="R523" s="47" t="s">
        <v>7487</v>
      </c>
      <c r="S523" s="43">
        <f>9.4+3.9</f>
        <v>13.3</v>
      </c>
      <c r="T523" s="43" t="s">
        <v>4781</v>
      </c>
      <c r="U523" s="43"/>
      <c r="V523" s="43"/>
      <c r="W523" s="43"/>
      <c r="X523" s="1"/>
      <c r="Y523" s="46">
        <v>9.6</v>
      </c>
      <c r="Z523" s="46"/>
      <c r="AA523" s="2"/>
      <c r="AB523" s="43"/>
      <c r="AC523" s="87"/>
      <c r="AD523" s="1"/>
      <c r="AE523" s="3"/>
      <c r="AF523" s="46"/>
      <c r="AG523" s="1"/>
      <c r="AH523" s="43"/>
      <c r="AI523" s="43"/>
      <c r="AJ523" s="43"/>
      <c r="AK523" s="37"/>
      <c r="AL523" s="47" t="s">
        <v>7488</v>
      </c>
      <c r="AM523" s="1">
        <f t="shared" si="23"/>
        <v>11564.273675427619</v>
      </c>
    </row>
    <row r="524" spans="1:39" ht="47.45" hidden="1" customHeight="1">
      <c r="A524" s="196">
        <v>29106693</v>
      </c>
      <c r="C524" s="317">
        <v>45623</v>
      </c>
      <c r="D524" t="s">
        <v>7489</v>
      </c>
      <c r="E524" t="s">
        <v>7490</v>
      </c>
      <c r="F524" t="s">
        <v>7491</v>
      </c>
      <c r="G524" s="94">
        <v>4000000</v>
      </c>
      <c r="I524" t="s">
        <v>37</v>
      </c>
      <c r="J524" t="s">
        <v>5171</v>
      </c>
      <c r="K524" t="s">
        <v>7492</v>
      </c>
      <c r="N524" s="63">
        <f>15.9+9.22+45.57+2.2+2.13</f>
        <v>75.02</v>
      </c>
      <c r="AF524" s="63" t="s">
        <v>7493</v>
      </c>
      <c r="AK524" t="s">
        <v>7494</v>
      </c>
      <c r="AM524" s="1">
        <f t="shared" si="23"/>
        <v>53319.114902692621</v>
      </c>
    </row>
    <row r="525" spans="1:39" ht="47.45" customHeight="1">
      <c r="A525" s="187">
        <v>29114043</v>
      </c>
      <c r="B525" s="43"/>
      <c r="C525" s="51">
        <v>45624</v>
      </c>
      <c r="D525" s="37" t="s">
        <v>7495</v>
      </c>
      <c r="E525" s="37" t="s">
        <v>7496</v>
      </c>
      <c r="F525" s="45">
        <v>1687872</v>
      </c>
      <c r="G525" s="16" t="s">
        <v>7497</v>
      </c>
      <c r="H525" s="16"/>
      <c r="I525" s="43"/>
      <c r="J525" s="43" t="s">
        <v>5419</v>
      </c>
      <c r="K525" s="43">
        <v>0</v>
      </c>
      <c r="L525" s="25"/>
      <c r="M525" s="26"/>
      <c r="N525" s="46"/>
      <c r="O525" s="43"/>
      <c r="P525" s="47"/>
      <c r="Q525" s="267"/>
      <c r="R525" s="47"/>
      <c r="S525" s="43"/>
      <c r="T525" s="43"/>
      <c r="U525" s="43"/>
      <c r="V525" s="43"/>
      <c r="W525" s="43"/>
      <c r="X525" s="16"/>
      <c r="Y525" s="46"/>
      <c r="Z525" s="46"/>
      <c r="AA525" s="102"/>
      <c r="AB525" s="43"/>
      <c r="AC525" s="87"/>
      <c r="AD525" s="16"/>
      <c r="AE525" s="103"/>
      <c r="AF525" s="46"/>
      <c r="AG525" s="16"/>
      <c r="AH525" s="43"/>
      <c r="AI525" s="43"/>
      <c r="AJ525" s="43" t="s">
        <v>7498</v>
      </c>
      <c r="AK525" s="37"/>
      <c r="AL525" s="47"/>
      <c r="AM525" s="74" t="e">
        <f t="shared" si="23"/>
        <v>#VALUE!</v>
      </c>
    </row>
    <row r="526" spans="1:39" ht="47.45" hidden="1" customHeight="1">
      <c r="A526" s="187">
        <v>29111394</v>
      </c>
      <c r="B526" s="43"/>
      <c r="C526" s="51">
        <v>45625</v>
      </c>
      <c r="D526" s="37" t="s">
        <v>7499</v>
      </c>
      <c r="E526" s="37" t="s">
        <v>7500</v>
      </c>
      <c r="F526" s="45" t="s">
        <v>7501</v>
      </c>
      <c r="G526" s="1">
        <v>200000</v>
      </c>
      <c r="H526" s="1"/>
      <c r="I526" s="43" t="s">
        <v>1171</v>
      </c>
      <c r="J526" s="43" t="s">
        <v>7502</v>
      </c>
      <c r="K526" s="43" t="s">
        <v>7503</v>
      </c>
      <c r="L526" s="4">
        <v>45.740949000000001</v>
      </c>
      <c r="M526" s="7">
        <v>-71.921099999999996</v>
      </c>
      <c r="N526" s="46">
        <v>26.27</v>
      </c>
      <c r="O526" s="43" t="s">
        <v>18</v>
      </c>
      <c r="P526" s="47" t="s">
        <v>154</v>
      </c>
      <c r="Q526" s="267">
        <v>5</v>
      </c>
      <c r="R526" s="47" t="s">
        <v>6573</v>
      </c>
      <c r="S526" s="43">
        <v>8.5</v>
      </c>
      <c r="T526" s="43" t="s">
        <v>4596</v>
      </c>
      <c r="U526" s="43"/>
      <c r="V526" s="43"/>
      <c r="W526" s="43"/>
      <c r="X526" s="1"/>
      <c r="Y526" s="46">
        <v>17.77</v>
      </c>
      <c r="Z526" s="46"/>
      <c r="AA526" s="2"/>
      <c r="AB526" s="43"/>
      <c r="AC526" s="87"/>
      <c r="AD526" s="1"/>
      <c r="AE526" s="3"/>
      <c r="AF526" s="46"/>
      <c r="AG526" s="1"/>
      <c r="AH526" s="43"/>
      <c r="AI526" s="43"/>
      <c r="AJ526" s="43"/>
      <c r="AK526" s="37" t="s">
        <v>7504</v>
      </c>
      <c r="AL526" s="47"/>
      <c r="AM526" s="1">
        <f t="shared" si="23"/>
        <v>7613.2470498667681</v>
      </c>
    </row>
    <row r="527" spans="1:39" ht="47.45" customHeight="1">
      <c r="A527" s="187">
        <v>29113417</v>
      </c>
      <c r="B527" s="43"/>
      <c r="C527" s="51">
        <v>45625</v>
      </c>
      <c r="D527" s="37" t="s">
        <v>7505</v>
      </c>
      <c r="E527" s="37" t="s">
        <v>7506</v>
      </c>
      <c r="F527" s="45" t="s">
        <v>7507</v>
      </c>
      <c r="G527" s="16" t="s">
        <v>7508</v>
      </c>
      <c r="H527" s="16"/>
      <c r="I527" t="s">
        <v>4911</v>
      </c>
      <c r="J527" s="43" t="s">
        <v>1178</v>
      </c>
      <c r="K527" s="43" t="s">
        <v>7509</v>
      </c>
      <c r="L527" s="25"/>
      <c r="M527" s="26"/>
      <c r="N527" s="46"/>
      <c r="O527" s="43"/>
      <c r="P527" s="47"/>
      <c r="Q527" s="267"/>
      <c r="R527" s="47"/>
      <c r="S527" s="43"/>
      <c r="T527" s="43"/>
      <c r="U527" s="43"/>
      <c r="V527" s="43"/>
      <c r="W527" s="43"/>
      <c r="X527" s="16"/>
      <c r="Y527" s="46"/>
      <c r="Z527" s="46"/>
      <c r="AA527" s="102"/>
      <c r="AB527" s="43"/>
      <c r="AC527" s="87"/>
      <c r="AD527" s="16"/>
      <c r="AE527" s="103"/>
      <c r="AF527" s="46"/>
      <c r="AG527" s="16"/>
      <c r="AH527" s="43"/>
      <c r="AI527" s="43"/>
      <c r="AJ527" s="43"/>
      <c r="AK527" s="37"/>
      <c r="AL527" s="47"/>
      <c r="AM527" s="74" t="e">
        <f t="shared" si="23"/>
        <v>#VALUE!</v>
      </c>
    </row>
    <row r="528" spans="1:39" ht="47.45" customHeight="1">
      <c r="A528" s="196" t="s">
        <v>7510</v>
      </c>
      <c r="C528" s="317">
        <v>45629</v>
      </c>
      <c r="F528" t="s">
        <v>7511</v>
      </c>
      <c r="G528" s="94">
        <v>1553100</v>
      </c>
      <c r="I528" t="s">
        <v>1363</v>
      </c>
      <c r="AM528" s="1" t="e">
        <f t="shared" si="23"/>
        <v>#DIV/0!</v>
      </c>
    </row>
    <row r="529" spans="1:39" ht="47.45" hidden="1" customHeight="1">
      <c r="A529" s="187">
        <v>29122853</v>
      </c>
      <c r="B529" s="43"/>
      <c r="C529" s="51">
        <v>45630</v>
      </c>
      <c r="D529" s="37" t="s">
        <v>7512</v>
      </c>
      <c r="E529" s="37" t="s">
        <v>6244</v>
      </c>
      <c r="F529" s="45" t="s">
        <v>7513</v>
      </c>
      <c r="G529" s="16">
        <v>1000000</v>
      </c>
      <c r="H529" s="16"/>
      <c r="I529" s="43" t="s">
        <v>4911</v>
      </c>
      <c r="J529" s="43" t="s">
        <v>5261</v>
      </c>
      <c r="K529" s="43">
        <v>0</v>
      </c>
      <c r="L529" s="25"/>
      <c r="M529" s="26"/>
      <c r="N529" s="46">
        <v>42.54</v>
      </c>
      <c r="O529" s="43"/>
      <c r="P529" s="47"/>
      <c r="Q529" s="267" t="s">
        <v>5085</v>
      </c>
      <c r="R529" s="47"/>
      <c r="S529" s="43">
        <v>41.2</v>
      </c>
      <c r="T529" s="43"/>
      <c r="U529" s="43"/>
      <c r="V529" s="43"/>
      <c r="W529" s="43"/>
      <c r="X529" s="16"/>
      <c r="Y529" s="46">
        <v>0</v>
      </c>
      <c r="Z529" s="46"/>
      <c r="AA529" s="102"/>
      <c r="AB529" s="43"/>
      <c r="AC529" s="87"/>
      <c r="AD529" s="16"/>
      <c r="AE529" s="103"/>
      <c r="AF529" s="46"/>
      <c r="AG529" s="16"/>
      <c r="AH529" s="43"/>
      <c r="AI529" s="43"/>
      <c r="AJ529" s="43" t="s">
        <v>7514</v>
      </c>
      <c r="AK529" s="37"/>
      <c r="AL529" s="47"/>
      <c r="AM529" s="74">
        <f t="shared" si="23"/>
        <v>23507.287259050307</v>
      </c>
    </row>
    <row r="530" spans="1:39" ht="47.45" customHeight="1">
      <c r="A530" s="196" t="s">
        <v>7515</v>
      </c>
      <c r="C530" s="317">
        <v>45630</v>
      </c>
      <c r="F530" t="s">
        <v>7516</v>
      </c>
      <c r="I530" t="s">
        <v>722</v>
      </c>
      <c r="AM530" s="1" t="e">
        <f t="shared" si="23"/>
        <v>#DIV/0!</v>
      </c>
    </row>
    <row r="531" spans="1:39" ht="47.45" hidden="1" customHeight="1">
      <c r="A531" s="187">
        <v>29129421</v>
      </c>
      <c r="B531" s="43"/>
      <c r="C531" s="51">
        <v>45632</v>
      </c>
      <c r="D531" s="37" t="s">
        <v>7517</v>
      </c>
      <c r="E531" s="37" t="s">
        <v>7518</v>
      </c>
      <c r="F531" s="45" t="s">
        <v>7519</v>
      </c>
      <c r="G531" s="16">
        <v>900000</v>
      </c>
      <c r="H531" s="16"/>
      <c r="I531" s="43"/>
      <c r="J531" s="43" t="s">
        <v>7520</v>
      </c>
      <c r="K531" s="43">
        <v>0</v>
      </c>
      <c r="L531" s="25"/>
      <c r="M531" s="26"/>
      <c r="N531" s="46">
        <v>48.120000000000005</v>
      </c>
      <c r="O531" s="43"/>
      <c r="P531" s="47"/>
      <c r="Q531" s="267" t="s">
        <v>5624</v>
      </c>
      <c r="R531" s="47"/>
      <c r="S531" s="43">
        <v>34.4</v>
      </c>
      <c r="T531" s="43"/>
      <c r="U531" s="43"/>
      <c r="V531" s="43"/>
      <c r="W531" s="43"/>
      <c r="X531" s="16"/>
      <c r="Y531" s="46">
        <v>13.720000000000006</v>
      </c>
      <c r="Z531" s="46"/>
      <c r="AA531" s="102"/>
      <c r="AB531" s="43"/>
      <c r="AC531" s="87"/>
      <c r="AD531" s="16"/>
      <c r="AE531" s="103"/>
      <c r="AF531" s="46"/>
      <c r="AG531" s="16"/>
      <c r="AH531" s="43"/>
      <c r="AI531" s="43"/>
      <c r="AJ531" s="43" t="s">
        <v>7514</v>
      </c>
      <c r="AK531" s="37"/>
      <c r="AL531" s="47"/>
      <c r="AM531" s="74">
        <f t="shared" si="23"/>
        <v>18703.241895261843</v>
      </c>
    </row>
    <row r="532" spans="1:39" ht="47.45" hidden="1" customHeight="1">
      <c r="A532" s="196" t="s">
        <v>7521</v>
      </c>
      <c r="C532" s="317">
        <v>45635</v>
      </c>
      <c r="D532" t="s">
        <v>7522</v>
      </c>
      <c r="E532" t="s">
        <v>7523</v>
      </c>
      <c r="F532" t="s">
        <v>7524</v>
      </c>
      <c r="G532" s="94">
        <v>700000</v>
      </c>
      <c r="I532" t="s">
        <v>3448</v>
      </c>
      <c r="J532" t="s">
        <v>3449</v>
      </c>
      <c r="K532" t="s">
        <v>7525</v>
      </c>
      <c r="L532" s="96">
        <v>45.304156999999996</v>
      </c>
      <c r="M532" s="245" t="s">
        <v>7526</v>
      </c>
      <c r="N532" s="63">
        <v>56.7</v>
      </c>
      <c r="O532" t="s">
        <v>36</v>
      </c>
      <c r="P532" t="s">
        <v>206</v>
      </c>
      <c r="Q532" s="436">
        <v>3</v>
      </c>
      <c r="R532" t="s">
        <v>4669</v>
      </c>
      <c r="S532">
        <f>3.8+5.6+3.2+4.7</f>
        <v>17.299999999999997</v>
      </c>
      <c r="Y532" s="63">
        <v>34.700000000000003</v>
      </c>
      <c r="AK532" t="s">
        <v>7527</v>
      </c>
      <c r="AM532" s="1">
        <f t="shared" si="23"/>
        <v>12345.679012345678</v>
      </c>
    </row>
    <row r="533" spans="1:39" ht="47.45" hidden="1" customHeight="1">
      <c r="A533" s="257">
        <v>29132549</v>
      </c>
      <c r="B533" s="258"/>
      <c r="C533" s="322">
        <v>45635</v>
      </c>
      <c r="D533" s="258" t="s">
        <v>7528</v>
      </c>
      <c r="E533" s="258" t="s">
        <v>5322</v>
      </c>
      <c r="F533" s="258" t="s">
        <v>7529</v>
      </c>
      <c r="G533" s="259">
        <v>1500000</v>
      </c>
      <c r="H533" s="260"/>
      <c r="I533" s="258" t="s">
        <v>602</v>
      </c>
      <c r="J533" s="258" t="s">
        <v>7530</v>
      </c>
      <c r="K533" s="258" t="s">
        <v>7531</v>
      </c>
      <c r="L533" s="261" t="s">
        <v>7532</v>
      </c>
      <c r="M533" s="261" t="s">
        <v>7533</v>
      </c>
      <c r="N533" s="262">
        <v>68.86</v>
      </c>
      <c r="O533" s="258" t="s">
        <v>18</v>
      </c>
      <c r="P533" s="258" t="s">
        <v>6201</v>
      </c>
      <c r="Q533" s="451">
        <v>3</v>
      </c>
      <c r="R533" s="258" t="s">
        <v>4865</v>
      </c>
      <c r="S533" s="258">
        <v>65.599999999999994</v>
      </c>
      <c r="T533" s="258" t="s">
        <v>5388</v>
      </c>
      <c r="U533" s="258"/>
      <c r="V533" s="258"/>
      <c r="W533" s="258"/>
      <c r="X533" s="259"/>
      <c r="Y533" s="262">
        <v>0</v>
      </c>
      <c r="Z533" s="262"/>
      <c r="AA533" s="263"/>
      <c r="AB533" s="258"/>
      <c r="AC533" s="264"/>
      <c r="AD533" s="259"/>
      <c r="AE533" s="259"/>
      <c r="AF533" s="262"/>
      <c r="AG533" s="259"/>
      <c r="AH533" s="258"/>
      <c r="AI533" s="258"/>
      <c r="AJ533" s="258"/>
      <c r="AK533" s="258"/>
      <c r="AL533" s="258"/>
      <c r="AM533" s="259">
        <f t="shared" si="23"/>
        <v>21783.328492593668</v>
      </c>
    </row>
    <row r="534" spans="1:39" ht="47.45" hidden="1" customHeight="1">
      <c r="A534" s="187">
        <v>29134601</v>
      </c>
      <c r="B534" s="43"/>
      <c r="C534" s="51">
        <v>45636</v>
      </c>
      <c r="D534" s="37" t="s">
        <v>7534</v>
      </c>
      <c r="E534" s="37" t="s">
        <v>7535</v>
      </c>
      <c r="F534" s="45">
        <v>2814316</v>
      </c>
      <c r="G534" s="1">
        <v>359000</v>
      </c>
      <c r="H534" s="1"/>
      <c r="I534" s="43" t="s">
        <v>201</v>
      </c>
      <c r="J534" s="43" t="s">
        <v>202</v>
      </c>
      <c r="K534" s="43" t="s">
        <v>7536</v>
      </c>
      <c r="L534" s="4" t="s">
        <v>7537</v>
      </c>
      <c r="M534" s="7" t="s">
        <v>7538</v>
      </c>
      <c r="N534" s="46">
        <v>8.39</v>
      </c>
      <c r="O534" s="43" t="s">
        <v>18</v>
      </c>
      <c r="P534" s="47" t="s">
        <v>206</v>
      </c>
      <c r="Q534" s="267" t="s">
        <v>5891</v>
      </c>
      <c r="R534" s="47" t="s">
        <v>6561</v>
      </c>
      <c r="S534" s="43">
        <v>3.6</v>
      </c>
      <c r="T534" s="43" t="s">
        <v>4781</v>
      </c>
      <c r="U534" s="43"/>
      <c r="V534" s="43"/>
      <c r="W534" s="43"/>
      <c r="X534" s="1"/>
      <c r="Y534" s="46">
        <v>3.9</v>
      </c>
      <c r="Z534" s="46"/>
      <c r="AA534" s="2"/>
      <c r="AB534" s="43"/>
      <c r="AC534" s="87"/>
      <c r="AD534" s="1"/>
      <c r="AE534" s="3"/>
      <c r="AF534" s="46"/>
      <c r="AG534" s="1"/>
      <c r="AH534" s="43"/>
      <c r="AI534" s="43"/>
      <c r="AJ534" s="43"/>
      <c r="AK534" s="37" t="s">
        <v>7539</v>
      </c>
      <c r="AL534" s="47"/>
      <c r="AM534" s="1">
        <f t="shared" si="23"/>
        <v>42789.034564958281</v>
      </c>
    </row>
    <row r="535" spans="1:39" ht="47.45" hidden="1" customHeight="1">
      <c r="A535" s="187">
        <v>29139906</v>
      </c>
      <c r="B535" s="43"/>
      <c r="C535" s="51">
        <v>45637</v>
      </c>
      <c r="D535" s="37" t="s">
        <v>7540</v>
      </c>
      <c r="E535" s="37" t="s">
        <v>7541</v>
      </c>
      <c r="F535" s="45" t="s">
        <v>7542</v>
      </c>
      <c r="G535" s="16">
        <v>356000</v>
      </c>
      <c r="H535" s="16"/>
      <c r="I535" s="43" t="s">
        <v>5746</v>
      </c>
      <c r="J535" s="43" t="s">
        <v>5266</v>
      </c>
      <c r="K535" s="43" t="s">
        <v>7543</v>
      </c>
      <c r="L535" s="25"/>
      <c r="M535" s="26"/>
      <c r="N535" s="46">
        <v>12.81</v>
      </c>
      <c r="O535" s="43" t="s">
        <v>7544</v>
      </c>
      <c r="P535" s="47"/>
      <c r="Q535" s="267" t="s">
        <v>7545</v>
      </c>
      <c r="R535" s="47"/>
      <c r="S535" s="43">
        <v>7.1999999999999993</v>
      </c>
      <c r="T535" s="43"/>
      <c r="U535" s="43">
        <v>1</v>
      </c>
      <c r="V535" s="43" t="s">
        <v>7546</v>
      </c>
      <c r="W535" s="43"/>
      <c r="X535" s="16"/>
      <c r="Y535" s="46">
        <v>5.44</v>
      </c>
      <c r="Z535" s="46"/>
      <c r="AA535" s="102"/>
      <c r="AB535" s="43"/>
      <c r="AC535" s="87"/>
      <c r="AD535" s="16"/>
      <c r="AE535" s="103"/>
      <c r="AF535" s="46"/>
      <c r="AG535" s="16"/>
      <c r="AH535" s="43"/>
      <c r="AI535" s="43"/>
      <c r="AJ535" s="43"/>
      <c r="AK535" s="37"/>
      <c r="AL535" s="47"/>
      <c r="AM535" s="74">
        <f t="shared" si="23"/>
        <v>27790.788446526149</v>
      </c>
    </row>
    <row r="536" spans="1:39" ht="47.45" hidden="1" customHeight="1">
      <c r="A536" s="194">
        <v>29139975</v>
      </c>
      <c r="B536" s="139"/>
      <c r="C536" s="148">
        <v>45638</v>
      </c>
      <c r="D536" s="60" t="s">
        <v>7547</v>
      </c>
      <c r="E536" s="60" t="s">
        <v>7548</v>
      </c>
      <c r="F536" s="140" t="s">
        <v>7549</v>
      </c>
      <c r="G536" s="150">
        <v>433000</v>
      </c>
      <c r="H536" s="150"/>
      <c r="I536" s="139" t="s">
        <v>2163</v>
      </c>
      <c r="J536" s="139" t="s">
        <v>2786</v>
      </c>
      <c r="K536" s="139" t="s">
        <v>7550</v>
      </c>
      <c r="L536" s="151">
        <v>48.497832000000002</v>
      </c>
      <c r="M536" s="155">
        <v>-67.963893999999996</v>
      </c>
      <c r="N536" s="144">
        <v>166.15</v>
      </c>
      <c r="O536" s="139" t="s">
        <v>36</v>
      </c>
      <c r="P536" s="60" t="s">
        <v>154</v>
      </c>
      <c r="Q536" s="439">
        <v>2</v>
      </c>
      <c r="R536" s="60" t="s">
        <v>7384</v>
      </c>
      <c r="S536" s="139">
        <v>72.5</v>
      </c>
      <c r="T536" s="139" t="s">
        <v>4781</v>
      </c>
      <c r="U536" s="139"/>
      <c r="V536" s="139"/>
      <c r="W536" s="139"/>
      <c r="X536" s="150"/>
      <c r="Y536" s="144">
        <f>Table3[[#This Row],[Superficie totale (ha)]]-Table3[[#This Row],[Superficie cultivée (ha)]]</f>
        <v>93.65</v>
      </c>
      <c r="Z536" s="144"/>
      <c r="AA536" s="152"/>
      <c r="AB536" s="139"/>
      <c r="AC536" s="146"/>
      <c r="AD536" s="150"/>
      <c r="AE536" s="159"/>
      <c r="AF536" s="144"/>
      <c r="AG536" s="150"/>
      <c r="AH536" s="139"/>
      <c r="AI536" s="139"/>
      <c r="AJ536" s="139"/>
      <c r="AK536" s="60"/>
      <c r="AL536" s="60"/>
      <c r="AM536" s="150">
        <f t="shared" si="23"/>
        <v>2606.0788444176947</v>
      </c>
    </row>
    <row r="537" spans="1:39" ht="47.45" hidden="1" customHeight="1">
      <c r="A537" s="187">
        <v>29156518</v>
      </c>
      <c r="B537" s="43"/>
      <c r="C537" s="51">
        <v>45643</v>
      </c>
      <c r="D537" s="37" t="s">
        <v>7551</v>
      </c>
      <c r="E537" s="37" t="s">
        <v>7552</v>
      </c>
      <c r="F537" s="45">
        <v>3022570</v>
      </c>
      <c r="G537" s="16">
        <v>725000</v>
      </c>
      <c r="H537" s="16"/>
      <c r="I537" s="43" t="s">
        <v>5746</v>
      </c>
      <c r="J537" s="43" t="s">
        <v>5227</v>
      </c>
      <c r="K537" s="43" t="s">
        <v>7553</v>
      </c>
      <c r="L537" s="25"/>
      <c r="M537" s="26"/>
      <c r="N537" s="46">
        <v>26.73</v>
      </c>
      <c r="O537" s="43" t="s">
        <v>7554</v>
      </c>
      <c r="P537" s="47"/>
      <c r="Q537" s="267" t="s">
        <v>7555</v>
      </c>
      <c r="R537" s="47"/>
      <c r="S537" s="43">
        <v>11.700000000000001</v>
      </c>
      <c r="T537" s="43"/>
      <c r="U537" s="43">
        <v>1</v>
      </c>
      <c r="V537" s="43" t="s">
        <v>7556</v>
      </c>
      <c r="W537" s="43"/>
      <c r="X537" s="16"/>
      <c r="Y537" s="46">
        <v>15.03</v>
      </c>
      <c r="Z537" s="46"/>
      <c r="AA537" s="102"/>
      <c r="AB537" s="43"/>
      <c r="AC537" s="87"/>
      <c r="AD537" s="16"/>
      <c r="AE537" s="103"/>
      <c r="AF537" s="46"/>
      <c r="AG537" s="16"/>
      <c r="AH537" s="43"/>
      <c r="AI537" s="43"/>
      <c r="AJ537" s="43"/>
      <c r="AK537" s="37"/>
      <c r="AL537" s="47"/>
      <c r="AM537" s="74">
        <f t="shared" si="23"/>
        <v>27123.082678638235</v>
      </c>
    </row>
    <row r="538" spans="1:39" ht="47.45" hidden="1" customHeight="1">
      <c r="A538" s="196">
        <v>29157595</v>
      </c>
      <c r="C538" s="317">
        <v>45644</v>
      </c>
      <c r="D538" s="239" t="s">
        <v>7557</v>
      </c>
      <c r="E538" s="239" t="s">
        <v>4789</v>
      </c>
      <c r="F538" t="s">
        <v>7558</v>
      </c>
      <c r="G538" s="94">
        <v>660000</v>
      </c>
      <c r="I538" t="s">
        <v>6414</v>
      </c>
      <c r="J538" s="239" t="s">
        <v>7559</v>
      </c>
      <c r="L538" s="96">
        <v>46.113903000000001</v>
      </c>
      <c r="M538" s="96">
        <v>-73.144408999999996</v>
      </c>
      <c r="N538" s="63">
        <v>25.98</v>
      </c>
      <c r="O538" t="s">
        <v>18</v>
      </c>
      <c r="P538" t="s">
        <v>206</v>
      </c>
      <c r="Q538" s="436" t="s">
        <v>6884</v>
      </c>
      <c r="R538" t="s">
        <v>4669</v>
      </c>
      <c r="S538">
        <v>24.6</v>
      </c>
      <c r="T538" s="139" t="s">
        <v>4596</v>
      </c>
      <c r="Y538" s="63">
        <v>0</v>
      </c>
      <c r="AK538" t="s">
        <v>7560</v>
      </c>
      <c r="AM538" s="1">
        <f t="shared" si="23"/>
        <v>25404.157043879906</v>
      </c>
    </row>
    <row r="539" spans="1:39" ht="47.45" customHeight="1">
      <c r="A539" s="187">
        <v>29157029</v>
      </c>
      <c r="B539" s="43"/>
      <c r="C539" s="51">
        <v>45644</v>
      </c>
      <c r="D539" s="37" t="s">
        <v>7561</v>
      </c>
      <c r="E539" s="37" t="s">
        <v>7562</v>
      </c>
      <c r="F539" s="45">
        <v>3374487</v>
      </c>
      <c r="G539" s="16" t="s">
        <v>7563</v>
      </c>
      <c r="H539" s="16"/>
      <c r="I539" s="43"/>
      <c r="J539" s="43" t="s">
        <v>7564</v>
      </c>
      <c r="K539" s="43">
        <v>0</v>
      </c>
      <c r="L539" s="25"/>
      <c r="M539" s="26"/>
      <c r="N539" s="46"/>
      <c r="O539" s="43"/>
      <c r="P539" s="47"/>
      <c r="Q539" s="267"/>
      <c r="R539" s="47"/>
      <c r="S539" s="43"/>
      <c r="T539" s="43"/>
      <c r="U539" s="43"/>
      <c r="V539" s="43"/>
      <c r="W539" s="43"/>
      <c r="X539" s="16"/>
      <c r="Y539" s="46"/>
      <c r="Z539" s="46"/>
      <c r="AA539" s="102"/>
      <c r="AB539" s="43"/>
      <c r="AC539" s="87"/>
      <c r="AD539" s="16"/>
      <c r="AE539" s="103"/>
      <c r="AF539" s="46"/>
      <c r="AG539" s="16"/>
      <c r="AH539" s="43"/>
      <c r="AI539" s="43"/>
      <c r="AJ539" s="43" t="s">
        <v>7565</v>
      </c>
      <c r="AK539" s="37"/>
      <c r="AL539" s="47"/>
      <c r="AM539" s="74" t="e">
        <f t="shared" si="23"/>
        <v>#VALUE!</v>
      </c>
    </row>
    <row r="540" spans="1:39" ht="47.45" customHeight="1">
      <c r="A540" s="187">
        <v>29161505</v>
      </c>
      <c r="B540" s="43"/>
      <c r="C540" s="51">
        <v>45644</v>
      </c>
      <c r="D540" s="37" t="s">
        <v>7566</v>
      </c>
      <c r="E540" s="37" t="s">
        <v>7567</v>
      </c>
      <c r="F540" s="45" t="s">
        <v>7568</v>
      </c>
      <c r="G540" s="16" t="s">
        <v>7569</v>
      </c>
      <c r="H540" s="16"/>
      <c r="I540" s="43"/>
      <c r="J540" s="43" t="s">
        <v>4656</v>
      </c>
      <c r="K540" s="43" t="s">
        <v>7570</v>
      </c>
      <c r="L540" s="25"/>
      <c r="M540" s="26"/>
      <c r="N540" s="46"/>
      <c r="O540" s="43"/>
      <c r="P540" s="47"/>
      <c r="Q540" s="267"/>
      <c r="R540" s="47"/>
      <c r="S540" s="43"/>
      <c r="T540" s="43"/>
      <c r="U540" s="43"/>
      <c r="V540" s="43"/>
      <c r="W540" s="43"/>
      <c r="X540" s="16"/>
      <c r="Y540" s="46"/>
      <c r="Z540" s="46"/>
      <c r="AA540" s="102"/>
      <c r="AB540" s="43"/>
      <c r="AC540" s="87"/>
      <c r="AD540" s="16"/>
      <c r="AE540" s="103"/>
      <c r="AF540" s="46"/>
      <c r="AG540" s="16"/>
      <c r="AH540" s="43"/>
      <c r="AI540" s="43"/>
      <c r="AJ540" s="43" t="s">
        <v>7304</v>
      </c>
      <c r="AK540" s="37"/>
      <c r="AL540" s="47"/>
      <c r="AM540" s="74" t="e">
        <f t="shared" si="23"/>
        <v>#VALUE!</v>
      </c>
    </row>
    <row r="541" spans="1:39" ht="47.45" hidden="1" customHeight="1">
      <c r="A541" s="239" t="s">
        <v>7571</v>
      </c>
      <c r="C541" s="317">
        <v>45644</v>
      </c>
      <c r="D541" s="247" t="s">
        <v>7572</v>
      </c>
      <c r="E541" s="247" t="s">
        <v>7573</v>
      </c>
      <c r="F541" t="s">
        <v>7574</v>
      </c>
      <c r="G541" s="94">
        <v>4485000</v>
      </c>
      <c r="I541" t="s">
        <v>1597</v>
      </c>
      <c r="J541" t="s">
        <v>3298</v>
      </c>
      <c r="L541" s="96">
        <v>45.282344000000002</v>
      </c>
      <c r="M541" s="96">
        <v>-72.187202999999997</v>
      </c>
      <c r="N541" s="63">
        <v>8.39</v>
      </c>
      <c r="O541" t="s">
        <v>25</v>
      </c>
      <c r="P541" t="s">
        <v>35</v>
      </c>
      <c r="Q541" s="436">
        <v>4</v>
      </c>
      <c r="R541" t="s">
        <v>4620</v>
      </c>
      <c r="S541">
        <v>7.6</v>
      </c>
      <c r="T541" t="s">
        <v>6609</v>
      </c>
      <c r="AK541" t="s">
        <v>7575</v>
      </c>
      <c r="AM541" s="1">
        <f t="shared" si="23"/>
        <v>534564.95828367095</v>
      </c>
    </row>
    <row r="542" spans="1:39" ht="47.45" hidden="1" customHeight="1">
      <c r="A542" s="196">
        <v>29159916</v>
      </c>
      <c r="C542" s="317">
        <v>45645</v>
      </c>
      <c r="D542" s="239" t="s">
        <v>7576</v>
      </c>
      <c r="E542" s="239" t="s">
        <v>7577</v>
      </c>
      <c r="F542" s="239" t="s">
        <v>7578</v>
      </c>
      <c r="G542" s="62">
        <v>350000</v>
      </c>
      <c r="H542" s="62"/>
      <c r="I542" t="s">
        <v>321</v>
      </c>
      <c r="J542" t="s">
        <v>321</v>
      </c>
      <c r="K542" s="239" t="s">
        <v>7579</v>
      </c>
      <c r="L542" s="288"/>
      <c r="M542" s="288"/>
      <c r="N542" s="63">
        <v>17.149999999999999</v>
      </c>
      <c r="O542" t="s">
        <v>18</v>
      </c>
      <c r="P542" t="s">
        <v>35</v>
      </c>
      <c r="Q542" s="436">
        <v>2</v>
      </c>
      <c r="R542" t="s">
        <v>4669</v>
      </c>
      <c r="S542">
        <v>16.7</v>
      </c>
      <c r="T542" s="43" t="s">
        <v>4596</v>
      </c>
      <c r="X542" s="62"/>
      <c r="Y542" s="63">
        <v>0</v>
      </c>
      <c r="AA542" s="64"/>
      <c r="AD542" s="62"/>
      <c r="AE542" s="62"/>
      <c r="AG542" s="62"/>
      <c r="AK542" t="s">
        <v>7580</v>
      </c>
      <c r="AM542" s="16">
        <f t="shared" si="23"/>
        <v>20408.163265306124</v>
      </c>
    </row>
    <row r="543" spans="1:39" ht="47.45" hidden="1" customHeight="1">
      <c r="A543" s="196">
        <v>29161150</v>
      </c>
      <c r="C543" s="317">
        <v>45645</v>
      </c>
      <c r="D543" s="239"/>
      <c r="E543" s="239"/>
      <c r="F543" s="239" t="s">
        <v>7581</v>
      </c>
      <c r="G543" s="94">
        <v>620000</v>
      </c>
      <c r="N543" s="63">
        <v>26.19</v>
      </c>
      <c r="AM543" s="1">
        <f t="shared" si="23"/>
        <v>23673.157693776251</v>
      </c>
    </row>
    <row r="544" spans="1:39" ht="47.45" hidden="1" customHeight="1">
      <c r="A544" s="196">
        <v>29161003</v>
      </c>
      <c r="C544" s="317">
        <v>45645</v>
      </c>
      <c r="D544" t="s">
        <v>7582</v>
      </c>
      <c r="E544" t="s">
        <v>7583</v>
      </c>
      <c r="F544" t="s">
        <v>7584</v>
      </c>
      <c r="G544" s="94">
        <v>9555999</v>
      </c>
      <c r="I544" t="s">
        <v>611</v>
      </c>
      <c r="J544" t="s">
        <v>6241</v>
      </c>
      <c r="K544" t="s">
        <v>6242</v>
      </c>
      <c r="L544">
        <v>45.187027</v>
      </c>
      <c r="M544" s="96">
        <v>-73.219693000000007</v>
      </c>
      <c r="N544" s="63">
        <v>141.31</v>
      </c>
      <c r="O544" t="s">
        <v>18</v>
      </c>
      <c r="P544" t="s">
        <v>35</v>
      </c>
      <c r="Q544" s="436" t="s">
        <v>7585</v>
      </c>
      <c r="R544" t="s">
        <v>7586</v>
      </c>
      <c r="S544">
        <v>135.1</v>
      </c>
      <c r="U544">
        <f>Table3[[#This Row],[Superficie cultivée (ha)]]</f>
        <v>135.1</v>
      </c>
      <c r="V544" s="43" t="s">
        <v>5038</v>
      </c>
      <c r="W544" s="43"/>
      <c r="AK544" t="s">
        <v>7587</v>
      </c>
      <c r="AM544" s="1">
        <f t="shared" si="23"/>
        <v>67624.364871558981</v>
      </c>
    </row>
    <row r="545" spans="1:39" ht="47.45" hidden="1" customHeight="1">
      <c r="A545" s="187">
        <v>29162087</v>
      </c>
      <c r="B545" s="43"/>
      <c r="C545" s="51">
        <v>45645</v>
      </c>
      <c r="D545" s="37" t="s">
        <v>7588</v>
      </c>
      <c r="E545" s="37" t="s">
        <v>7589</v>
      </c>
      <c r="F545" s="45">
        <v>2048969</v>
      </c>
      <c r="G545" s="16">
        <v>2225550</v>
      </c>
      <c r="H545" s="16"/>
      <c r="I545" s="43" t="s">
        <v>4911</v>
      </c>
      <c r="J545" s="43" t="s">
        <v>4912</v>
      </c>
      <c r="K545" s="43">
        <v>0</v>
      </c>
      <c r="L545" s="25"/>
      <c r="M545" s="26"/>
      <c r="N545" s="46" t="s">
        <v>7590</v>
      </c>
      <c r="O545" s="43"/>
      <c r="P545" s="47"/>
      <c r="Q545" s="267"/>
      <c r="R545" s="47"/>
      <c r="S545" s="43"/>
      <c r="T545" s="43"/>
      <c r="U545" s="43"/>
      <c r="V545" s="43"/>
      <c r="W545" s="43"/>
      <c r="X545" s="16"/>
      <c r="Y545" s="46"/>
      <c r="Z545" s="46"/>
      <c r="AA545" s="102"/>
      <c r="AB545" s="43"/>
      <c r="AC545" s="87"/>
      <c r="AD545" s="16"/>
      <c r="AE545" s="103"/>
      <c r="AF545" s="46"/>
      <c r="AG545" s="16"/>
      <c r="AH545" s="43"/>
      <c r="AI545" s="43"/>
      <c r="AJ545" s="43" t="s">
        <v>5150</v>
      </c>
      <c r="AK545" s="37"/>
      <c r="AL545" s="47"/>
      <c r="AM545" s="74">
        <f t="shared" si="23"/>
        <v>75010.111223458036</v>
      </c>
    </row>
    <row r="546" spans="1:39" ht="47.45" hidden="1" customHeight="1">
      <c r="A546" s="196">
        <v>29166952</v>
      </c>
      <c r="C546" s="317">
        <v>45646</v>
      </c>
      <c r="D546" s="249" t="s">
        <v>7591</v>
      </c>
      <c r="E546" s="249" t="s">
        <v>7592</v>
      </c>
      <c r="F546" t="s">
        <v>7593</v>
      </c>
      <c r="G546" s="94">
        <v>800000</v>
      </c>
      <c r="I546" t="s">
        <v>6414</v>
      </c>
      <c r="J546" s="239" t="s">
        <v>7559</v>
      </c>
      <c r="L546" s="96">
        <v>46.100459000000001</v>
      </c>
      <c r="M546" s="96">
        <v>-73.186036000000001</v>
      </c>
      <c r="N546" s="63">
        <v>19.86</v>
      </c>
      <c r="O546" t="s">
        <v>18</v>
      </c>
      <c r="P546" t="s">
        <v>206</v>
      </c>
      <c r="Q546" s="436">
        <v>2</v>
      </c>
      <c r="R546" t="s">
        <v>4669</v>
      </c>
      <c r="S546">
        <v>18.8</v>
      </c>
      <c r="T546" s="139" t="s">
        <v>4596</v>
      </c>
      <c r="Y546" s="63">
        <v>0</v>
      </c>
      <c r="AK546" t="s">
        <v>7594</v>
      </c>
      <c r="AM546" s="1">
        <f t="shared" si="23"/>
        <v>40281.973816717022</v>
      </c>
    </row>
    <row r="547" spans="1:39" ht="47.45" customHeight="1">
      <c r="A547" s="187">
        <v>29166488</v>
      </c>
      <c r="B547" s="43"/>
      <c r="C547" s="51">
        <v>45646</v>
      </c>
      <c r="D547" s="37" t="s">
        <v>7595</v>
      </c>
      <c r="E547" s="37" t="s">
        <v>7596</v>
      </c>
      <c r="F547" s="45">
        <v>2538118</v>
      </c>
      <c r="G547" s="16">
        <v>691470</v>
      </c>
      <c r="H547" s="16"/>
      <c r="I547" s="43"/>
      <c r="J547" s="43" t="s">
        <v>6597</v>
      </c>
      <c r="K547" s="43">
        <v>0</v>
      </c>
      <c r="L547" s="25"/>
      <c r="M547" s="26"/>
      <c r="N547" s="46"/>
      <c r="O547" s="43"/>
      <c r="P547" s="47"/>
      <c r="Q547" s="267"/>
      <c r="R547" s="47"/>
      <c r="S547" s="43"/>
      <c r="T547" s="43"/>
      <c r="U547" s="43"/>
      <c r="V547" s="43"/>
      <c r="W547" s="43"/>
      <c r="X547" s="16"/>
      <c r="Y547" s="46"/>
      <c r="Z547" s="46"/>
      <c r="AA547" s="102"/>
      <c r="AB547" s="43"/>
      <c r="AC547" s="87"/>
      <c r="AD547" s="16"/>
      <c r="AE547" s="103"/>
      <c r="AF547" s="46"/>
      <c r="AG547" s="16"/>
      <c r="AH547" s="43"/>
      <c r="AI547" s="43"/>
      <c r="AJ547" s="43" t="s">
        <v>5150</v>
      </c>
      <c r="AK547" s="37"/>
      <c r="AL547" s="47"/>
      <c r="AM547" s="74" t="e">
        <f t="shared" si="23"/>
        <v>#DIV/0!</v>
      </c>
    </row>
    <row r="548" spans="1:39" ht="47.45" hidden="1" customHeight="1">
      <c r="A548" s="196">
        <v>29186914</v>
      </c>
      <c r="C548" s="317">
        <v>45671</v>
      </c>
      <c r="D548" s="249" t="s">
        <v>7597</v>
      </c>
      <c r="E548" s="249" t="s">
        <v>7598</v>
      </c>
      <c r="F548" t="s">
        <v>7599</v>
      </c>
      <c r="G548" s="94">
        <v>250000</v>
      </c>
      <c r="I548" t="s">
        <v>321</v>
      </c>
      <c r="J548" t="s">
        <v>7600</v>
      </c>
      <c r="K548" s="249" t="s">
        <v>7601</v>
      </c>
      <c r="N548" s="63">
        <v>26.24</v>
      </c>
      <c r="O548" t="s">
        <v>18</v>
      </c>
      <c r="P548" t="s">
        <v>35</v>
      </c>
      <c r="Q548" s="436">
        <v>3</v>
      </c>
      <c r="R548" t="s">
        <v>7200</v>
      </c>
      <c r="S548">
        <v>7.3</v>
      </c>
      <c r="T548" s="43" t="s">
        <v>4596</v>
      </c>
      <c r="Y548" s="63">
        <v>16.940000000000001</v>
      </c>
      <c r="AK548" t="s">
        <v>7602</v>
      </c>
      <c r="AM548" s="1">
        <f t="shared" si="23"/>
        <v>9527.4390243902453</v>
      </c>
    </row>
    <row r="549" spans="1:39" ht="47.45" hidden="1" customHeight="1">
      <c r="A549" s="196">
        <v>29186481</v>
      </c>
      <c r="C549" s="317">
        <v>45671</v>
      </c>
      <c r="D549" t="s">
        <v>7603</v>
      </c>
      <c r="E549" t="s">
        <v>7604</v>
      </c>
      <c r="F549" t="s">
        <v>7605</v>
      </c>
      <c r="G549" s="94">
        <v>1288000</v>
      </c>
      <c r="I549" t="s">
        <v>192</v>
      </c>
      <c r="J549" t="s">
        <v>2599</v>
      </c>
      <c r="K549" t="s">
        <v>7606</v>
      </c>
      <c r="L549" s="96" t="s">
        <v>7607</v>
      </c>
      <c r="M549" s="245" t="s">
        <v>7608</v>
      </c>
      <c r="N549" s="63">
        <f>13.98+13.59</f>
        <v>27.57</v>
      </c>
      <c r="O549" s="43" t="s">
        <v>36</v>
      </c>
      <c r="P549" t="s">
        <v>35</v>
      </c>
      <c r="Q549" s="436">
        <v>3</v>
      </c>
      <c r="R549" t="s">
        <v>155</v>
      </c>
      <c r="S549" s="63">
        <f>Table3[[#This Row],[Superficie totale (ha)]]-0.5-0.3-0.5-0.7</f>
        <v>25.57</v>
      </c>
      <c r="V549" s="63">
        <f>Table3[[#This Row],[Superficie cultivée (ha)]]</f>
        <v>25.57</v>
      </c>
      <c r="W549" s="63"/>
      <c r="Y549" s="63">
        <v>0.3</v>
      </c>
      <c r="AK549" t="s">
        <v>7609</v>
      </c>
      <c r="AM549" s="1">
        <f t="shared" si="23"/>
        <v>46717.446499818645</v>
      </c>
    </row>
    <row r="550" spans="1:39" ht="47.45" hidden="1" customHeight="1">
      <c r="A550" s="196">
        <v>29187988</v>
      </c>
      <c r="C550" s="317">
        <v>45671</v>
      </c>
      <c r="D550" t="s">
        <v>7610</v>
      </c>
      <c r="E550" t="s">
        <v>7611</v>
      </c>
      <c r="F550" t="s">
        <v>7612</v>
      </c>
      <c r="G550" s="94">
        <v>2400000</v>
      </c>
      <c r="I550" t="s">
        <v>192</v>
      </c>
      <c r="J550" t="s">
        <v>3198</v>
      </c>
      <c r="K550" t="s">
        <v>7613</v>
      </c>
      <c r="L550" s="96" t="s">
        <v>7614</v>
      </c>
      <c r="M550" s="245" t="s">
        <v>7615</v>
      </c>
      <c r="N550" s="63">
        <f>29.41+1.63+9.81</f>
        <v>40.85</v>
      </c>
      <c r="O550" s="43" t="s">
        <v>36</v>
      </c>
      <c r="P550" t="s">
        <v>35</v>
      </c>
      <c r="Q550" s="436">
        <v>2</v>
      </c>
      <c r="R550" t="s">
        <v>4669</v>
      </c>
      <c r="S550">
        <f>18.6+9.5+9.3+0.6-0.4</f>
        <v>37.600000000000009</v>
      </c>
      <c r="V550">
        <f>Table3[[#This Row],[Superficie cultivée (ha)]]</f>
        <v>37.600000000000009</v>
      </c>
      <c r="AK550" t="s">
        <v>1328</v>
      </c>
      <c r="AM550" s="1">
        <f t="shared" si="23"/>
        <v>58751.529987760099</v>
      </c>
    </row>
    <row r="551" spans="1:39" ht="47.45" hidden="1" customHeight="1">
      <c r="A551" s="196">
        <v>29192447</v>
      </c>
      <c r="C551" s="317">
        <v>45673</v>
      </c>
      <c r="D551" t="s">
        <v>7616</v>
      </c>
      <c r="E551" t="s">
        <v>7617</v>
      </c>
      <c r="F551" t="s">
        <v>7618</v>
      </c>
      <c r="G551" s="62">
        <v>725000</v>
      </c>
      <c r="H551" s="62"/>
      <c r="I551" t="s">
        <v>6023</v>
      </c>
      <c r="J551" t="s">
        <v>7619</v>
      </c>
      <c r="K551" s="20" t="s">
        <v>7620</v>
      </c>
      <c r="L551" s="288" t="s">
        <v>7621</v>
      </c>
      <c r="M551" s="289" t="s">
        <v>7622</v>
      </c>
      <c r="N551" s="63">
        <f>6.03+5.3</f>
        <v>11.33</v>
      </c>
      <c r="O551" t="s">
        <v>18</v>
      </c>
      <c r="P551" t="s">
        <v>35</v>
      </c>
      <c r="Q551" s="436">
        <v>2</v>
      </c>
      <c r="R551" t="s">
        <v>4669</v>
      </c>
      <c r="S551">
        <f>2.6+1.1+2*0.6+0.3+2.3+2.4</f>
        <v>9.9</v>
      </c>
      <c r="T551" t="s">
        <v>3124</v>
      </c>
      <c r="U551">
        <v>0</v>
      </c>
      <c r="X551" s="62"/>
      <c r="AA551" s="64"/>
      <c r="AD551" s="62"/>
      <c r="AE551" s="62"/>
      <c r="AG551" s="62"/>
      <c r="AK551" t="s">
        <v>7623</v>
      </c>
      <c r="AM551" s="16">
        <f t="shared" si="23"/>
        <v>63989.408649602825</v>
      </c>
    </row>
    <row r="552" spans="1:39" ht="47.45" customHeight="1">
      <c r="A552" s="196" t="s">
        <v>7624</v>
      </c>
      <c r="C552" s="317">
        <v>45673</v>
      </c>
      <c r="F552" t="s">
        <v>7625</v>
      </c>
      <c r="G552" s="94">
        <v>5950000</v>
      </c>
      <c r="I552" t="s">
        <v>747</v>
      </c>
      <c r="AM552" s="1" t="e">
        <f t="shared" si="23"/>
        <v>#DIV/0!</v>
      </c>
    </row>
    <row r="553" spans="1:39" ht="47.45" customHeight="1">
      <c r="A553" s="196" t="s">
        <v>7626</v>
      </c>
      <c r="C553" s="317">
        <v>45673</v>
      </c>
      <c r="F553" t="s">
        <v>7627</v>
      </c>
      <c r="G553" s="94">
        <v>4200000</v>
      </c>
      <c r="I553" t="s">
        <v>328</v>
      </c>
      <c r="AM553" s="1" t="e">
        <f t="shared" si="23"/>
        <v>#DIV/0!</v>
      </c>
    </row>
    <row r="554" spans="1:39" ht="47.45" hidden="1" customHeight="1">
      <c r="A554" s="239" t="s">
        <v>7628</v>
      </c>
      <c r="C554" s="317">
        <v>45679</v>
      </c>
      <c r="D554" s="247" t="s">
        <v>7629</v>
      </c>
      <c r="E554" s="247" t="s">
        <v>7630</v>
      </c>
      <c r="F554" t="s">
        <v>7631</v>
      </c>
      <c r="G554" s="94">
        <v>720000</v>
      </c>
      <c r="I554" t="s">
        <v>1629</v>
      </c>
      <c r="J554" t="s">
        <v>7632</v>
      </c>
      <c r="L554" s="96">
        <v>45.648314999999997</v>
      </c>
      <c r="M554" s="96">
        <v>-71.456078000000005</v>
      </c>
      <c r="N554" s="63">
        <v>118.03</v>
      </c>
      <c r="O554" t="s">
        <v>18</v>
      </c>
      <c r="P554" t="s">
        <v>154</v>
      </c>
      <c r="Q554" s="436">
        <v>4</v>
      </c>
      <c r="R554" t="s">
        <v>5056</v>
      </c>
      <c r="S554">
        <f>17.2+1.4+2.6</f>
        <v>21.2</v>
      </c>
      <c r="Y554" s="63">
        <f>Table3[[#This Row],[Superficie totale (ha)]]-Table3[[#This Row],[Superficie cultivée (ha)]]-5</f>
        <v>91.83</v>
      </c>
      <c r="AK554" t="s">
        <v>7633</v>
      </c>
      <c r="AM554" s="1">
        <f t="shared" si="23"/>
        <v>6100.1440311785136</v>
      </c>
    </row>
    <row r="555" spans="1:39" ht="47.45" hidden="1" customHeight="1">
      <c r="A555" s="196">
        <v>29211876</v>
      </c>
      <c r="C555" s="317">
        <v>45681</v>
      </c>
      <c r="D555" s="239" t="s">
        <v>7634</v>
      </c>
      <c r="E555" s="239" t="s">
        <v>7635</v>
      </c>
      <c r="F555" s="239" t="s">
        <v>7636</v>
      </c>
      <c r="G555" s="94">
        <v>55000</v>
      </c>
      <c r="I555" t="s">
        <v>16</v>
      </c>
      <c r="J555" t="s">
        <v>7637</v>
      </c>
      <c r="N555" s="63">
        <v>11.42</v>
      </c>
      <c r="O555" t="s">
        <v>18</v>
      </c>
      <c r="P555" t="s">
        <v>35</v>
      </c>
      <c r="Q555" s="436">
        <v>3</v>
      </c>
      <c r="R555" t="s">
        <v>155</v>
      </c>
      <c r="S555">
        <f>2.8+1.6</f>
        <v>4.4000000000000004</v>
      </c>
      <c r="T555" t="s">
        <v>5103</v>
      </c>
      <c r="Y555" s="63">
        <f>11.42-4.4</f>
        <v>7.02</v>
      </c>
      <c r="AK555" t="s">
        <v>7638</v>
      </c>
      <c r="AM555" s="1">
        <f t="shared" si="23"/>
        <v>4816.1120840630474</v>
      </c>
    </row>
    <row r="556" spans="1:39" ht="47.45" hidden="1" customHeight="1">
      <c r="A556" s="196" t="s">
        <v>7639</v>
      </c>
      <c r="C556" s="19">
        <v>45681</v>
      </c>
      <c r="F556" t="s">
        <v>7640</v>
      </c>
      <c r="G556" s="94">
        <v>800000</v>
      </c>
      <c r="I556" t="s">
        <v>476</v>
      </c>
      <c r="N556" s="369">
        <v>38.21</v>
      </c>
      <c r="S556" s="50">
        <v>22.1</v>
      </c>
      <c r="Y556" s="63">
        <v>14.1</v>
      </c>
      <c r="AM556" s="1">
        <f t="shared" si="23"/>
        <v>20936.92750588851</v>
      </c>
    </row>
    <row r="557" spans="1:39" ht="47.45" customHeight="1">
      <c r="A557" s="196" t="s">
        <v>7641</v>
      </c>
      <c r="C557" s="317">
        <v>45681</v>
      </c>
      <c r="F557" t="s">
        <v>7642</v>
      </c>
      <c r="G557" s="94">
        <v>229000</v>
      </c>
      <c r="I557" t="s">
        <v>722</v>
      </c>
      <c r="J557" t="s">
        <v>4565</v>
      </c>
      <c r="L557" s="96">
        <v>46.392758999999998</v>
      </c>
      <c r="M557" s="245" t="s">
        <v>8658</v>
      </c>
      <c r="N557" s="63">
        <v>31.97</v>
      </c>
      <c r="O557" t="s">
        <v>18</v>
      </c>
      <c r="P557" t="s">
        <v>35</v>
      </c>
      <c r="Q557" s="436" t="s">
        <v>4771</v>
      </c>
      <c r="R557" t="s">
        <v>4760</v>
      </c>
      <c r="S557">
        <v>9.3000000000000007</v>
      </c>
      <c r="T557" t="s">
        <v>4773</v>
      </c>
      <c r="AM557" s="1">
        <f t="shared" si="23"/>
        <v>7162.9652799499536</v>
      </c>
    </row>
    <row r="558" spans="1:39" ht="47.45" customHeight="1">
      <c r="A558" s="196" t="s">
        <v>7643</v>
      </c>
      <c r="C558" s="317">
        <v>45684</v>
      </c>
      <c r="F558" t="s">
        <v>7644</v>
      </c>
      <c r="I558" t="s">
        <v>2594</v>
      </c>
      <c r="AM558" s="1" t="e">
        <f t="shared" si="23"/>
        <v>#DIV/0!</v>
      </c>
    </row>
    <row r="559" spans="1:39" ht="47.45" customHeight="1">
      <c r="A559" s="196" t="s">
        <v>7645</v>
      </c>
      <c r="C559" s="317">
        <v>45684</v>
      </c>
      <c r="F559" t="s">
        <v>7646</v>
      </c>
      <c r="G559" s="94">
        <v>155000</v>
      </c>
      <c r="I559" t="s">
        <v>747</v>
      </c>
      <c r="AM559" s="1" t="e">
        <f t="shared" si="23"/>
        <v>#DIV/0!</v>
      </c>
    </row>
    <row r="560" spans="1:39" ht="47.45" customHeight="1">
      <c r="A560" s="196" t="s">
        <v>7647</v>
      </c>
      <c r="C560" s="317">
        <v>45687</v>
      </c>
      <c r="F560" t="s">
        <v>7648</v>
      </c>
      <c r="G560" s="94">
        <v>3145000</v>
      </c>
      <c r="I560" t="s">
        <v>747</v>
      </c>
      <c r="AM560" s="1" t="e">
        <f t="shared" si="23"/>
        <v>#DIV/0!</v>
      </c>
    </row>
    <row r="561" spans="1:39" ht="47.45" hidden="1" customHeight="1">
      <c r="A561" s="196">
        <v>29226319</v>
      </c>
      <c r="C561" s="317">
        <v>45688</v>
      </c>
      <c r="D561" s="247" t="s">
        <v>7649</v>
      </c>
      <c r="E561" s="247" t="s">
        <v>7650</v>
      </c>
      <c r="F561" t="s">
        <v>7651</v>
      </c>
      <c r="G561" s="62">
        <v>350000</v>
      </c>
      <c r="H561" s="62"/>
      <c r="I561" t="s">
        <v>321</v>
      </c>
      <c r="J561" t="s">
        <v>7184</v>
      </c>
      <c r="K561" s="249" t="s">
        <v>7185</v>
      </c>
      <c r="L561" s="288"/>
      <c r="M561" s="288"/>
      <c r="N561" s="63">
        <v>37.729999999999997</v>
      </c>
      <c r="O561" t="s">
        <v>18</v>
      </c>
      <c r="P561" s="47" t="s">
        <v>154</v>
      </c>
      <c r="Q561" s="436">
        <v>2</v>
      </c>
      <c r="R561" t="s">
        <v>4710</v>
      </c>
      <c r="S561">
        <v>21.1</v>
      </c>
      <c r="T561" t="s">
        <v>3124</v>
      </c>
      <c r="X561" s="62"/>
      <c r="Y561" s="63">
        <v>13.63</v>
      </c>
      <c r="AA561" s="64"/>
      <c r="AD561" s="62"/>
      <c r="AE561" s="62"/>
      <c r="AG561" s="62"/>
      <c r="AK561" t="s">
        <v>7652</v>
      </c>
      <c r="AM561" s="16">
        <f t="shared" si="23"/>
        <v>9276.4378478664203</v>
      </c>
    </row>
    <row r="562" spans="1:39" ht="47.45" customHeight="1">
      <c r="A562" s="196" t="s">
        <v>7653</v>
      </c>
      <c r="C562" s="317">
        <v>45688</v>
      </c>
      <c r="F562" t="s">
        <v>7654</v>
      </c>
      <c r="I562" t="s">
        <v>722</v>
      </c>
      <c r="AM562" s="1" t="e">
        <f t="shared" si="23"/>
        <v>#DIV/0!</v>
      </c>
    </row>
    <row r="563" spans="1:39" ht="47.45" customHeight="1">
      <c r="A563" s="196" t="s">
        <v>7655</v>
      </c>
      <c r="C563" s="317">
        <v>45691</v>
      </c>
      <c r="F563" t="s">
        <v>7656</v>
      </c>
      <c r="I563" t="s">
        <v>328</v>
      </c>
      <c r="AM563" s="1" t="e">
        <f t="shared" si="23"/>
        <v>#DIV/0!</v>
      </c>
    </row>
    <row r="564" spans="1:39" ht="47.45" hidden="1" customHeight="1">
      <c r="A564" s="187">
        <v>29231341</v>
      </c>
      <c r="B564" s="43"/>
      <c r="C564" s="51">
        <v>45692</v>
      </c>
      <c r="D564" s="247" t="s">
        <v>7657</v>
      </c>
      <c r="E564" s="247" t="s">
        <v>7658</v>
      </c>
      <c r="F564" s="247" t="s">
        <v>7659</v>
      </c>
      <c r="G564" s="16">
        <v>70000</v>
      </c>
      <c r="H564" s="16"/>
      <c r="I564" s="43" t="s">
        <v>654</v>
      </c>
      <c r="J564" s="43" t="s">
        <v>2830</v>
      </c>
      <c r="K564" s="43"/>
      <c r="L564" s="25">
        <v>46.699179999999998</v>
      </c>
      <c r="M564" s="26">
        <v>-71.681892000000005</v>
      </c>
      <c r="N564" s="46">
        <v>4.0199999999999996</v>
      </c>
      <c r="O564" s="43" t="s">
        <v>18</v>
      </c>
      <c r="P564" s="47" t="s">
        <v>6201</v>
      </c>
      <c r="Q564" s="267">
        <v>4</v>
      </c>
      <c r="R564" s="47" t="s">
        <v>4865</v>
      </c>
      <c r="S564" s="43">
        <v>3.52</v>
      </c>
      <c r="T564" s="43" t="s">
        <v>4596</v>
      </c>
      <c r="U564" s="43"/>
      <c r="V564" s="43"/>
      <c r="W564" s="43"/>
      <c r="X564" s="16"/>
      <c r="Y564" s="46">
        <v>0</v>
      </c>
      <c r="Z564" s="46"/>
      <c r="AA564" s="102"/>
      <c r="AB564" s="43"/>
      <c r="AC564" s="87"/>
      <c r="AD564" s="16"/>
      <c r="AE564" s="103"/>
      <c r="AF564" s="46"/>
      <c r="AG564" s="16"/>
      <c r="AH564" s="43"/>
      <c r="AI564" s="43"/>
      <c r="AJ564" s="43"/>
      <c r="AK564" s="37" t="s">
        <v>7660</v>
      </c>
      <c r="AL564" s="47"/>
      <c r="AM564" s="16">
        <f t="shared" si="23"/>
        <v>17412.935323383088</v>
      </c>
    </row>
    <row r="565" spans="1:39" ht="47.45" customHeight="1">
      <c r="A565" s="196" t="s">
        <v>7661</v>
      </c>
      <c r="C565" s="317">
        <v>45693</v>
      </c>
      <c r="F565" t="s">
        <v>7662</v>
      </c>
      <c r="G565" s="94">
        <v>350000</v>
      </c>
      <c r="I565" t="s">
        <v>556</v>
      </c>
      <c r="J565" t="s">
        <v>3328</v>
      </c>
    </row>
    <row r="566" spans="1:39" ht="47.45" hidden="1" customHeight="1">
      <c r="A566" s="196">
        <v>29426997</v>
      </c>
      <c r="C566" s="317">
        <v>45697</v>
      </c>
      <c r="D566" s="239" t="s">
        <v>7663</v>
      </c>
      <c r="E566" s="239" t="s">
        <v>7664</v>
      </c>
      <c r="F566" t="s">
        <v>7665</v>
      </c>
      <c r="G566" s="94">
        <v>1079346</v>
      </c>
      <c r="I566" t="s">
        <v>16</v>
      </c>
      <c r="J566" t="s">
        <v>2233</v>
      </c>
      <c r="L566" s="96">
        <v>46.635406000000003</v>
      </c>
      <c r="M566" s="96">
        <v>70.913182000000006</v>
      </c>
      <c r="N566" s="63">
        <v>47.88</v>
      </c>
      <c r="O566" t="s">
        <v>18</v>
      </c>
      <c r="P566" s="47" t="s">
        <v>154</v>
      </c>
      <c r="Q566" s="436">
        <v>3</v>
      </c>
      <c r="R566" t="s">
        <v>4946</v>
      </c>
      <c r="S566">
        <v>22.1</v>
      </c>
      <c r="Y566" s="63">
        <f>47.88-22.1</f>
        <v>25.78</v>
      </c>
      <c r="AK566" t="s">
        <v>7666</v>
      </c>
      <c r="AM566" s="1">
        <f t="shared" ref="AM566:AM605" si="24">G566/N566</f>
        <v>22542.731829573935</v>
      </c>
    </row>
    <row r="567" spans="1:39" ht="47.45" hidden="1" customHeight="1">
      <c r="A567" s="196" t="s">
        <v>7667</v>
      </c>
      <c r="C567" s="317">
        <v>45700</v>
      </c>
      <c r="F567" t="s">
        <v>7668</v>
      </c>
      <c r="G567" s="94">
        <v>1100000</v>
      </c>
      <c r="I567" t="s">
        <v>476</v>
      </c>
      <c r="N567" s="63">
        <f>10.05+5.53</f>
        <v>15.580000000000002</v>
      </c>
      <c r="S567">
        <v>15</v>
      </c>
      <c r="Y567" s="63">
        <v>0</v>
      </c>
      <c r="AM567" s="1">
        <f t="shared" si="24"/>
        <v>70603.337612323478</v>
      </c>
    </row>
    <row r="568" spans="1:39" ht="47.45" hidden="1" customHeight="1">
      <c r="A568" s="196">
        <v>29250068</v>
      </c>
      <c r="C568" s="317">
        <v>45701</v>
      </c>
      <c r="D568" t="s">
        <v>7669</v>
      </c>
      <c r="E568" t="s">
        <v>7670</v>
      </c>
      <c r="F568" s="269">
        <v>6645557</v>
      </c>
      <c r="G568" s="94">
        <v>410000</v>
      </c>
      <c r="I568" t="s">
        <v>1629</v>
      </c>
      <c r="J568" t="s">
        <v>1630</v>
      </c>
      <c r="K568" t="s">
        <v>7671</v>
      </c>
      <c r="L568" s="96" t="s">
        <v>7672</v>
      </c>
      <c r="M568" s="245" t="s">
        <v>7673</v>
      </c>
      <c r="N568" s="63">
        <v>17.600000000000001</v>
      </c>
      <c r="O568" s="43" t="s">
        <v>36</v>
      </c>
      <c r="P568" t="s">
        <v>35</v>
      </c>
      <c r="Q568" s="436">
        <v>4</v>
      </c>
      <c r="R568" t="s">
        <v>4946</v>
      </c>
      <c r="S568">
        <f>14.7-0.4</f>
        <v>14.299999999999999</v>
      </c>
      <c r="Y568" s="63">
        <v>1.7</v>
      </c>
      <c r="AK568" t="s">
        <v>7674</v>
      </c>
      <c r="AM568" s="1">
        <f t="shared" si="24"/>
        <v>23295.454545454544</v>
      </c>
    </row>
    <row r="569" spans="1:39" ht="47.45" hidden="1" customHeight="1">
      <c r="A569" s="187">
        <v>29254640</v>
      </c>
      <c r="B569" s="43"/>
      <c r="C569" s="51">
        <v>45705</v>
      </c>
      <c r="D569" s="37"/>
      <c r="E569" s="37"/>
      <c r="F569" s="45" t="s">
        <v>7675</v>
      </c>
      <c r="G569" s="1">
        <v>350000</v>
      </c>
      <c r="H569" s="1"/>
      <c r="I569" s="43" t="s">
        <v>53</v>
      </c>
      <c r="J569" s="43" t="s">
        <v>7676</v>
      </c>
      <c r="K569" s="43" t="s">
        <v>7677</v>
      </c>
      <c r="L569" s="4" t="s">
        <v>7678</v>
      </c>
      <c r="M569" s="7" t="s">
        <v>7679</v>
      </c>
      <c r="N569" s="46">
        <f>39.99+0.35+0.83+81.55</f>
        <v>122.72</v>
      </c>
      <c r="O569" s="43" t="s">
        <v>18</v>
      </c>
      <c r="P569" s="47" t="s">
        <v>154</v>
      </c>
      <c r="Q569" s="267">
        <v>5</v>
      </c>
      <c r="R569" s="47" t="s">
        <v>6052</v>
      </c>
      <c r="S569" s="43">
        <v>15.8</v>
      </c>
      <c r="T569" s="43" t="s">
        <v>4596</v>
      </c>
      <c r="U569" s="43"/>
      <c r="V569" s="43"/>
      <c r="W569" s="43"/>
      <c r="X569" s="1"/>
      <c r="Y569" s="46">
        <f>122.72-15.8</f>
        <v>106.92</v>
      </c>
      <c r="Z569" s="46"/>
      <c r="AA569" s="2"/>
      <c r="AB569" s="43"/>
      <c r="AC569" s="87"/>
      <c r="AD569" s="1"/>
      <c r="AE569" s="3"/>
      <c r="AF569" s="46"/>
      <c r="AG569" s="1"/>
      <c r="AH569" s="43"/>
      <c r="AI569" s="43"/>
      <c r="AJ569" s="43"/>
      <c r="AK569" s="37"/>
      <c r="AL569" s="47"/>
      <c r="AM569" s="1">
        <f t="shared" si="24"/>
        <v>2852.0208604954369</v>
      </c>
    </row>
    <row r="570" spans="1:39" ht="47.45" hidden="1" customHeight="1">
      <c r="A570" s="196">
        <v>29257837</v>
      </c>
      <c r="C570" s="317">
        <v>45706</v>
      </c>
      <c r="F570" t="s">
        <v>7680</v>
      </c>
      <c r="G570" s="94">
        <v>2250000</v>
      </c>
      <c r="I570" t="s">
        <v>6143</v>
      </c>
      <c r="J570" t="s">
        <v>7681</v>
      </c>
      <c r="N570" s="63">
        <v>38.200000000000003</v>
      </c>
      <c r="O570" t="s">
        <v>18</v>
      </c>
      <c r="P570" t="s">
        <v>35</v>
      </c>
      <c r="Q570" s="436" t="s">
        <v>7682</v>
      </c>
      <c r="R570" t="s">
        <v>7683</v>
      </c>
      <c r="S570">
        <v>37.1</v>
      </c>
      <c r="T570" s="43" t="s">
        <v>4596</v>
      </c>
      <c r="Y570" s="63">
        <v>0</v>
      </c>
      <c r="AK570" t="s">
        <v>7684</v>
      </c>
      <c r="AM570" s="1">
        <f t="shared" si="24"/>
        <v>58900.523560209418</v>
      </c>
    </row>
    <row r="571" spans="1:39" ht="47.45" hidden="1" customHeight="1">
      <c r="A571" s="196">
        <v>29257060</v>
      </c>
      <c r="C571" s="317">
        <v>45706</v>
      </c>
      <c r="F571" t="s">
        <v>7685</v>
      </c>
      <c r="G571" s="94">
        <v>225000</v>
      </c>
      <c r="I571" s="43" t="s">
        <v>58</v>
      </c>
      <c r="J571" t="s">
        <v>59</v>
      </c>
      <c r="K571" t="s">
        <v>7686</v>
      </c>
      <c r="L571" s="96" t="s">
        <v>7687</v>
      </c>
      <c r="M571" s="245" t="s">
        <v>7688</v>
      </c>
      <c r="N571" s="63">
        <f>21.62+0.44+9.7+10.28</f>
        <v>42.04</v>
      </c>
      <c r="O571" s="43" t="s">
        <v>18</v>
      </c>
      <c r="P571" s="47" t="s">
        <v>35</v>
      </c>
      <c r="Q571" s="436">
        <v>5</v>
      </c>
      <c r="R571" t="s">
        <v>4780</v>
      </c>
      <c r="S571">
        <f>3.8+2.4+2.8+3.5</f>
        <v>12.5</v>
      </c>
      <c r="T571" s="43" t="s">
        <v>4596</v>
      </c>
      <c r="Y571" s="63">
        <v>27.7</v>
      </c>
      <c r="AM571" s="1">
        <f t="shared" si="24"/>
        <v>5352.0456707897238</v>
      </c>
    </row>
    <row r="572" spans="1:39" ht="47.45" hidden="1" customHeight="1">
      <c r="A572" s="196">
        <v>29257060</v>
      </c>
      <c r="C572" s="317">
        <v>45706</v>
      </c>
      <c r="D572" t="s">
        <v>7689</v>
      </c>
      <c r="E572" t="s">
        <v>7690</v>
      </c>
      <c r="F572" t="s">
        <v>7685</v>
      </c>
      <c r="G572" s="94">
        <v>225000</v>
      </c>
      <c r="I572" t="s">
        <v>58</v>
      </c>
      <c r="J572" t="s">
        <v>59</v>
      </c>
      <c r="K572" t="s">
        <v>7686</v>
      </c>
      <c r="L572" s="96" t="s">
        <v>7691</v>
      </c>
      <c r="M572" s="245" t="s">
        <v>7692</v>
      </c>
      <c r="N572" s="63">
        <f>21.62+0.44+9.7+10.28</f>
        <v>42.04</v>
      </c>
      <c r="O572" s="43" t="s">
        <v>36</v>
      </c>
      <c r="P572" t="s">
        <v>35</v>
      </c>
      <c r="Q572" s="436">
        <v>5</v>
      </c>
      <c r="R572" t="s">
        <v>5056</v>
      </c>
      <c r="S572">
        <f>6.3+3.8</f>
        <v>10.1</v>
      </c>
      <c r="Y572" s="63">
        <v>29</v>
      </c>
      <c r="AK572" t="s">
        <v>7693</v>
      </c>
      <c r="AL572" t="s">
        <v>7694</v>
      </c>
      <c r="AM572" s="1">
        <f t="shared" si="24"/>
        <v>5352.0456707897238</v>
      </c>
    </row>
    <row r="573" spans="1:39" ht="47.45" hidden="1" customHeight="1">
      <c r="A573" s="196">
        <v>29257759</v>
      </c>
      <c r="C573" s="317">
        <v>45706</v>
      </c>
      <c r="D573" s="239" t="s">
        <v>7695</v>
      </c>
      <c r="E573" s="239" t="s">
        <v>7696</v>
      </c>
      <c r="F573" s="286">
        <v>6645060</v>
      </c>
      <c r="G573" s="94">
        <v>95000</v>
      </c>
      <c r="I573" t="s">
        <v>16</v>
      </c>
      <c r="J573" t="s">
        <v>7697</v>
      </c>
      <c r="L573" s="96">
        <v>46.753587000000003</v>
      </c>
      <c r="M573" s="96">
        <v>-70.841025999999999</v>
      </c>
      <c r="N573" s="63">
        <v>20.149999999999999</v>
      </c>
      <c r="O573" t="s">
        <v>18</v>
      </c>
      <c r="P573" s="47" t="s">
        <v>154</v>
      </c>
      <c r="Q573" s="436">
        <v>3</v>
      </c>
      <c r="R573" t="s">
        <v>4946</v>
      </c>
      <c r="S573">
        <v>6</v>
      </c>
      <c r="T573" s="43" t="s">
        <v>4596</v>
      </c>
      <c r="Y573" s="63">
        <f>20.15-6</f>
        <v>14.149999999999999</v>
      </c>
      <c r="AK573" t="s">
        <v>7698</v>
      </c>
      <c r="AM573" s="1">
        <f t="shared" si="24"/>
        <v>4714.640198511167</v>
      </c>
    </row>
    <row r="574" spans="1:39" ht="47.45" hidden="1" customHeight="1">
      <c r="A574" s="187">
        <v>29267100</v>
      </c>
      <c r="B574" s="43"/>
      <c r="C574" s="51">
        <v>45709</v>
      </c>
      <c r="D574" s="37" t="s">
        <v>7699</v>
      </c>
      <c r="E574" s="37" t="s">
        <v>7700</v>
      </c>
      <c r="F574" s="45" t="s">
        <v>7701</v>
      </c>
      <c r="G574" s="1">
        <v>220000</v>
      </c>
      <c r="H574" s="1"/>
      <c r="I574" s="43" t="s">
        <v>1171</v>
      </c>
      <c r="J574" s="43" t="s">
        <v>7702</v>
      </c>
      <c r="K574" s="43" t="s">
        <v>7703</v>
      </c>
      <c r="L574" s="4"/>
      <c r="M574" s="7"/>
      <c r="N574" s="46">
        <v>32.75</v>
      </c>
      <c r="O574" s="43" t="s">
        <v>18</v>
      </c>
      <c r="P574" s="47" t="s">
        <v>35</v>
      </c>
      <c r="Q574" s="267">
        <v>4</v>
      </c>
      <c r="R574" s="47" t="s">
        <v>4760</v>
      </c>
      <c r="S574" s="43">
        <v>10.82</v>
      </c>
      <c r="T574" s="43" t="s">
        <v>4596</v>
      </c>
      <c r="U574" s="43"/>
      <c r="V574" s="43"/>
      <c r="W574" s="43"/>
      <c r="X574" s="1"/>
      <c r="Y574" s="46">
        <v>21.93</v>
      </c>
      <c r="Z574" s="46"/>
      <c r="AA574" s="2"/>
      <c r="AB574" s="43"/>
      <c r="AC574" s="87"/>
      <c r="AD574" s="1"/>
      <c r="AE574" s="3"/>
      <c r="AF574" s="46"/>
      <c r="AG574" s="1"/>
      <c r="AH574" s="43"/>
      <c r="AI574" s="43"/>
      <c r="AJ574" s="43"/>
      <c r="AK574" s="37"/>
      <c r="AL574" s="47"/>
      <c r="AM574" s="1">
        <f t="shared" si="24"/>
        <v>6717.5572519083971</v>
      </c>
    </row>
    <row r="575" spans="1:39" ht="47.45" customHeight="1">
      <c r="A575" s="196" t="s">
        <v>7704</v>
      </c>
      <c r="C575" s="317">
        <v>45709</v>
      </c>
      <c r="F575" t="s">
        <v>7705</v>
      </c>
      <c r="G575" s="94">
        <v>671000</v>
      </c>
      <c r="I575" t="s">
        <v>747</v>
      </c>
      <c r="AM575" s="1" t="e">
        <f t="shared" si="24"/>
        <v>#DIV/0!</v>
      </c>
    </row>
    <row r="576" spans="1:39" ht="47.45" customHeight="1">
      <c r="A576" s="196" t="s">
        <v>7706</v>
      </c>
      <c r="C576" s="317">
        <v>45709</v>
      </c>
      <c r="F576" t="s">
        <v>7707</v>
      </c>
      <c r="I576" t="s">
        <v>722</v>
      </c>
      <c r="AM576" s="1" t="e">
        <f t="shared" si="24"/>
        <v>#DIV/0!</v>
      </c>
    </row>
    <row r="577" spans="1:39" ht="47.45" hidden="1" customHeight="1">
      <c r="A577" s="196">
        <v>29276042</v>
      </c>
      <c r="C577" s="317">
        <v>45715</v>
      </c>
      <c r="D577" t="s">
        <v>7708</v>
      </c>
      <c r="E577" t="s">
        <v>7709</v>
      </c>
      <c r="F577" s="269">
        <v>1840196</v>
      </c>
      <c r="G577" s="94">
        <v>875000</v>
      </c>
      <c r="I577" t="s">
        <v>192</v>
      </c>
      <c r="J577" t="s">
        <v>2599</v>
      </c>
      <c r="K577" t="s">
        <v>7710</v>
      </c>
      <c r="L577" s="96" t="s">
        <v>7711</v>
      </c>
      <c r="M577" s="245" t="s">
        <v>7712</v>
      </c>
      <c r="N577" s="63">
        <v>31.22</v>
      </c>
      <c r="O577" s="43" t="s">
        <v>36</v>
      </c>
      <c r="P577" t="s">
        <v>35</v>
      </c>
      <c r="Q577" s="436">
        <v>2</v>
      </c>
      <c r="R577" t="s">
        <v>4669</v>
      </c>
      <c r="S577">
        <f>14.4+2.5</f>
        <v>16.899999999999999</v>
      </c>
      <c r="V577">
        <f>Table3[[#This Row],[Superficie cultivée (ha)]]</f>
        <v>16.899999999999999</v>
      </c>
      <c r="Y577" s="63">
        <v>12.8</v>
      </c>
      <c r="AK577" t="s">
        <v>7609</v>
      </c>
      <c r="AL577" t="s">
        <v>7713</v>
      </c>
      <c r="AM577" s="1">
        <f t="shared" si="24"/>
        <v>28026.905829596413</v>
      </c>
    </row>
    <row r="578" spans="1:39" ht="47.45" hidden="1" customHeight="1">
      <c r="A578" s="187">
        <v>29276458</v>
      </c>
      <c r="B578" s="43"/>
      <c r="C578" s="51">
        <v>45715</v>
      </c>
      <c r="D578" s="37"/>
      <c r="E578" s="37"/>
      <c r="F578" s="45" t="s">
        <v>7714</v>
      </c>
      <c r="G578" s="1">
        <v>140000</v>
      </c>
      <c r="H578" s="1"/>
      <c r="I578" s="43" t="s">
        <v>53</v>
      </c>
      <c r="J578" s="43" t="s">
        <v>1963</v>
      </c>
      <c r="K578" s="43" t="s">
        <v>7715</v>
      </c>
      <c r="L578" s="4" t="s">
        <v>7716</v>
      </c>
      <c r="M578" s="7" t="s">
        <v>7717</v>
      </c>
      <c r="N578" s="46">
        <f>28.42+13.46</f>
        <v>41.88</v>
      </c>
      <c r="O578" s="43" t="s">
        <v>18</v>
      </c>
      <c r="P578" s="47" t="s">
        <v>154</v>
      </c>
      <c r="Q578" s="267">
        <v>4</v>
      </c>
      <c r="R578" s="47" t="s">
        <v>6052</v>
      </c>
      <c r="S578" s="43">
        <v>20.399999999999999</v>
      </c>
      <c r="T578" s="43" t="s">
        <v>4596</v>
      </c>
      <c r="U578" s="43"/>
      <c r="V578" s="43"/>
      <c r="W578" s="43"/>
      <c r="X578" s="1"/>
      <c r="Y578" s="46">
        <v>17.3</v>
      </c>
      <c r="Z578" s="46"/>
      <c r="AA578" s="2"/>
      <c r="AB578" s="43"/>
      <c r="AC578" s="87"/>
      <c r="AD578" s="1"/>
      <c r="AE578" s="3"/>
      <c r="AF578" s="46" t="s">
        <v>7718</v>
      </c>
      <c r="AG578" s="1"/>
      <c r="AH578" s="43"/>
      <c r="AI578" s="43"/>
      <c r="AJ578" s="43"/>
      <c r="AK578" s="37"/>
      <c r="AL578" s="47" t="s">
        <v>7719</v>
      </c>
      <c r="AM578" s="1">
        <f t="shared" si="24"/>
        <v>3342.8844317096464</v>
      </c>
    </row>
    <row r="579" spans="1:39" ht="47.45" customHeight="1">
      <c r="A579" s="196">
        <v>29278333</v>
      </c>
      <c r="C579" s="317">
        <v>45715</v>
      </c>
      <c r="F579" s="247" t="s">
        <v>7720</v>
      </c>
      <c r="I579" t="s">
        <v>611</v>
      </c>
      <c r="AM579" s="1" t="e">
        <f t="shared" si="24"/>
        <v>#DIV/0!</v>
      </c>
    </row>
    <row r="580" spans="1:39" ht="47.45" customHeight="1">
      <c r="A580" s="196" t="s">
        <v>7721</v>
      </c>
      <c r="C580" s="317">
        <v>45715</v>
      </c>
      <c r="F580" t="s">
        <v>7722</v>
      </c>
      <c r="I580" t="s">
        <v>328</v>
      </c>
      <c r="AM580" s="1" t="e">
        <f t="shared" si="24"/>
        <v>#DIV/0!</v>
      </c>
    </row>
    <row r="581" spans="1:39" ht="47.45" hidden="1" customHeight="1">
      <c r="A581" s="196">
        <v>29285705</v>
      </c>
      <c r="C581" s="317">
        <v>45720</v>
      </c>
      <c r="F581" s="249" t="s">
        <v>7723</v>
      </c>
      <c r="G581" s="62">
        <v>824160</v>
      </c>
      <c r="H581" s="62"/>
      <c r="I581" t="s">
        <v>6143</v>
      </c>
      <c r="J581" t="s">
        <v>7681</v>
      </c>
      <c r="L581" s="288"/>
      <c r="M581" s="288"/>
      <c r="N581" s="63">
        <v>14.02</v>
      </c>
      <c r="O581" t="s">
        <v>18</v>
      </c>
      <c r="P581" t="s">
        <v>35</v>
      </c>
      <c r="Q581" s="436">
        <v>5</v>
      </c>
      <c r="R581" t="s">
        <v>5016</v>
      </c>
      <c r="S581">
        <v>13.9</v>
      </c>
      <c r="T581" s="43" t="s">
        <v>4596</v>
      </c>
      <c r="X581" s="62"/>
      <c r="Y581" s="63">
        <v>0</v>
      </c>
      <c r="AA581" s="64"/>
      <c r="AD581" s="62"/>
      <c r="AE581" s="62"/>
      <c r="AG581" s="62"/>
      <c r="AM581" s="16">
        <f t="shared" si="24"/>
        <v>58784.59343794579</v>
      </c>
    </row>
    <row r="582" spans="1:39" ht="47.45" hidden="1" customHeight="1">
      <c r="A582" s="187">
        <v>29285966</v>
      </c>
      <c r="B582" s="43"/>
      <c r="C582" s="51">
        <v>45720</v>
      </c>
      <c r="D582" s="37" t="s">
        <v>7724</v>
      </c>
      <c r="E582" s="37" t="s">
        <v>7725</v>
      </c>
      <c r="F582" s="45">
        <v>6669660</v>
      </c>
      <c r="G582" s="16">
        <v>425000</v>
      </c>
      <c r="H582" s="16"/>
      <c r="I582" s="43" t="s">
        <v>654</v>
      </c>
      <c r="J582" s="43" t="s">
        <v>3980</v>
      </c>
      <c r="K582" s="43" t="s">
        <v>3980</v>
      </c>
      <c r="L582" s="25" t="s">
        <v>7726</v>
      </c>
      <c r="M582" s="26" t="s">
        <v>7727</v>
      </c>
      <c r="N582" s="46">
        <v>14.79</v>
      </c>
      <c r="O582" s="43" t="s">
        <v>18</v>
      </c>
      <c r="P582" s="47" t="s">
        <v>206</v>
      </c>
      <c r="Q582" s="267">
        <v>3</v>
      </c>
      <c r="R582" s="47" t="s">
        <v>6561</v>
      </c>
      <c r="S582" s="43">
        <v>12.3</v>
      </c>
      <c r="T582" s="43" t="s">
        <v>4781</v>
      </c>
      <c r="U582" s="43"/>
      <c r="V582" s="43"/>
      <c r="W582" s="43"/>
      <c r="X582" s="16"/>
      <c r="Y582" s="46"/>
      <c r="Z582" s="46"/>
      <c r="AA582" s="102"/>
      <c r="AB582" s="43"/>
      <c r="AC582" s="87"/>
      <c r="AD582" s="16"/>
      <c r="AE582" s="103"/>
      <c r="AF582" s="46"/>
      <c r="AG582" s="16"/>
      <c r="AH582" s="43"/>
      <c r="AI582" s="43"/>
      <c r="AJ582" s="43"/>
      <c r="AK582" s="37" t="s">
        <v>7728</v>
      </c>
      <c r="AL582" s="47" t="s">
        <v>7729</v>
      </c>
      <c r="AM582" s="16">
        <f t="shared" si="24"/>
        <v>28735.632183908048</v>
      </c>
    </row>
    <row r="583" spans="1:39" ht="47.45" hidden="1" customHeight="1">
      <c r="A583" s="196" t="s">
        <v>7730</v>
      </c>
      <c r="C583" s="317">
        <v>45720</v>
      </c>
      <c r="F583" t="s">
        <v>7731</v>
      </c>
      <c r="G583" s="94">
        <v>1000000</v>
      </c>
      <c r="I583" t="s">
        <v>476</v>
      </c>
      <c r="N583" s="63">
        <v>37.950000000000003</v>
      </c>
      <c r="S583">
        <v>26.7</v>
      </c>
      <c r="Y583" s="63">
        <v>8.6999999999999993</v>
      </c>
      <c r="AM583" s="1">
        <f t="shared" si="24"/>
        <v>26350.461133069828</v>
      </c>
    </row>
    <row r="584" spans="1:39" ht="47.45" hidden="1" customHeight="1">
      <c r="A584" s="196">
        <v>29290312</v>
      </c>
      <c r="C584" s="317">
        <v>45722</v>
      </c>
      <c r="D584" t="s">
        <v>7732</v>
      </c>
      <c r="E584" t="s">
        <v>7733</v>
      </c>
      <c r="F584" s="269">
        <v>2709564</v>
      </c>
      <c r="G584" s="94">
        <v>1150000</v>
      </c>
      <c r="I584" t="s">
        <v>192</v>
      </c>
      <c r="J584" t="s">
        <v>3198</v>
      </c>
      <c r="K584" t="s">
        <v>3336</v>
      </c>
      <c r="L584" s="96" t="s">
        <v>7734</v>
      </c>
      <c r="M584" s="245" t="s">
        <v>7735</v>
      </c>
      <c r="N584" s="63">
        <v>40.71</v>
      </c>
      <c r="O584" s="43" t="s">
        <v>36</v>
      </c>
      <c r="P584" t="s">
        <v>35</v>
      </c>
      <c r="Q584" s="436">
        <v>2</v>
      </c>
      <c r="R584" t="s">
        <v>4669</v>
      </c>
      <c r="S584">
        <f>30.4</f>
        <v>30.4</v>
      </c>
      <c r="V584">
        <f>Table3[[#This Row],[Superficie cultivée (ha)]]</f>
        <v>30.4</v>
      </c>
      <c r="AK584" t="s">
        <v>7736</v>
      </c>
      <c r="AM584" s="1">
        <f t="shared" si="24"/>
        <v>28248.587570621468</v>
      </c>
    </row>
    <row r="585" spans="1:39" ht="47.45" hidden="1" customHeight="1">
      <c r="A585" s="196">
        <v>29298064</v>
      </c>
      <c r="C585" s="317">
        <v>45727</v>
      </c>
      <c r="D585" s="20" t="s">
        <v>7737</v>
      </c>
      <c r="E585" t="s">
        <v>7738</v>
      </c>
      <c r="F585" t="s">
        <v>7739</v>
      </c>
      <c r="G585" s="62">
        <v>1875000</v>
      </c>
      <c r="H585" s="62"/>
      <c r="I585" t="s">
        <v>4917</v>
      </c>
      <c r="J585" t="s">
        <v>5431</v>
      </c>
      <c r="L585" s="288" t="s">
        <v>7740</v>
      </c>
      <c r="M585" s="289" t="s">
        <v>7741</v>
      </c>
      <c r="N585" s="63">
        <f>13.94+7.72+0.66+2.66</f>
        <v>24.98</v>
      </c>
      <c r="O585" t="s">
        <v>18</v>
      </c>
      <c r="P585" t="s">
        <v>35</v>
      </c>
      <c r="Q585" s="436" t="s">
        <v>7396</v>
      </c>
      <c r="S585">
        <f>0.9+6.2+1.7+3.8+5.8+0.8</f>
        <v>19.200000000000003</v>
      </c>
      <c r="T585" s="43" t="s">
        <v>4596</v>
      </c>
      <c r="U585">
        <v>0</v>
      </c>
      <c r="X585" s="62"/>
      <c r="Y585" s="63">
        <v>1.7</v>
      </c>
      <c r="AA585" s="64"/>
      <c r="AC585" s="65" t="s">
        <v>7742</v>
      </c>
      <c r="AD585" s="62"/>
      <c r="AE585" s="62"/>
      <c r="AF585" s="63" t="s">
        <v>7743</v>
      </c>
      <c r="AG585" s="62"/>
      <c r="AK585" t="s">
        <v>7744</v>
      </c>
      <c r="AM585" s="16">
        <f t="shared" si="24"/>
        <v>75060.048038430745</v>
      </c>
    </row>
    <row r="586" spans="1:39" ht="47.45" hidden="1" customHeight="1">
      <c r="A586" s="196">
        <v>29300887</v>
      </c>
      <c r="C586" s="317">
        <v>45728</v>
      </c>
      <c r="D586" t="s">
        <v>7745</v>
      </c>
      <c r="E586" t="s">
        <v>7746</v>
      </c>
      <c r="F586" t="s">
        <v>7747</v>
      </c>
      <c r="G586" s="62">
        <v>2500000</v>
      </c>
      <c r="H586" s="62"/>
      <c r="I586" t="s">
        <v>6023</v>
      </c>
      <c r="J586" t="s">
        <v>7748</v>
      </c>
      <c r="K586" t="s">
        <v>7749</v>
      </c>
      <c r="L586" s="288" t="s">
        <v>7750</v>
      </c>
      <c r="M586" s="289" t="s">
        <v>7751</v>
      </c>
      <c r="N586" s="63">
        <f>1.09+16.72+19.72</f>
        <v>37.53</v>
      </c>
      <c r="O586" t="s">
        <v>18</v>
      </c>
      <c r="P586" t="s">
        <v>35</v>
      </c>
      <c r="Q586" s="436" t="s">
        <v>7396</v>
      </c>
      <c r="S586">
        <f>0.7+2.4+4.2+2.7+0.8+2.4+4.2+2.9+2.2+8</f>
        <v>30.5</v>
      </c>
      <c r="T586" s="43" t="s">
        <v>4596</v>
      </c>
      <c r="U586">
        <v>17.7</v>
      </c>
      <c r="X586" s="62"/>
      <c r="Y586" s="63">
        <v>0.8</v>
      </c>
      <c r="AA586" s="64"/>
      <c r="AD586" s="62"/>
      <c r="AE586" s="62"/>
      <c r="AG586" s="62"/>
      <c r="AK586" t="s">
        <v>7752</v>
      </c>
      <c r="AM586" s="16">
        <f t="shared" si="24"/>
        <v>66613.375965893953</v>
      </c>
    </row>
    <row r="587" spans="1:39" ht="47.45" customHeight="1">
      <c r="A587" s="196" t="s">
        <v>7753</v>
      </c>
      <c r="C587" s="317">
        <v>45728</v>
      </c>
      <c r="F587" t="s">
        <v>7754</v>
      </c>
      <c r="G587" s="94">
        <v>128987</v>
      </c>
      <c r="I587" t="s">
        <v>747</v>
      </c>
      <c r="AM587" s="1" t="e">
        <f t="shared" si="24"/>
        <v>#DIV/0!</v>
      </c>
    </row>
    <row r="588" spans="1:39" ht="47.45" customHeight="1">
      <c r="A588" s="196" t="s">
        <v>7755</v>
      </c>
      <c r="C588" s="317">
        <v>45728</v>
      </c>
      <c r="F588" t="s">
        <v>7756</v>
      </c>
      <c r="G588" s="94">
        <v>1317960</v>
      </c>
      <c r="I588" t="s">
        <v>747</v>
      </c>
      <c r="AM588" s="1" t="e">
        <f t="shared" si="24"/>
        <v>#DIV/0!</v>
      </c>
    </row>
    <row r="589" spans="1:39" ht="47.45" customHeight="1">
      <c r="A589" s="196" t="s">
        <v>7757</v>
      </c>
      <c r="C589" s="317">
        <v>45730</v>
      </c>
      <c r="F589" t="s">
        <v>7758</v>
      </c>
      <c r="G589" s="94">
        <v>1052000</v>
      </c>
      <c r="I589" t="s">
        <v>747</v>
      </c>
      <c r="AM589" s="1" t="e">
        <f t="shared" si="24"/>
        <v>#DIV/0!</v>
      </c>
    </row>
    <row r="590" spans="1:39" ht="47.45" hidden="1" customHeight="1">
      <c r="A590" s="196">
        <v>29308656</v>
      </c>
      <c r="C590" s="317">
        <v>45733</v>
      </c>
      <c r="D590" s="239" t="s">
        <v>7759</v>
      </c>
      <c r="E590" s="239" t="s">
        <v>7760</v>
      </c>
      <c r="F590" s="239" t="s">
        <v>7761</v>
      </c>
      <c r="G590" s="94">
        <v>1198000</v>
      </c>
      <c r="I590" t="s">
        <v>4880</v>
      </c>
      <c r="J590" t="s">
        <v>7762</v>
      </c>
      <c r="K590" s="239" t="s">
        <v>7763</v>
      </c>
      <c r="L590" s="96">
        <v>46.584837999999998</v>
      </c>
      <c r="M590" s="96">
        <v>-71.147746999999995</v>
      </c>
      <c r="N590" s="63">
        <v>61.96</v>
      </c>
      <c r="O590" t="s">
        <v>18</v>
      </c>
      <c r="P590" t="s">
        <v>19</v>
      </c>
      <c r="Q590" s="436">
        <v>3</v>
      </c>
      <c r="R590" t="s">
        <v>155</v>
      </c>
      <c r="S590">
        <v>45.3</v>
      </c>
      <c r="Y590" s="63">
        <v>11.5</v>
      </c>
      <c r="AF590" s="63" t="s">
        <v>7764</v>
      </c>
      <c r="AK590" t="s">
        <v>7765</v>
      </c>
      <c r="AM590" s="1">
        <f t="shared" si="24"/>
        <v>19335.054874112331</v>
      </c>
    </row>
    <row r="591" spans="1:39" ht="47.45" hidden="1" customHeight="1">
      <c r="A591" s="196">
        <v>29316115</v>
      </c>
      <c r="C591" s="317">
        <v>45735</v>
      </c>
      <c r="D591" s="247" t="s">
        <v>7766</v>
      </c>
      <c r="E591" s="247" t="s">
        <v>7767</v>
      </c>
      <c r="F591" s="247" t="s">
        <v>7768</v>
      </c>
      <c r="G591" s="94">
        <v>1200000</v>
      </c>
      <c r="I591" t="s">
        <v>6414</v>
      </c>
      <c r="J591" t="s">
        <v>2942</v>
      </c>
      <c r="L591" s="96">
        <v>46.142874999999997</v>
      </c>
      <c r="M591" s="96">
        <v>-73.208205000000007</v>
      </c>
      <c r="N591" s="63">
        <v>43.51</v>
      </c>
      <c r="O591" t="s">
        <v>18</v>
      </c>
      <c r="P591" t="s">
        <v>206</v>
      </c>
      <c r="Q591" s="436">
        <v>2</v>
      </c>
      <c r="R591" t="s">
        <v>4669</v>
      </c>
      <c r="S591">
        <v>39.200000000000003</v>
      </c>
      <c r="T591" s="139" t="s">
        <v>4596</v>
      </c>
      <c r="Y591" s="63">
        <v>2</v>
      </c>
      <c r="AK591" t="s">
        <v>7769</v>
      </c>
      <c r="AM591" s="1">
        <f t="shared" si="24"/>
        <v>27579.866697310965</v>
      </c>
    </row>
    <row r="592" spans="1:39" ht="47.45" hidden="1" customHeight="1">
      <c r="A592" s="196">
        <v>29316362</v>
      </c>
      <c r="C592" s="317">
        <v>45736</v>
      </c>
      <c r="D592" s="275" t="s">
        <v>7770</v>
      </c>
      <c r="E592" s="275" t="s">
        <v>7771</v>
      </c>
      <c r="F592" s="272" t="s">
        <v>7772</v>
      </c>
      <c r="G592" s="94">
        <v>2143500</v>
      </c>
      <c r="H592" s="495"/>
      <c r="I592" t="s">
        <v>6414</v>
      </c>
      <c r="J592" t="s">
        <v>2942</v>
      </c>
      <c r="L592" s="96">
        <v>46.124927</v>
      </c>
      <c r="M592" s="96">
        <v>-73.169436000000005</v>
      </c>
      <c r="N592" s="63">
        <v>35.85</v>
      </c>
      <c r="O592" t="s">
        <v>18</v>
      </c>
      <c r="P592" t="s">
        <v>206</v>
      </c>
      <c r="Q592" s="436">
        <v>2</v>
      </c>
      <c r="R592" t="s">
        <v>4669</v>
      </c>
      <c r="S592">
        <v>34</v>
      </c>
      <c r="T592" s="139" t="s">
        <v>4596</v>
      </c>
      <c r="Y592" s="63">
        <v>0</v>
      </c>
      <c r="AK592" t="s">
        <v>7773</v>
      </c>
      <c r="AM592" s="1">
        <f t="shared" si="24"/>
        <v>59790.794979079496</v>
      </c>
    </row>
    <row r="593" spans="1:39" ht="47.45" hidden="1" customHeight="1">
      <c r="A593" s="196">
        <v>29318084</v>
      </c>
      <c r="C593" s="317">
        <v>45736</v>
      </c>
      <c r="D593" t="s">
        <v>7774</v>
      </c>
      <c r="E593" t="s">
        <v>7775</v>
      </c>
      <c r="F593" t="s">
        <v>7776</v>
      </c>
      <c r="G593" s="94">
        <v>4118000</v>
      </c>
      <c r="I593" t="s">
        <v>1629</v>
      </c>
      <c r="J593" t="s">
        <v>7777</v>
      </c>
      <c r="K593" t="s">
        <v>7778</v>
      </c>
      <c r="L593" s="96" t="s">
        <v>7779</v>
      </c>
      <c r="M593" s="245" t="s">
        <v>7780</v>
      </c>
      <c r="N593" s="63">
        <f>49.75+32.86+18.32</f>
        <v>100.93</v>
      </c>
      <c r="O593" t="s">
        <v>5051</v>
      </c>
      <c r="P593" t="s">
        <v>154</v>
      </c>
      <c r="Q593" s="452" t="s">
        <v>7781</v>
      </c>
      <c r="R593" t="s">
        <v>4710</v>
      </c>
      <c r="S593">
        <f>22.4+15.7+5.6+8.1+2.6+3.5+20.3</f>
        <v>78.2</v>
      </c>
      <c r="Y593" s="63">
        <f>1.1+2.8+2.6</f>
        <v>6.5</v>
      </c>
      <c r="AK593" t="s">
        <v>7782</v>
      </c>
      <c r="AM593" s="1">
        <f t="shared" si="24"/>
        <v>40800.554839988108</v>
      </c>
    </row>
    <row r="594" spans="1:39" ht="47.45" customHeight="1">
      <c r="A594" s="196" t="s">
        <v>7783</v>
      </c>
      <c r="C594" s="317">
        <v>45736</v>
      </c>
      <c r="F594" t="s">
        <v>7784</v>
      </c>
      <c r="I594" t="s">
        <v>2594</v>
      </c>
      <c r="AM594" s="1" t="e">
        <f t="shared" si="24"/>
        <v>#DIV/0!</v>
      </c>
    </row>
    <row r="595" spans="1:39" ht="47.45" hidden="1" customHeight="1">
      <c r="A595" s="196">
        <v>29321873</v>
      </c>
      <c r="C595" s="317">
        <v>45737</v>
      </c>
      <c r="D595" t="s">
        <v>7785</v>
      </c>
      <c r="E595" t="s">
        <v>7786</v>
      </c>
      <c r="F595" t="s">
        <v>7787</v>
      </c>
      <c r="G595" s="62">
        <v>1155000</v>
      </c>
      <c r="H595" s="62"/>
      <c r="I595" t="s">
        <v>321</v>
      </c>
      <c r="J595" t="s">
        <v>7788</v>
      </c>
      <c r="K595" t="s">
        <v>7789</v>
      </c>
      <c r="L595" s="288"/>
      <c r="M595" s="288"/>
      <c r="N595" s="63">
        <v>58.86</v>
      </c>
      <c r="O595" t="s">
        <v>18</v>
      </c>
      <c r="P595" s="47" t="s">
        <v>154</v>
      </c>
      <c r="Q595" s="436">
        <v>4</v>
      </c>
      <c r="R595" t="s">
        <v>4801</v>
      </c>
      <c r="T595" s="43" t="s">
        <v>4596</v>
      </c>
      <c r="X595" s="62"/>
      <c r="Y595" s="63">
        <v>17.66</v>
      </c>
      <c r="AA595" s="64"/>
      <c r="AD595" s="62"/>
      <c r="AE595" s="62"/>
      <c r="AG595" s="62"/>
      <c r="AK595" t="s">
        <v>7790</v>
      </c>
      <c r="AM595" s="16">
        <f t="shared" si="24"/>
        <v>19622.833843017328</v>
      </c>
    </row>
    <row r="596" spans="1:39" ht="47.45" hidden="1" customHeight="1">
      <c r="A596" s="196">
        <v>29325451</v>
      </c>
      <c r="C596" s="317">
        <v>45741</v>
      </c>
      <c r="D596" s="272" t="s">
        <v>7791</v>
      </c>
      <c r="E596" s="272" t="s">
        <v>7792</v>
      </c>
      <c r="F596" t="s">
        <v>7793</v>
      </c>
      <c r="G596" s="62">
        <v>646110</v>
      </c>
      <c r="H596" s="62"/>
      <c r="I596" t="s">
        <v>321</v>
      </c>
      <c r="J596" t="s">
        <v>6792</v>
      </c>
      <c r="K596" t="s">
        <v>7794</v>
      </c>
      <c r="L596" s="288">
        <v>46.439846000000003</v>
      </c>
      <c r="M596" s="289" t="s">
        <v>7795</v>
      </c>
      <c r="N596" s="63">
        <v>31.62</v>
      </c>
      <c r="O596" t="s">
        <v>18</v>
      </c>
      <c r="P596" t="s">
        <v>35</v>
      </c>
      <c r="Q596" s="436">
        <v>3</v>
      </c>
      <c r="R596" t="s">
        <v>4669</v>
      </c>
      <c r="S596">
        <v>23</v>
      </c>
      <c r="T596" s="43" t="s">
        <v>4596</v>
      </c>
      <c r="X596" s="62"/>
      <c r="Y596" s="63">
        <v>8</v>
      </c>
      <c r="AA596" s="64"/>
      <c r="AD596" s="62"/>
      <c r="AE596" s="62"/>
      <c r="AG596" s="62"/>
      <c r="AK596" t="s">
        <v>7796</v>
      </c>
      <c r="AM596" s="16">
        <f t="shared" si="24"/>
        <v>20433.586337760909</v>
      </c>
    </row>
    <row r="597" spans="1:39" ht="47.45" hidden="1" customHeight="1">
      <c r="A597" s="196">
        <v>29329062</v>
      </c>
      <c r="C597" s="317">
        <v>45742</v>
      </c>
      <c r="D597" s="239" t="s">
        <v>7797</v>
      </c>
      <c r="E597" s="239" t="s">
        <v>7798</v>
      </c>
      <c r="F597" t="s">
        <v>7799</v>
      </c>
      <c r="G597" s="62">
        <v>800000</v>
      </c>
      <c r="H597" s="62"/>
      <c r="I597" t="s">
        <v>16</v>
      </c>
      <c r="J597" t="s">
        <v>7637</v>
      </c>
      <c r="L597" s="288">
        <v>46.804997999999998</v>
      </c>
      <c r="M597" s="288">
        <v>-70.827911</v>
      </c>
      <c r="N597" s="63">
        <v>45.32</v>
      </c>
      <c r="O597" t="s">
        <v>18</v>
      </c>
      <c r="P597" t="s">
        <v>35</v>
      </c>
      <c r="Q597" s="436">
        <v>3</v>
      </c>
      <c r="R597" t="s">
        <v>155</v>
      </c>
      <c r="S597">
        <v>37.799999999999997</v>
      </c>
      <c r="T597" s="43" t="s">
        <v>4596</v>
      </c>
      <c r="X597" s="62"/>
      <c r="Y597" s="63">
        <v>4.5199999999999996</v>
      </c>
      <c r="AA597" s="64"/>
      <c r="AD597" s="62"/>
      <c r="AE597" s="62"/>
      <c r="AG597" s="62"/>
      <c r="AK597" t="s">
        <v>7800</v>
      </c>
      <c r="AM597" s="16">
        <f t="shared" si="24"/>
        <v>17652.250661959399</v>
      </c>
    </row>
    <row r="598" spans="1:39" ht="47.45" hidden="1" customHeight="1">
      <c r="A598" s="196">
        <v>29333623</v>
      </c>
      <c r="C598" s="317">
        <v>45743</v>
      </c>
      <c r="D598" t="s">
        <v>7801</v>
      </c>
      <c r="E598" t="s">
        <v>7802</v>
      </c>
      <c r="F598" s="269" t="s">
        <v>7803</v>
      </c>
      <c r="G598" s="94">
        <v>447000</v>
      </c>
      <c r="J598" t="s">
        <v>7804</v>
      </c>
      <c r="K598" t="s">
        <v>7805</v>
      </c>
      <c r="L598" s="96" t="s">
        <v>7806</v>
      </c>
      <c r="M598" s="245" t="s">
        <v>7807</v>
      </c>
      <c r="N598" s="63">
        <f>45.85+32.62+0.42+1.93</f>
        <v>80.820000000000007</v>
      </c>
      <c r="O598" t="s">
        <v>7808</v>
      </c>
      <c r="Q598" s="436" t="s">
        <v>4835</v>
      </c>
      <c r="R598" t="s">
        <v>4710</v>
      </c>
      <c r="S598">
        <f>15.6+6.6+4.7+3.2+17.7+4.7+5.5+1.4</f>
        <v>59.4</v>
      </c>
      <c r="Y598" s="63">
        <v>17.3</v>
      </c>
      <c r="AK598" t="s">
        <v>7809</v>
      </c>
      <c r="AM598" s="1">
        <f t="shared" si="24"/>
        <v>5530.8092056421674</v>
      </c>
    </row>
    <row r="599" spans="1:39" ht="47.45" customHeight="1">
      <c r="A599" s="196" t="s">
        <v>7810</v>
      </c>
      <c r="C599" s="317">
        <v>45743</v>
      </c>
      <c r="F599" t="s">
        <v>7811</v>
      </c>
      <c r="I599" t="s">
        <v>2594</v>
      </c>
      <c r="AM599" s="1" t="e">
        <f t="shared" si="24"/>
        <v>#DIV/0!</v>
      </c>
    </row>
    <row r="600" spans="1:39" ht="47.45" hidden="1" customHeight="1">
      <c r="A600" s="196">
        <v>29336381</v>
      </c>
      <c r="C600" s="317">
        <v>45744</v>
      </c>
      <c r="D600" t="s">
        <v>7812</v>
      </c>
      <c r="E600" t="s">
        <v>7813</v>
      </c>
      <c r="F600" t="s">
        <v>7814</v>
      </c>
      <c r="G600" s="94">
        <v>1670000</v>
      </c>
      <c r="I600" t="s">
        <v>192</v>
      </c>
      <c r="J600" t="s">
        <v>3198</v>
      </c>
      <c r="K600" t="s">
        <v>7815</v>
      </c>
      <c r="L600" s="96" t="s">
        <v>7816</v>
      </c>
      <c r="M600" s="245" t="s">
        <v>7817</v>
      </c>
      <c r="N600" s="63">
        <v>40.74</v>
      </c>
      <c r="O600" s="43" t="s">
        <v>36</v>
      </c>
      <c r="P600" t="s">
        <v>35</v>
      </c>
      <c r="Q600" s="436">
        <v>3</v>
      </c>
      <c r="R600" t="s">
        <v>4595</v>
      </c>
      <c r="S600">
        <v>38.1</v>
      </c>
      <c r="AK600" t="s">
        <v>7818</v>
      </c>
      <c r="AL600" t="s">
        <v>7819</v>
      </c>
      <c r="AM600" s="1">
        <f t="shared" si="24"/>
        <v>40991.65439371625</v>
      </c>
    </row>
    <row r="601" spans="1:39" ht="47.45" hidden="1" customHeight="1">
      <c r="A601" s="187">
        <v>29341292</v>
      </c>
      <c r="B601" s="43"/>
      <c r="C601" s="51">
        <v>45748</v>
      </c>
      <c r="D601" s="37" t="s">
        <v>7820</v>
      </c>
      <c r="E601" s="37" t="s">
        <v>7821</v>
      </c>
      <c r="F601" s="45" t="s">
        <v>7822</v>
      </c>
      <c r="G601" s="16">
        <v>316890</v>
      </c>
      <c r="H601" s="16"/>
      <c r="I601" s="43" t="s">
        <v>654</v>
      </c>
      <c r="J601" s="43" t="s">
        <v>7823</v>
      </c>
      <c r="K601" s="43" t="s">
        <v>7824</v>
      </c>
      <c r="L601" s="25" t="s">
        <v>7825</v>
      </c>
      <c r="M601" s="26" t="s">
        <v>7826</v>
      </c>
      <c r="N601" s="46">
        <f>9.66+8.66</f>
        <v>18.32</v>
      </c>
      <c r="O601" s="43" t="s">
        <v>18</v>
      </c>
      <c r="P601" s="47" t="s">
        <v>206</v>
      </c>
      <c r="Q601" s="267" t="s">
        <v>6532</v>
      </c>
      <c r="R601" s="47" t="s">
        <v>7827</v>
      </c>
      <c r="S601" s="43">
        <f>2.7+4.9+9</f>
        <v>16.600000000000001</v>
      </c>
      <c r="T601" s="43" t="s">
        <v>3124</v>
      </c>
      <c r="U601" s="43"/>
      <c r="V601" s="43"/>
      <c r="W601" s="43"/>
      <c r="X601" s="16"/>
      <c r="Y601" s="46"/>
      <c r="Z601" s="46"/>
      <c r="AA601" s="102"/>
      <c r="AB601" s="43"/>
      <c r="AC601" s="87"/>
      <c r="AD601" s="16"/>
      <c r="AE601" s="103"/>
      <c r="AF601" s="46"/>
      <c r="AG601" s="16"/>
      <c r="AH601" s="43"/>
      <c r="AI601" s="43"/>
      <c r="AJ601" s="43"/>
      <c r="AK601" s="37"/>
      <c r="AL601" s="47"/>
      <c r="AM601" s="16">
        <f t="shared" si="24"/>
        <v>17297.48908296943</v>
      </c>
    </row>
    <row r="602" spans="1:39" ht="47.45" hidden="1" customHeight="1">
      <c r="A602" s="196">
        <v>29345936</v>
      </c>
      <c r="C602" s="317">
        <v>45749</v>
      </c>
      <c r="D602" t="s">
        <v>7828</v>
      </c>
      <c r="E602" t="s">
        <v>4969</v>
      </c>
      <c r="F602" s="269">
        <v>6227057</v>
      </c>
      <c r="G602" s="94">
        <v>725000</v>
      </c>
      <c r="I602" t="s">
        <v>4726</v>
      </c>
      <c r="J602" t="s">
        <v>4970</v>
      </c>
      <c r="K602" t="s">
        <v>7829</v>
      </c>
      <c r="L602" s="96" t="s">
        <v>7830</v>
      </c>
      <c r="M602" s="245" t="s">
        <v>7831</v>
      </c>
      <c r="N602" s="63">
        <v>12.95</v>
      </c>
      <c r="Q602" s="436">
        <v>4</v>
      </c>
      <c r="R602" t="s">
        <v>4669</v>
      </c>
      <c r="S602">
        <v>10.3</v>
      </c>
      <c r="AF602" s="63" t="s">
        <v>7832</v>
      </c>
      <c r="AK602" t="s">
        <v>7833</v>
      </c>
      <c r="AM602" s="1">
        <f t="shared" si="24"/>
        <v>55984.555984555991</v>
      </c>
    </row>
    <row r="603" spans="1:39" ht="47.45" hidden="1" customHeight="1">
      <c r="A603" s="196">
        <v>29345416</v>
      </c>
      <c r="C603" s="317">
        <v>45749</v>
      </c>
      <c r="D603" t="s">
        <v>7834</v>
      </c>
      <c r="E603" t="s">
        <v>7835</v>
      </c>
      <c r="F603" s="269">
        <v>3219377</v>
      </c>
      <c r="G603" s="94">
        <v>900000</v>
      </c>
      <c r="I603" t="s">
        <v>192</v>
      </c>
      <c r="J603" t="s">
        <v>7836</v>
      </c>
      <c r="K603" t="s">
        <v>7837</v>
      </c>
      <c r="L603" s="96" t="s">
        <v>7838</v>
      </c>
      <c r="M603" s="245" t="s">
        <v>7839</v>
      </c>
      <c r="N603" s="63">
        <v>20.88</v>
      </c>
      <c r="O603" s="43" t="s">
        <v>36</v>
      </c>
      <c r="P603" t="s">
        <v>35</v>
      </c>
      <c r="Q603" s="436">
        <v>4</v>
      </c>
      <c r="R603" t="s">
        <v>4595</v>
      </c>
      <c r="S603">
        <f>11.9+3.8</f>
        <v>15.7</v>
      </c>
      <c r="V603">
        <f>Table3[[#This Row],[Superficie cultivée (ha)]]</f>
        <v>15.7</v>
      </c>
      <c r="Y603" s="63">
        <v>3.9</v>
      </c>
      <c r="AM603" s="1">
        <f t="shared" si="24"/>
        <v>43103.448275862072</v>
      </c>
    </row>
    <row r="604" spans="1:39" ht="47.45" hidden="1" customHeight="1">
      <c r="A604" s="196">
        <v>29346038</v>
      </c>
      <c r="C604" s="317">
        <v>45749</v>
      </c>
      <c r="F604" s="239" t="s">
        <v>7840</v>
      </c>
      <c r="G604" s="62">
        <v>3350000</v>
      </c>
      <c r="H604" s="62"/>
      <c r="I604" t="s">
        <v>6143</v>
      </c>
      <c r="J604" t="s">
        <v>7841</v>
      </c>
      <c r="L604" s="288"/>
      <c r="M604" s="288"/>
      <c r="N604" s="63">
        <v>78.12</v>
      </c>
      <c r="O604" t="s">
        <v>18</v>
      </c>
      <c r="P604" t="s">
        <v>35</v>
      </c>
      <c r="Q604" s="436">
        <v>2</v>
      </c>
      <c r="R604" t="s">
        <v>4669</v>
      </c>
      <c r="S604">
        <v>54.4</v>
      </c>
      <c r="T604" s="43" t="s">
        <v>4596</v>
      </c>
      <c r="X604" s="62"/>
      <c r="Y604" s="63">
        <v>21.72</v>
      </c>
      <c r="AA604" s="64"/>
      <c r="AD604" s="62"/>
      <c r="AE604" s="62"/>
      <c r="AG604" s="62"/>
      <c r="AK604" t="s">
        <v>7842</v>
      </c>
      <c r="AM604" s="16">
        <f t="shared" si="24"/>
        <v>42882.744495647719</v>
      </c>
    </row>
    <row r="605" spans="1:39" ht="47.45" hidden="1" customHeight="1">
      <c r="A605" s="187">
        <v>29348202</v>
      </c>
      <c r="B605" s="43"/>
      <c r="C605" s="51">
        <v>45750</v>
      </c>
      <c r="D605" s="37" t="s">
        <v>7843</v>
      </c>
      <c r="E605" s="37" t="s">
        <v>7844</v>
      </c>
      <c r="F605" s="45">
        <v>4896887</v>
      </c>
      <c r="G605" s="16">
        <v>200000</v>
      </c>
      <c r="H605" s="16"/>
      <c r="I605" s="43" t="s">
        <v>654</v>
      </c>
      <c r="J605" s="43" t="s">
        <v>654</v>
      </c>
      <c r="K605" s="43" t="s">
        <v>654</v>
      </c>
      <c r="L605" s="25" t="s">
        <v>7845</v>
      </c>
      <c r="M605" s="26" t="s">
        <v>7846</v>
      </c>
      <c r="N605" s="46">
        <v>21.87</v>
      </c>
      <c r="O605" s="43" t="s">
        <v>18</v>
      </c>
      <c r="P605" s="47" t="s">
        <v>154</v>
      </c>
      <c r="Q605" s="267">
        <v>2</v>
      </c>
      <c r="R605" s="47" t="s">
        <v>4865</v>
      </c>
      <c r="S605" s="43">
        <v>11.2</v>
      </c>
      <c r="T605" s="43" t="s">
        <v>3124</v>
      </c>
      <c r="U605" s="43"/>
      <c r="V605" s="43"/>
      <c r="W605" s="43"/>
      <c r="X605" s="16"/>
      <c r="Y605" s="46">
        <v>7</v>
      </c>
      <c r="Z605" s="46"/>
      <c r="AA605" s="102"/>
      <c r="AB605" s="43"/>
      <c r="AC605" s="87"/>
      <c r="AD605" s="16"/>
      <c r="AE605" s="103"/>
      <c r="AF605" s="46"/>
      <c r="AG605" s="16"/>
      <c r="AH605" s="43"/>
      <c r="AI605" s="43"/>
      <c r="AJ605" s="43"/>
      <c r="AK605" s="37" t="s">
        <v>7847</v>
      </c>
      <c r="AL605" s="47"/>
      <c r="AM605" s="16">
        <f t="shared" si="24"/>
        <v>9144.9474165523552</v>
      </c>
    </row>
    <row r="606" spans="1:39" ht="47.45" hidden="1" customHeight="1">
      <c r="A606" s="189">
        <v>29350882</v>
      </c>
      <c r="C606" s="318">
        <v>45751</v>
      </c>
      <c r="F606" s="272" t="s">
        <v>7848</v>
      </c>
      <c r="G606" s="134">
        <v>2473000</v>
      </c>
      <c r="H606" s="62"/>
      <c r="I606" t="s">
        <v>321</v>
      </c>
      <c r="J606" t="s">
        <v>1567</v>
      </c>
      <c r="K606" s="274" t="s">
        <v>7849</v>
      </c>
      <c r="L606" s="274"/>
      <c r="M606" s="288"/>
      <c r="N606" s="199">
        <v>143.38</v>
      </c>
      <c r="O606" t="s">
        <v>18</v>
      </c>
      <c r="P606" s="47" t="s">
        <v>154</v>
      </c>
      <c r="Q606" s="436">
        <v>4</v>
      </c>
      <c r="R606" t="s">
        <v>4595</v>
      </c>
      <c r="S606">
        <v>58.2</v>
      </c>
      <c r="T606" s="43" t="s">
        <v>4596</v>
      </c>
      <c r="X606" s="62"/>
      <c r="Y606" s="63">
        <v>85.18</v>
      </c>
      <c r="AA606" s="64"/>
      <c r="AD606" s="62"/>
      <c r="AE606" s="62"/>
      <c r="AG606" s="62"/>
      <c r="AK606" t="s">
        <v>7850</v>
      </c>
      <c r="AM606" s="16">
        <f>G606/N605</f>
        <v>113077.27480566986</v>
      </c>
    </row>
    <row r="607" spans="1:39" ht="47.45" hidden="1" customHeight="1">
      <c r="A607" s="196">
        <v>29364053</v>
      </c>
      <c r="C607" s="317">
        <v>45757</v>
      </c>
      <c r="D607" t="s">
        <v>6909</v>
      </c>
      <c r="E607" t="s">
        <v>7851</v>
      </c>
      <c r="F607" s="269">
        <v>6582180</v>
      </c>
      <c r="G607" s="62">
        <v>1350000</v>
      </c>
      <c r="H607" s="62"/>
      <c r="I607" t="s">
        <v>6023</v>
      </c>
      <c r="J607" t="s">
        <v>6024</v>
      </c>
      <c r="K607" t="s">
        <v>6910</v>
      </c>
      <c r="L607" s="288" t="s">
        <v>6911</v>
      </c>
      <c r="M607" s="289" t="s">
        <v>6912</v>
      </c>
      <c r="N607" s="63">
        <v>16.68</v>
      </c>
      <c r="O607" t="s">
        <v>18</v>
      </c>
      <c r="P607" t="s">
        <v>35</v>
      </c>
      <c r="Q607" s="436">
        <v>2</v>
      </c>
      <c r="R607" t="s">
        <v>4669</v>
      </c>
      <c r="S607">
        <f>0.3+2.9+2.6+8.8</f>
        <v>14.600000000000001</v>
      </c>
      <c r="T607" t="s">
        <v>6913</v>
      </c>
      <c r="U607">
        <f>Table3[[#This Row],[Superficie cultivée (ha)]]</f>
        <v>14.600000000000001</v>
      </c>
      <c r="X607" s="62"/>
      <c r="AA607" s="64"/>
      <c r="AD607" s="62"/>
      <c r="AE607" s="62"/>
      <c r="AF607" s="63" t="s">
        <v>6914</v>
      </c>
      <c r="AG607" s="62"/>
      <c r="AK607" t="s">
        <v>6915</v>
      </c>
      <c r="AL607" t="s">
        <v>6916</v>
      </c>
      <c r="AM607" s="16">
        <f t="shared" ref="AM607:AM624" si="25">G607/N607</f>
        <v>80935.251798561148</v>
      </c>
    </row>
    <row r="608" spans="1:39" ht="47.45" hidden="1" customHeight="1">
      <c r="A608" s="196">
        <v>29372917</v>
      </c>
      <c r="C608" s="317">
        <v>45759</v>
      </c>
      <c r="D608" s="239" t="s">
        <v>7852</v>
      </c>
      <c r="E608" s="239" t="s">
        <v>7853</v>
      </c>
      <c r="F608" s="239" t="s">
        <v>7854</v>
      </c>
      <c r="G608" s="94">
        <v>450000</v>
      </c>
      <c r="I608" t="s">
        <v>1629</v>
      </c>
      <c r="J608" t="s">
        <v>1630</v>
      </c>
      <c r="L608" s="96">
        <v>45.453057000000001</v>
      </c>
      <c r="M608" s="96">
        <v>-71.743114000000006</v>
      </c>
      <c r="N608" s="63">
        <v>15.72</v>
      </c>
      <c r="O608" t="s">
        <v>18</v>
      </c>
      <c r="P608" t="s">
        <v>361</v>
      </c>
      <c r="Q608" s="436">
        <v>4</v>
      </c>
      <c r="R608" t="s">
        <v>4946</v>
      </c>
      <c r="S608">
        <v>14.2</v>
      </c>
      <c r="Y608" s="63">
        <v>0</v>
      </c>
      <c r="AK608" t="s">
        <v>7855</v>
      </c>
      <c r="AM608" s="1">
        <f t="shared" si="25"/>
        <v>28625.954198473282</v>
      </c>
    </row>
    <row r="609" spans="1:39" ht="47.45" hidden="1" customHeight="1">
      <c r="A609" s="196">
        <v>29368823</v>
      </c>
      <c r="C609" s="317">
        <v>45761</v>
      </c>
      <c r="D609" s="249" t="s">
        <v>7591</v>
      </c>
      <c r="E609" s="249" t="s">
        <v>7856</v>
      </c>
      <c r="F609" t="s">
        <v>7857</v>
      </c>
      <c r="G609" s="94">
        <v>1500000</v>
      </c>
      <c r="I609" t="s">
        <v>6414</v>
      </c>
      <c r="J609" t="s">
        <v>2942</v>
      </c>
      <c r="L609" s="96">
        <v>46.159543999999997</v>
      </c>
      <c r="M609" s="96">
        <v>-73.234211000000002</v>
      </c>
      <c r="N609" s="63">
        <v>40.659999999999997</v>
      </c>
      <c r="O609" t="s">
        <v>18</v>
      </c>
      <c r="P609" t="s">
        <v>35</v>
      </c>
      <c r="Q609" s="436" t="s">
        <v>6884</v>
      </c>
      <c r="R609" t="s">
        <v>4669</v>
      </c>
      <c r="S609">
        <v>38.700000000000003</v>
      </c>
      <c r="AK609" t="s">
        <v>7858</v>
      </c>
      <c r="AM609" s="1">
        <f t="shared" si="25"/>
        <v>36891.293654697496</v>
      </c>
    </row>
    <row r="610" spans="1:39" ht="47.45" hidden="1" customHeight="1">
      <c r="A610" s="351">
        <v>29369588</v>
      </c>
      <c r="B610" s="66"/>
      <c r="C610" s="324">
        <v>45761</v>
      </c>
      <c r="D610" s="66" t="s">
        <v>7859</v>
      </c>
      <c r="E610" s="66" t="s">
        <v>7860</v>
      </c>
      <c r="F610" s="66" t="s">
        <v>7861</v>
      </c>
      <c r="G610" s="98">
        <v>300000</v>
      </c>
      <c r="H610" s="98"/>
      <c r="I610" s="66" t="s">
        <v>74</v>
      </c>
      <c r="J610" s="66" t="s">
        <v>7862</v>
      </c>
      <c r="K610" s="66" t="s">
        <v>7863</v>
      </c>
      <c r="L610" s="100">
        <v>45.875171000000002</v>
      </c>
      <c r="M610" s="101" t="s">
        <v>7864</v>
      </c>
      <c r="N610" s="123">
        <v>36.950000000000003</v>
      </c>
      <c r="O610" s="66" t="s">
        <v>18</v>
      </c>
      <c r="P610" s="328" t="s">
        <v>26</v>
      </c>
      <c r="Q610" s="450" t="s">
        <v>4703</v>
      </c>
      <c r="R610" s="66" t="s">
        <v>4946</v>
      </c>
      <c r="S610" s="66">
        <v>14.7</v>
      </c>
      <c r="T610" s="66" t="s">
        <v>3124</v>
      </c>
      <c r="U610" s="66">
        <v>8.3000000000000007</v>
      </c>
      <c r="V610" s="66"/>
      <c r="W610" s="66" t="s">
        <v>7865</v>
      </c>
      <c r="X610" s="98"/>
      <c r="Y610" s="123">
        <v>17.7</v>
      </c>
      <c r="Z610" s="123"/>
      <c r="AA610" s="99"/>
      <c r="AB610" s="66"/>
      <c r="AC610" s="124"/>
      <c r="AD610" s="98"/>
      <c r="AE610" s="98"/>
      <c r="AF610" s="123"/>
      <c r="AK610" s="66"/>
      <c r="AL610" s="66"/>
      <c r="AM610" s="465">
        <f t="shared" si="25"/>
        <v>8119.079837618403</v>
      </c>
    </row>
    <row r="611" spans="1:39" ht="47.45" hidden="1" customHeight="1">
      <c r="A611" s="196">
        <v>29380904</v>
      </c>
      <c r="C611" s="317">
        <v>45769</v>
      </c>
      <c r="D611" t="s">
        <v>7866</v>
      </c>
      <c r="E611" t="s">
        <v>7867</v>
      </c>
      <c r="F611" t="s">
        <v>7868</v>
      </c>
      <c r="G611" s="94">
        <v>415000</v>
      </c>
      <c r="I611" t="s">
        <v>29</v>
      </c>
      <c r="J611" t="s">
        <v>29</v>
      </c>
      <c r="L611" s="96">
        <v>46.954993999999999</v>
      </c>
      <c r="M611" s="96">
        <v>-70.513041000000001</v>
      </c>
      <c r="N611" s="63">
        <v>97.36</v>
      </c>
      <c r="O611" t="s">
        <v>18</v>
      </c>
      <c r="P611" t="s">
        <v>361</v>
      </c>
      <c r="Q611" s="436">
        <v>3</v>
      </c>
      <c r="R611" t="s">
        <v>4620</v>
      </c>
      <c r="S611">
        <v>28.4</v>
      </c>
      <c r="Y611" s="63">
        <f>Table3[[#This Row],[Superficie totale (ha)]]-Table3[[#This Row],[Superficie cultivée (ha)]]</f>
        <v>68.960000000000008</v>
      </c>
      <c r="AK611" t="s">
        <v>7449</v>
      </c>
      <c r="AM611" s="1">
        <f t="shared" si="25"/>
        <v>4262.5308134757597</v>
      </c>
    </row>
    <row r="612" spans="1:39" ht="47.45" hidden="1" customHeight="1">
      <c r="A612" s="196">
        <v>29389310</v>
      </c>
      <c r="C612" s="317">
        <v>45771</v>
      </c>
      <c r="D612" s="304" t="s">
        <v>7869</v>
      </c>
      <c r="E612" s="304" t="s">
        <v>7870</v>
      </c>
      <c r="F612" s="303" t="s">
        <v>7871</v>
      </c>
      <c r="G612" s="94">
        <v>185049</v>
      </c>
      <c r="I612" t="s">
        <v>50</v>
      </c>
      <c r="J612" t="s">
        <v>72</v>
      </c>
      <c r="L612" s="96">
        <v>46.173492000000003</v>
      </c>
      <c r="M612" s="96">
        <v>-70.587457000000001</v>
      </c>
      <c r="N612" s="63">
        <v>31.21</v>
      </c>
      <c r="O612" t="s">
        <v>18</v>
      </c>
      <c r="P612" t="s">
        <v>154</v>
      </c>
      <c r="Q612" s="436">
        <v>5</v>
      </c>
      <c r="R612" t="s">
        <v>5016</v>
      </c>
      <c r="S612">
        <v>3.1</v>
      </c>
      <c r="Y612" s="63">
        <f>Table3[[#This Row],[Superficie totale (ha)]]-Table3[[#This Row],[Superficie cultivée (ha)]]</f>
        <v>28.11</v>
      </c>
      <c r="AK612" t="s">
        <v>7872</v>
      </c>
      <c r="AM612" s="1">
        <f t="shared" si="25"/>
        <v>5929.1573213713555</v>
      </c>
    </row>
    <row r="613" spans="1:39" ht="47.45" hidden="1" customHeight="1">
      <c r="A613" s="196">
        <v>29390618</v>
      </c>
      <c r="C613" s="317">
        <v>45771</v>
      </c>
      <c r="F613" s="249" t="s">
        <v>7873</v>
      </c>
      <c r="G613" s="62">
        <v>1950000</v>
      </c>
      <c r="H613" s="62"/>
      <c r="I613" t="s">
        <v>4911</v>
      </c>
      <c r="J613" t="s">
        <v>1178</v>
      </c>
      <c r="L613" s="288"/>
      <c r="M613" s="288"/>
      <c r="N613" s="63">
        <v>40.36</v>
      </c>
      <c r="O613" t="s">
        <v>4738</v>
      </c>
      <c r="P613" s="47" t="s">
        <v>35</v>
      </c>
      <c r="Q613" s="436">
        <v>3</v>
      </c>
      <c r="R613" t="s">
        <v>5073</v>
      </c>
      <c r="S613">
        <v>39.200000000000003</v>
      </c>
      <c r="T613" s="43" t="s">
        <v>4596</v>
      </c>
      <c r="X613" s="62"/>
      <c r="Y613" s="63">
        <v>0</v>
      </c>
      <c r="AA613" s="64"/>
      <c r="AD613" s="62"/>
      <c r="AE613" s="62"/>
      <c r="AG613" s="62"/>
      <c r="AK613" t="s">
        <v>7874</v>
      </c>
      <c r="AM613" s="16">
        <f t="shared" si="25"/>
        <v>48315.163528245786</v>
      </c>
    </row>
    <row r="614" spans="1:39" ht="47.45" hidden="1" customHeight="1">
      <c r="A614" s="196">
        <v>29396245</v>
      </c>
      <c r="C614" s="317">
        <v>45775</v>
      </c>
      <c r="D614" t="s">
        <v>7875</v>
      </c>
      <c r="E614" t="s">
        <v>7876</v>
      </c>
      <c r="F614">
        <v>3725573</v>
      </c>
      <c r="G614" s="94">
        <v>655000</v>
      </c>
      <c r="I614" t="s">
        <v>37</v>
      </c>
      <c r="J614" s="43" t="s">
        <v>5171</v>
      </c>
      <c r="K614" s="43" t="s">
        <v>5528</v>
      </c>
      <c r="L614" s="25" t="s">
        <v>7877</v>
      </c>
      <c r="M614" s="26" t="s">
        <v>7878</v>
      </c>
      <c r="N614" s="46">
        <v>12.7</v>
      </c>
      <c r="O614" s="43" t="s">
        <v>36</v>
      </c>
      <c r="P614" t="s">
        <v>35</v>
      </c>
      <c r="Q614" s="436">
        <v>2</v>
      </c>
      <c r="R614" t="s">
        <v>4669</v>
      </c>
      <c r="S614" s="282">
        <v>11.1</v>
      </c>
      <c r="AK614" t="s">
        <v>7879</v>
      </c>
      <c r="AL614" t="s">
        <v>7880</v>
      </c>
      <c r="AM614" s="1">
        <f t="shared" si="25"/>
        <v>51574.803149606305</v>
      </c>
    </row>
    <row r="615" spans="1:39" ht="47.45" hidden="1" customHeight="1">
      <c r="A615" s="196">
        <v>29397218</v>
      </c>
      <c r="C615" s="317">
        <v>45775</v>
      </c>
      <c r="D615" s="309" t="s">
        <v>7881</v>
      </c>
      <c r="E615" s="309" t="s">
        <v>7882</v>
      </c>
      <c r="F615" s="309" t="s">
        <v>7883</v>
      </c>
      <c r="G615" s="94">
        <v>1399000</v>
      </c>
      <c r="I615" t="s">
        <v>611</v>
      </c>
      <c r="J615" t="s">
        <v>6193</v>
      </c>
      <c r="K615" t="s">
        <v>7884</v>
      </c>
      <c r="L615" s="96">
        <v>45.199122000000003</v>
      </c>
      <c r="M615" s="96">
        <v>-73.329524000000006</v>
      </c>
      <c r="N615" s="63">
        <v>42.77</v>
      </c>
      <c r="O615" t="s">
        <v>18</v>
      </c>
      <c r="P615" t="s">
        <v>35</v>
      </c>
      <c r="Q615" s="436" t="s">
        <v>7885</v>
      </c>
      <c r="R615" t="s">
        <v>4669</v>
      </c>
      <c r="S615">
        <v>25.3</v>
      </c>
      <c r="U615">
        <v>0</v>
      </c>
      <c r="V615" s="43" t="s">
        <v>5038</v>
      </c>
      <c r="W615" s="43"/>
      <c r="Y615" s="63">
        <v>14.5</v>
      </c>
      <c r="AK615" t="s">
        <v>7886</v>
      </c>
      <c r="AM615" s="1">
        <f t="shared" si="25"/>
        <v>32709.843348141218</v>
      </c>
    </row>
    <row r="616" spans="1:39" ht="47.45" hidden="1" customHeight="1">
      <c r="A616" s="196">
        <v>29397403</v>
      </c>
      <c r="C616" s="317">
        <v>45775</v>
      </c>
      <c r="D616" s="239" t="s">
        <v>7887</v>
      </c>
      <c r="E616" s="239" t="s">
        <v>7067</v>
      </c>
      <c r="F616" t="s">
        <v>7888</v>
      </c>
      <c r="G616" s="62">
        <v>1525000</v>
      </c>
      <c r="H616" s="62"/>
      <c r="I616" t="s">
        <v>29</v>
      </c>
      <c r="J616" s="20" t="s">
        <v>1490</v>
      </c>
      <c r="L616" s="288">
        <v>46.870016</v>
      </c>
      <c r="M616" s="288">
        <v>-70.742155999999994</v>
      </c>
      <c r="N616" s="63">
        <v>56.99</v>
      </c>
      <c r="O616" t="s">
        <v>18</v>
      </c>
      <c r="P616" t="s">
        <v>361</v>
      </c>
      <c r="Q616" s="436">
        <v>3</v>
      </c>
      <c r="R616" t="s">
        <v>4669</v>
      </c>
      <c r="S616">
        <v>38.5</v>
      </c>
      <c r="X616" s="62"/>
      <c r="Y616" s="63">
        <v>12.9</v>
      </c>
      <c r="AA616" s="64"/>
      <c r="AD616" s="62"/>
      <c r="AE616" s="62"/>
      <c r="AG616" s="62"/>
      <c r="AK616" t="s">
        <v>7889</v>
      </c>
      <c r="AM616" s="16">
        <f t="shared" si="25"/>
        <v>26759.080540445691</v>
      </c>
    </row>
    <row r="617" spans="1:39" ht="47.45" hidden="1" customHeight="1">
      <c r="A617" s="196">
        <v>29400140</v>
      </c>
      <c r="C617" s="317">
        <v>45776</v>
      </c>
      <c r="D617" t="s">
        <v>7890</v>
      </c>
      <c r="E617" t="s">
        <v>7891</v>
      </c>
      <c r="F617" s="269">
        <v>1593780</v>
      </c>
      <c r="G617" s="94">
        <v>1450000</v>
      </c>
      <c r="I617" t="s">
        <v>2560</v>
      </c>
      <c r="J617" t="s">
        <v>2561</v>
      </c>
      <c r="K617" t="s">
        <v>7892</v>
      </c>
      <c r="L617" s="96" t="s">
        <v>7893</v>
      </c>
      <c r="M617" s="245" t="s">
        <v>7894</v>
      </c>
      <c r="N617" s="63">
        <v>22.32</v>
      </c>
      <c r="O617" s="43" t="s">
        <v>36</v>
      </c>
      <c r="P617" t="s">
        <v>35</v>
      </c>
      <c r="Q617" s="436">
        <v>2</v>
      </c>
      <c r="R617" t="s">
        <v>4669</v>
      </c>
      <c r="S617">
        <v>21.3</v>
      </c>
      <c r="V617">
        <f>Table3[[#This Row],[Superficie cultivée (ha)]]</f>
        <v>21.3</v>
      </c>
      <c r="AM617" s="1">
        <f t="shared" si="25"/>
        <v>64964.157706093189</v>
      </c>
    </row>
    <row r="618" spans="1:39" ht="47.45" hidden="1" customHeight="1">
      <c r="A618" s="196">
        <v>29405123</v>
      </c>
      <c r="C618" s="317">
        <v>45777</v>
      </c>
      <c r="D618" s="239" t="s">
        <v>7895</v>
      </c>
      <c r="E618" s="239" t="s">
        <v>7896</v>
      </c>
      <c r="F618" t="s">
        <v>7897</v>
      </c>
      <c r="G618" s="94">
        <v>1075000</v>
      </c>
      <c r="I618" t="s">
        <v>1629</v>
      </c>
      <c r="J618" t="s">
        <v>3497</v>
      </c>
      <c r="L618" s="96">
        <v>45.498950999999998</v>
      </c>
      <c r="M618" s="96">
        <v>-71.612701999999999</v>
      </c>
      <c r="N618" s="63">
        <v>161.94</v>
      </c>
      <c r="O618" t="s">
        <v>18</v>
      </c>
      <c r="P618" t="s">
        <v>361</v>
      </c>
      <c r="Q618" s="436" t="s">
        <v>7898</v>
      </c>
      <c r="R618" t="s">
        <v>4946</v>
      </c>
      <c r="S618">
        <v>42.5</v>
      </c>
      <c r="Y618" s="63">
        <f>Table3[[#This Row],[Superficie totale (ha)]]-Table3[[#This Row],[Superficie cultivée (ha)]]-3</f>
        <v>116.44</v>
      </c>
      <c r="AK618" t="s">
        <v>7899</v>
      </c>
      <c r="AM618" s="1">
        <f t="shared" si="25"/>
        <v>6638.2610843522289</v>
      </c>
    </row>
    <row r="619" spans="1:39" ht="47.45" customHeight="1">
      <c r="A619" s="196" t="s">
        <v>7900</v>
      </c>
      <c r="C619" s="317">
        <v>45778</v>
      </c>
      <c r="F619" t="s">
        <v>7901</v>
      </c>
      <c r="G619" s="94">
        <v>1000000</v>
      </c>
      <c r="I619" t="s">
        <v>747</v>
      </c>
      <c r="AM619" s="1" t="e">
        <f t="shared" si="25"/>
        <v>#DIV/0!</v>
      </c>
    </row>
    <row r="620" spans="1:39" ht="47.45" customHeight="1">
      <c r="A620" s="196" t="s">
        <v>7902</v>
      </c>
      <c r="C620" s="317">
        <v>45783</v>
      </c>
      <c r="F620" t="s">
        <v>7903</v>
      </c>
      <c r="I620" t="s">
        <v>328</v>
      </c>
      <c r="AM620" s="1" t="e">
        <f t="shared" si="25"/>
        <v>#DIV/0!</v>
      </c>
    </row>
    <row r="621" spans="1:39" ht="47.45" hidden="1" customHeight="1">
      <c r="A621" s="196" t="s">
        <v>7904</v>
      </c>
      <c r="C621" s="317">
        <v>45784</v>
      </c>
      <c r="F621" t="s">
        <v>7905</v>
      </c>
      <c r="G621" s="94">
        <v>1050000</v>
      </c>
      <c r="I621" t="s">
        <v>476</v>
      </c>
      <c r="N621" s="63">
        <v>49.25</v>
      </c>
      <c r="S621">
        <v>36.799999999999997</v>
      </c>
      <c r="Y621" s="63">
        <v>7.8</v>
      </c>
      <c r="AM621" s="1">
        <f t="shared" si="25"/>
        <v>21319.796954314719</v>
      </c>
    </row>
    <row r="622" spans="1:39" ht="47.45" hidden="1" customHeight="1">
      <c r="A622" s="265" t="s">
        <v>7906</v>
      </c>
      <c r="C622" s="317">
        <v>45785</v>
      </c>
      <c r="D622" s="265" t="s">
        <v>7907</v>
      </c>
      <c r="E622" s="265" t="s">
        <v>7908</v>
      </c>
      <c r="F622" s="272" t="s">
        <v>7909</v>
      </c>
      <c r="G622" s="94">
        <v>825000</v>
      </c>
      <c r="I622" t="s">
        <v>1597</v>
      </c>
      <c r="J622" t="s">
        <v>6540</v>
      </c>
      <c r="K622" s="272" t="s">
        <v>7910</v>
      </c>
      <c r="L622" s="96">
        <v>45.246164999999998</v>
      </c>
      <c r="M622" s="96">
        <v>-71.980273999999994</v>
      </c>
      <c r="N622" s="63">
        <v>13.91</v>
      </c>
      <c r="O622" s="407">
        <v>0.5</v>
      </c>
      <c r="P622" t="s">
        <v>154</v>
      </c>
      <c r="Q622" s="436">
        <v>3</v>
      </c>
      <c r="R622" t="s">
        <v>6542</v>
      </c>
      <c r="S622">
        <v>5.2</v>
      </c>
      <c r="T622" t="s">
        <v>7273</v>
      </c>
      <c r="AK622" t="s">
        <v>7911</v>
      </c>
      <c r="AM622" s="1">
        <f t="shared" si="25"/>
        <v>59309.849029475197</v>
      </c>
    </row>
    <row r="623" spans="1:39" ht="47.45" hidden="1" customHeight="1">
      <c r="A623" s="196">
        <v>29426970</v>
      </c>
      <c r="C623" s="317">
        <v>45786</v>
      </c>
      <c r="D623" t="s">
        <v>7912</v>
      </c>
      <c r="E623" t="s">
        <v>7913</v>
      </c>
      <c r="F623" t="s">
        <v>7914</v>
      </c>
      <c r="G623" s="94">
        <v>533000</v>
      </c>
      <c r="I623" t="s">
        <v>1629</v>
      </c>
      <c r="J623" t="s">
        <v>47</v>
      </c>
      <c r="K623" t="s">
        <v>7915</v>
      </c>
      <c r="L623" s="96" t="s">
        <v>7916</v>
      </c>
      <c r="M623" s="245" t="s">
        <v>7917</v>
      </c>
      <c r="N623" s="63">
        <f>57.01+26.06</f>
        <v>83.07</v>
      </c>
      <c r="O623" s="43" t="s">
        <v>36</v>
      </c>
      <c r="P623" t="s">
        <v>35</v>
      </c>
      <c r="Q623" s="452" t="s">
        <v>4835</v>
      </c>
      <c r="R623" t="s">
        <v>4710</v>
      </c>
      <c r="S623">
        <f>10.3+7.7</f>
        <v>18</v>
      </c>
      <c r="Y623" s="63">
        <f>33.6+26.06</f>
        <v>59.66</v>
      </c>
      <c r="AF623" s="63" t="s">
        <v>7918</v>
      </c>
      <c r="AK623" t="s">
        <v>1328</v>
      </c>
      <c r="AL623" t="s">
        <v>7919</v>
      </c>
      <c r="AM623" s="1">
        <f t="shared" si="25"/>
        <v>6416.2754303599377</v>
      </c>
    </row>
    <row r="624" spans="1:39" ht="47.45" hidden="1" customHeight="1">
      <c r="A624" s="196" t="s">
        <v>7920</v>
      </c>
      <c r="C624" s="317">
        <v>45786</v>
      </c>
      <c r="F624" t="s">
        <v>7921</v>
      </c>
      <c r="G624" s="94">
        <v>1225000</v>
      </c>
      <c r="I624" t="s">
        <v>476</v>
      </c>
      <c r="N624" s="63">
        <v>98.26</v>
      </c>
      <c r="S624">
        <v>34.6</v>
      </c>
      <c r="Y624" s="63">
        <v>58.2</v>
      </c>
      <c r="AM624" s="1">
        <f t="shared" si="25"/>
        <v>12466.924486057398</v>
      </c>
    </row>
    <row r="625" spans="1:39" ht="47.45" hidden="1" customHeight="1">
      <c r="A625" s="196">
        <v>29434366</v>
      </c>
      <c r="C625" s="317">
        <v>45790</v>
      </c>
      <c r="D625" t="s">
        <v>7922</v>
      </c>
      <c r="E625" t="s">
        <v>7923</v>
      </c>
      <c r="F625">
        <v>3056594</v>
      </c>
      <c r="G625" s="94">
        <v>160000</v>
      </c>
      <c r="I625" t="s">
        <v>201</v>
      </c>
      <c r="J625" t="s">
        <v>4212</v>
      </c>
      <c r="K625">
        <v>0</v>
      </c>
      <c r="L625" s="96">
        <v>46.772033</v>
      </c>
      <c r="M625" s="245" t="s">
        <v>7924</v>
      </c>
      <c r="N625" s="63">
        <v>4.78</v>
      </c>
      <c r="O625" t="s">
        <v>18</v>
      </c>
      <c r="P625" t="s">
        <v>206</v>
      </c>
      <c r="Q625" s="436" t="s">
        <v>4703</v>
      </c>
      <c r="R625" t="s">
        <v>4604</v>
      </c>
      <c r="S625">
        <v>4.5</v>
      </c>
      <c r="W625" t="s">
        <v>7865</v>
      </c>
      <c r="Y625" s="63">
        <v>0</v>
      </c>
    </row>
    <row r="626" spans="1:39" ht="47.45" hidden="1" customHeight="1">
      <c r="A626" s="196">
        <v>29442585</v>
      </c>
      <c r="C626" s="317">
        <v>45792</v>
      </c>
      <c r="D626" t="s">
        <v>7925</v>
      </c>
      <c r="E626" s="20" t="s">
        <v>7926</v>
      </c>
      <c r="F626" t="s">
        <v>7927</v>
      </c>
      <c r="G626" s="94">
        <v>2050000</v>
      </c>
      <c r="J626" t="s">
        <v>7078</v>
      </c>
      <c r="K626" t="s">
        <v>7928</v>
      </c>
      <c r="L626" s="96" t="s">
        <v>7929</v>
      </c>
      <c r="M626" s="245" t="s">
        <v>7930</v>
      </c>
      <c r="N626" s="63">
        <f>23.32+14.14+1.89+4.46</f>
        <v>43.81</v>
      </c>
      <c r="O626" s="43" t="s">
        <v>36</v>
      </c>
      <c r="P626" t="s">
        <v>35</v>
      </c>
      <c r="Q626" s="436">
        <v>2</v>
      </c>
      <c r="R626" t="s">
        <v>4669</v>
      </c>
      <c r="S626">
        <f>17.5+13.2+5.2</f>
        <v>35.9</v>
      </c>
      <c r="Y626" s="63">
        <v>3.2</v>
      </c>
      <c r="AM626" s="1">
        <f t="shared" ref="AM626:AM657" si="26">G626/N626</f>
        <v>46792.969641634329</v>
      </c>
    </row>
    <row r="627" spans="1:39" ht="47.45" hidden="1" customHeight="1">
      <c r="A627" s="196">
        <v>29439203</v>
      </c>
      <c r="C627" s="317">
        <v>45792</v>
      </c>
      <c r="D627" t="s">
        <v>7931</v>
      </c>
      <c r="E627" t="s">
        <v>7932</v>
      </c>
      <c r="F627" s="269">
        <v>6572849</v>
      </c>
      <c r="G627" s="62">
        <v>1100000</v>
      </c>
      <c r="H627" s="62"/>
      <c r="I627" t="s">
        <v>6023</v>
      </c>
      <c r="J627" t="s">
        <v>7393</v>
      </c>
      <c r="K627" t="s">
        <v>7933</v>
      </c>
      <c r="L627" s="288" t="s">
        <v>7934</v>
      </c>
      <c r="M627" s="289" t="s">
        <v>7935</v>
      </c>
      <c r="N627" s="63">
        <v>50.34</v>
      </c>
      <c r="O627" t="s">
        <v>18</v>
      </c>
      <c r="P627" t="s">
        <v>35</v>
      </c>
      <c r="Q627" s="436" t="s">
        <v>7396</v>
      </c>
      <c r="S627">
        <f>7.5+5.3+2.3+3.7+5.5+2.8+5.7+12.2</f>
        <v>45</v>
      </c>
      <c r="T627" s="43" t="s">
        <v>4596</v>
      </c>
      <c r="U627">
        <f>Table3[[#This Row],[Superficie cultivée (ha)]]</f>
        <v>45</v>
      </c>
      <c r="X627" s="62"/>
      <c r="AA627" s="64"/>
      <c r="AD627" s="62"/>
      <c r="AE627" s="62"/>
      <c r="AF627" s="63" t="s">
        <v>7936</v>
      </c>
      <c r="AG627" s="62"/>
      <c r="AK627" t="s">
        <v>7752</v>
      </c>
      <c r="AM627" s="16">
        <f t="shared" si="26"/>
        <v>21851.410409217322</v>
      </c>
    </row>
    <row r="628" spans="1:39" ht="47.45" hidden="1" customHeight="1">
      <c r="A628" s="196">
        <v>29452668</v>
      </c>
      <c r="C628" s="317">
        <v>45798</v>
      </c>
      <c r="D628" s="247" t="s">
        <v>7937</v>
      </c>
      <c r="E628" s="247" t="s">
        <v>7938</v>
      </c>
      <c r="F628" s="247" t="s">
        <v>7939</v>
      </c>
      <c r="G628" s="94">
        <v>4195500</v>
      </c>
      <c r="I628" t="s">
        <v>611</v>
      </c>
      <c r="J628" t="s">
        <v>6811</v>
      </c>
      <c r="K628" t="s">
        <v>7940</v>
      </c>
      <c r="L628" s="96">
        <v>45.158467000000002</v>
      </c>
      <c r="M628" s="96">
        <v>-73.171148000000002</v>
      </c>
      <c r="N628" s="63">
        <v>83.91</v>
      </c>
      <c r="O628" t="s">
        <v>18</v>
      </c>
      <c r="P628" t="s">
        <v>35</v>
      </c>
      <c r="Q628" s="436">
        <v>2</v>
      </c>
      <c r="R628" t="s">
        <v>4710</v>
      </c>
      <c r="S628">
        <v>80.900000000000006</v>
      </c>
      <c r="U628">
        <f>Table3[[#This Row],[Superficie cultivée (ha)]]-5.26</f>
        <v>75.64</v>
      </c>
      <c r="V628" s="43" t="s">
        <v>5038</v>
      </c>
      <c r="W628" s="43"/>
      <c r="Y628" s="63">
        <v>0</v>
      </c>
      <c r="AK628" t="s">
        <v>7941</v>
      </c>
      <c r="AM628" s="1">
        <f t="shared" si="26"/>
        <v>50000</v>
      </c>
    </row>
    <row r="629" spans="1:39" ht="47.45" hidden="1" customHeight="1">
      <c r="A629" s="196">
        <v>29462805</v>
      </c>
      <c r="C629" s="317">
        <v>45803</v>
      </c>
      <c r="D629" t="s">
        <v>7942</v>
      </c>
      <c r="E629" t="s">
        <v>7943</v>
      </c>
      <c r="F629" s="269">
        <v>5158548</v>
      </c>
      <c r="G629" s="62">
        <v>900000</v>
      </c>
      <c r="H629" s="62"/>
      <c r="I629" t="s">
        <v>6023</v>
      </c>
      <c r="J629" t="s">
        <v>7944</v>
      </c>
      <c r="K629" t="s">
        <v>7945</v>
      </c>
      <c r="L629" s="288" t="s">
        <v>7946</v>
      </c>
      <c r="M629" s="288" t="s">
        <v>7947</v>
      </c>
      <c r="N629" s="63">
        <v>29</v>
      </c>
      <c r="O629" t="s">
        <v>18</v>
      </c>
      <c r="P629" t="s">
        <v>35</v>
      </c>
      <c r="Q629" s="436" t="s">
        <v>7396</v>
      </c>
      <c r="S629">
        <f>7.5+12.9</f>
        <v>20.399999999999999</v>
      </c>
      <c r="T629" s="43" t="s">
        <v>4596</v>
      </c>
      <c r="U629">
        <f>Table3[[#This Row],[Superficie cultivée (ha)]]</f>
        <v>20.399999999999999</v>
      </c>
      <c r="X629" s="62"/>
      <c r="Y629" s="63">
        <v>6.4</v>
      </c>
      <c r="AA629" s="64"/>
      <c r="AD629" s="62"/>
      <c r="AE629" s="62"/>
      <c r="AG629" s="62"/>
      <c r="AK629" t="s">
        <v>7948</v>
      </c>
      <c r="AM629" s="16">
        <f t="shared" si="26"/>
        <v>31034.482758620688</v>
      </c>
    </row>
    <row r="630" spans="1:39" ht="47.45" customHeight="1">
      <c r="A630" s="196" t="s">
        <v>7949</v>
      </c>
      <c r="C630" s="317">
        <v>45803</v>
      </c>
      <c r="F630" t="s">
        <v>7950</v>
      </c>
      <c r="I630" t="s">
        <v>654</v>
      </c>
      <c r="AM630" s="1" t="e">
        <f t="shared" si="26"/>
        <v>#DIV/0!</v>
      </c>
    </row>
    <row r="631" spans="1:39" ht="47.45" hidden="1" customHeight="1">
      <c r="A631" s="196">
        <v>29473668</v>
      </c>
      <c r="C631" s="317">
        <v>45806</v>
      </c>
      <c r="D631" t="s">
        <v>7951</v>
      </c>
      <c r="E631" t="s">
        <v>7952</v>
      </c>
      <c r="F631" s="269">
        <v>2707453</v>
      </c>
      <c r="G631" s="94">
        <v>500000</v>
      </c>
      <c r="I631" t="s">
        <v>192</v>
      </c>
      <c r="J631" t="s">
        <v>3198</v>
      </c>
      <c r="K631" t="s">
        <v>7953</v>
      </c>
      <c r="L631" s="96" t="s">
        <v>7954</v>
      </c>
      <c r="M631" s="245" t="s">
        <v>7955</v>
      </c>
      <c r="N631" s="63">
        <v>20.81</v>
      </c>
      <c r="O631" s="43" t="s">
        <v>36</v>
      </c>
      <c r="P631" t="s">
        <v>35</v>
      </c>
      <c r="Q631" s="436">
        <v>3</v>
      </c>
      <c r="R631" t="s">
        <v>4595</v>
      </c>
      <c r="S631">
        <v>7.1</v>
      </c>
      <c r="Y631" s="63">
        <v>12.9</v>
      </c>
      <c r="AM631" s="1">
        <f t="shared" si="26"/>
        <v>24026.910139356081</v>
      </c>
    </row>
    <row r="632" spans="1:39" ht="47.45" hidden="1" customHeight="1">
      <c r="A632" s="196">
        <v>29484507</v>
      </c>
      <c r="C632" s="317">
        <v>45810</v>
      </c>
      <c r="D632" s="272" t="s">
        <v>7956</v>
      </c>
      <c r="E632" s="272" t="s">
        <v>7957</v>
      </c>
      <c r="F632" t="s">
        <v>7958</v>
      </c>
      <c r="G632" s="94">
        <v>350000</v>
      </c>
      <c r="I632" t="s">
        <v>1629</v>
      </c>
      <c r="J632" t="s">
        <v>1630</v>
      </c>
      <c r="K632" s="272" t="s">
        <v>7959</v>
      </c>
      <c r="L632" s="96">
        <v>45.427101</v>
      </c>
      <c r="M632" s="96">
        <v>-71.775099999999995</v>
      </c>
      <c r="N632" s="63">
        <v>154.88</v>
      </c>
      <c r="O632" t="s">
        <v>18</v>
      </c>
      <c r="P632" t="s">
        <v>3789</v>
      </c>
      <c r="Q632" s="436">
        <v>3</v>
      </c>
      <c r="R632" t="s">
        <v>155</v>
      </c>
      <c r="S632">
        <v>33.5</v>
      </c>
      <c r="Y632" s="63">
        <f>Table3[[#This Row],[Superficie totale (ha)]]-Table3[[#This Row],[Superficie cultivée (ha)]]-5.8-3</f>
        <v>112.58</v>
      </c>
      <c r="AK632" t="s">
        <v>7960</v>
      </c>
      <c r="AM632" s="1">
        <f t="shared" si="26"/>
        <v>2259.8140495867769</v>
      </c>
    </row>
    <row r="633" spans="1:39" ht="47.45" hidden="1" customHeight="1">
      <c r="A633" s="196" t="s">
        <v>7961</v>
      </c>
      <c r="C633" s="317">
        <v>45812</v>
      </c>
      <c r="F633" t="s">
        <v>7962</v>
      </c>
      <c r="G633" s="94">
        <v>1325000</v>
      </c>
      <c r="I633" t="s">
        <v>476</v>
      </c>
      <c r="N633" s="63">
        <v>33.03</v>
      </c>
      <c r="S633">
        <v>31.9</v>
      </c>
      <c r="Y633" s="63">
        <v>0</v>
      </c>
      <c r="AM633" s="1">
        <f t="shared" si="26"/>
        <v>40115.046927036026</v>
      </c>
    </row>
    <row r="634" spans="1:39" ht="47.45" customHeight="1">
      <c r="A634" s="196" t="s">
        <v>7963</v>
      </c>
      <c r="C634" s="317">
        <v>45813</v>
      </c>
      <c r="F634" t="s">
        <v>7964</v>
      </c>
      <c r="I634" t="s">
        <v>654</v>
      </c>
      <c r="AM634" s="1" t="e">
        <f t="shared" si="26"/>
        <v>#DIV/0!</v>
      </c>
    </row>
    <row r="635" spans="1:39" ht="47.45" customHeight="1">
      <c r="A635" s="196" t="s">
        <v>7965</v>
      </c>
      <c r="C635" s="317">
        <v>45814</v>
      </c>
      <c r="F635" t="s">
        <v>7966</v>
      </c>
      <c r="I635" t="s">
        <v>328</v>
      </c>
      <c r="AM635" s="1" t="e">
        <f t="shared" si="26"/>
        <v>#DIV/0!</v>
      </c>
    </row>
    <row r="636" spans="1:39" ht="47.45" hidden="1" customHeight="1">
      <c r="A636" s="196">
        <v>29507151</v>
      </c>
      <c r="C636" s="317">
        <v>45818</v>
      </c>
      <c r="D636" t="s">
        <v>7967</v>
      </c>
      <c r="E636" t="s">
        <v>7968</v>
      </c>
      <c r="F636" s="269">
        <v>2210298</v>
      </c>
      <c r="G636" s="94">
        <v>1000000</v>
      </c>
      <c r="I636" t="s">
        <v>192</v>
      </c>
      <c r="J636" t="s">
        <v>7969</v>
      </c>
      <c r="K636" t="s">
        <v>7970</v>
      </c>
      <c r="L636" s="96" t="s">
        <v>7971</v>
      </c>
      <c r="M636" s="245" t="s">
        <v>7972</v>
      </c>
      <c r="N636" s="63">
        <v>19.93</v>
      </c>
      <c r="O636" s="43" t="s">
        <v>36</v>
      </c>
      <c r="P636" t="s">
        <v>35</v>
      </c>
      <c r="Q636" s="436">
        <v>3</v>
      </c>
      <c r="R636" t="s">
        <v>4595</v>
      </c>
      <c r="S636">
        <v>19.2</v>
      </c>
      <c r="V636">
        <f>Table3[[#This Row],[Superficie cultivée (ha)]]</f>
        <v>19.2</v>
      </c>
      <c r="AK636" t="s">
        <v>7973</v>
      </c>
      <c r="AM636" s="1">
        <f t="shared" si="26"/>
        <v>50175.61465127948</v>
      </c>
    </row>
    <row r="637" spans="1:39" ht="47.45" hidden="1" customHeight="1">
      <c r="A637" s="196">
        <v>29509424</v>
      </c>
      <c r="C637" s="317">
        <v>45819</v>
      </c>
      <c r="D637" s="266" t="s">
        <v>7974</v>
      </c>
      <c r="E637" s="266" t="s">
        <v>7975</v>
      </c>
      <c r="F637" s="266" t="s">
        <v>7976</v>
      </c>
      <c r="G637" s="94">
        <v>480000</v>
      </c>
      <c r="I637" t="s">
        <v>223</v>
      </c>
      <c r="J637" t="s">
        <v>301</v>
      </c>
      <c r="K637" s="249"/>
      <c r="L637" s="96">
        <v>47.275078000000001</v>
      </c>
      <c r="M637" s="96">
        <v>-70.141587999999999</v>
      </c>
      <c r="N637" s="63">
        <v>16.78</v>
      </c>
      <c r="O637" t="s">
        <v>18</v>
      </c>
      <c r="P637" t="s">
        <v>35</v>
      </c>
      <c r="Q637" s="436">
        <v>3</v>
      </c>
      <c r="R637" t="s">
        <v>4669</v>
      </c>
      <c r="S637">
        <v>16.5</v>
      </c>
      <c r="AK637" t="s">
        <v>7977</v>
      </c>
      <c r="AM637" s="1">
        <f t="shared" si="26"/>
        <v>28605.482717520856</v>
      </c>
    </row>
    <row r="638" spans="1:39" ht="47.45" hidden="1" customHeight="1">
      <c r="A638" s="196">
        <v>29522456</v>
      </c>
      <c r="C638" s="317">
        <v>45824</v>
      </c>
      <c r="D638" t="s">
        <v>7978</v>
      </c>
      <c r="E638" t="s">
        <v>7979</v>
      </c>
      <c r="F638" t="s">
        <v>7980</v>
      </c>
      <c r="G638" s="94">
        <v>275000</v>
      </c>
      <c r="J638" t="s">
        <v>7344</v>
      </c>
      <c r="K638" t="s">
        <v>7981</v>
      </c>
      <c r="L638" s="96" t="s">
        <v>7982</v>
      </c>
      <c r="M638" s="245" t="s">
        <v>7983</v>
      </c>
      <c r="N638" s="63">
        <f>9.96+10.68</f>
        <v>20.64</v>
      </c>
      <c r="O638" s="43" t="s">
        <v>36</v>
      </c>
      <c r="P638" t="s">
        <v>35</v>
      </c>
      <c r="Q638" s="436">
        <v>4</v>
      </c>
      <c r="R638" t="s">
        <v>4946</v>
      </c>
      <c r="S638">
        <f>14.1-0.4</f>
        <v>13.7</v>
      </c>
      <c r="Y638" s="63">
        <f>1.5+1.2+3.8</f>
        <v>6.5</v>
      </c>
      <c r="AK638" t="s">
        <v>1328</v>
      </c>
      <c r="AM638" s="1">
        <f t="shared" si="26"/>
        <v>13323.643410852714</v>
      </c>
    </row>
    <row r="639" spans="1:39" ht="47.45" hidden="1" customHeight="1">
      <c r="A639" s="196">
        <v>29527568</v>
      </c>
      <c r="C639" s="317">
        <v>45825</v>
      </c>
      <c r="D639" s="247" t="s">
        <v>7984</v>
      </c>
      <c r="E639" s="247" t="s">
        <v>7985</v>
      </c>
      <c r="F639" t="s">
        <v>7986</v>
      </c>
      <c r="G639" s="94">
        <v>150000</v>
      </c>
      <c r="I639" t="s">
        <v>50</v>
      </c>
      <c r="J639" t="s">
        <v>7448</v>
      </c>
      <c r="L639" s="96">
        <v>45.786095000000003</v>
      </c>
      <c r="M639" s="96">
        <v>-70.615752000000001</v>
      </c>
      <c r="N639" s="63">
        <f>21.69+9.9</f>
        <v>31.590000000000003</v>
      </c>
      <c r="O639" t="s">
        <v>18</v>
      </c>
      <c r="P639" t="s">
        <v>361</v>
      </c>
      <c r="Q639" s="436">
        <v>4</v>
      </c>
      <c r="R639" t="s">
        <v>4687</v>
      </c>
      <c r="S639">
        <v>11</v>
      </c>
      <c r="Y639" s="63">
        <f>31.59-11</f>
        <v>20.59</v>
      </c>
      <c r="AK639" t="s">
        <v>7987</v>
      </c>
      <c r="AM639" s="1">
        <f t="shared" si="26"/>
        <v>4748.3380816714143</v>
      </c>
    </row>
    <row r="640" spans="1:39" ht="47.45" hidden="1" customHeight="1">
      <c r="A640" s="196">
        <v>29538414</v>
      </c>
      <c r="C640" s="317">
        <v>45827</v>
      </c>
      <c r="D640" s="247" t="s">
        <v>7988</v>
      </c>
      <c r="E640" s="247" t="s">
        <v>7989</v>
      </c>
      <c r="F640" s="247" t="s">
        <v>7990</v>
      </c>
      <c r="G640" s="62">
        <v>342380</v>
      </c>
      <c r="H640" s="62"/>
      <c r="I640" t="s">
        <v>201</v>
      </c>
      <c r="J640" t="s">
        <v>202</v>
      </c>
      <c r="L640" s="288">
        <v>46.741413999999999</v>
      </c>
      <c r="M640" s="289" t="s">
        <v>7991</v>
      </c>
      <c r="N640" s="63">
        <v>10.07</v>
      </c>
      <c r="O640" t="s">
        <v>18</v>
      </c>
      <c r="P640" t="s">
        <v>206</v>
      </c>
      <c r="Q640" s="436" t="s">
        <v>4722</v>
      </c>
      <c r="R640" t="s">
        <v>4669</v>
      </c>
      <c r="S640">
        <v>9.8000000000000007</v>
      </c>
      <c r="T640" t="s">
        <v>3124</v>
      </c>
      <c r="X640" s="62"/>
      <c r="Y640" s="63">
        <v>0</v>
      </c>
      <c r="AA640" s="64"/>
      <c r="AD640" s="62"/>
      <c r="AE640" s="62"/>
      <c r="AG640" s="62"/>
      <c r="AK640" t="s">
        <v>7992</v>
      </c>
      <c r="AM640" s="16">
        <f t="shared" si="26"/>
        <v>34000</v>
      </c>
    </row>
    <row r="641" spans="1:39" ht="47.45" customHeight="1">
      <c r="A641" s="196">
        <v>29537293</v>
      </c>
      <c r="C641" s="317">
        <v>45827</v>
      </c>
      <c r="D641" t="s">
        <v>7993</v>
      </c>
      <c r="E641" t="s">
        <v>7994</v>
      </c>
      <c r="F641" s="269">
        <v>2599809</v>
      </c>
      <c r="G641" s="94">
        <v>1000000</v>
      </c>
      <c r="I641" t="s">
        <v>37</v>
      </c>
      <c r="J641" t="s">
        <v>239</v>
      </c>
      <c r="K641" t="s">
        <v>7995</v>
      </c>
      <c r="AD641" s="94" t="s">
        <v>4926</v>
      </c>
      <c r="AM641" s="1" t="e">
        <f t="shared" si="26"/>
        <v>#DIV/0!</v>
      </c>
    </row>
    <row r="642" spans="1:39" ht="47.45" customHeight="1">
      <c r="A642" s="196" t="s">
        <v>7996</v>
      </c>
      <c r="C642" s="317">
        <v>45827</v>
      </c>
      <c r="F642" t="s">
        <v>7997</v>
      </c>
      <c r="I642" t="s">
        <v>39</v>
      </c>
      <c r="J642" t="s">
        <v>7998</v>
      </c>
      <c r="AM642" s="1" t="e">
        <f t="shared" si="26"/>
        <v>#DIV/0!</v>
      </c>
    </row>
    <row r="643" spans="1:39" ht="47.45" hidden="1" customHeight="1">
      <c r="A643" s="239" t="s">
        <v>7999</v>
      </c>
      <c r="C643" s="317">
        <v>45828</v>
      </c>
      <c r="D643" s="249" t="s">
        <v>8000</v>
      </c>
      <c r="E643" s="249" t="s">
        <v>8001</v>
      </c>
      <c r="F643" t="s">
        <v>8002</v>
      </c>
      <c r="G643" s="94">
        <v>1650000</v>
      </c>
      <c r="I643" t="s">
        <v>1597</v>
      </c>
      <c r="J643" t="s">
        <v>3298</v>
      </c>
      <c r="K643" s="249" t="s">
        <v>8003</v>
      </c>
      <c r="L643" s="96">
        <v>45.237952999999997</v>
      </c>
      <c r="M643" s="96">
        <v>-72.220439999999996</v>
      </c>
      <c r="N643" s="63">
        <v>84.77</v>
      </c>
      <c r="O643" t="s">
        <v>18</v>
      </c>
      <c r="P643" t="s">
        <v>384</v>
      </c>
      <c r="Q643" s="436">
        <v>4</v>
      </c>
      <c r="R643" t="s">
        <v>5056</v>
      </c>
      <c r="S643">
        <v>12.57</v>
      </c>
      <c r="T643" t="s">
        <v>6609</v>
      </c>
      <c r="Y643" s="63">
        <f>Table3[[#This Row],[Superficie totale (ha)]]-Table3[[#This Row],[Superficie cultivée (ha)]]</f>
        <v>72.199999999999989</v>
      </c>
      <c r="AK643" t="s">
        <v>8004</v>
      </c>
      <c r="AM643" s="1">
        <f t="shared" si="26"/>
        <v>19464.433172112778</v>
      </c>
    </row>
    <row r="644" spans="1:39" ht="47.45" hidden="1" customHeight="1">
      <c r="A644" s="196">
        <v>29546376</v>
      </c>
      <c r="C644" s="317">
        <v>45831</v>
      </c>
      <c r="D644" t="s">
        <v>8005</v>
      </c>
      <c r="E644" t="s">
        <v>8006</v>
      </c>
      <c r="F644" s="269">
        <v>3841976</v>
      </c>
      <c r="G644" s="94">
        <v>395000</v>
      </c>
      <c r="I644" t="s">
        <v>192</v>
      </c>
      <c r="J644" t="s">
        <v>8007</v>
      </c>
      <c r="K644" t="s">
        <v>8008</v>
      </c>
      <c r="L644" s="96" t="s">
        <v>8009</v>
      </c>
      <c r="M644" s="245" t="s">
        <v>8010</v>
      </c>
      <c r="N644" s="63">
        <v>16.16</v>
      </c>
      <c r="O644" s="43" t="s">
        <v>36</v>
      </c>
      <c r="P644" t="s">
        <v>35</v>
      </c>
      <c r="Q644" s="436">
        <v>3</v>
      </c>
      <c r="R644" t="s">
        <v>4669</v>
      </c>
      <c r="S644">
        <f>4.2+3.5</f>
        <v>7.7</v>
      </c>
      <c r="Y644" s="63">
        <v>7.7</v>
      </c>
      <c r="AK644" t="s">
        <v>8011</v>
      </c>
      <c r="AM644" s="1">
        <f t="shared" si="26"/>
        <v>24443.069306930694</v>
      </c>
    </row>
    <row r="645" spans="1:39" ht="47.45" hidden="1" customHeight="1">
      <c r="A645" s="196">
        <v>29487916</v>
      </c>
      <c r="C645" s="317">
        <v>45831</v>
      </c>
      <c r="D645" s="247" t="s">
        <v>8012</v>
      </c>
      <c r="E645" s="247" t="s">
        <v>8013</v>
      </c>
      <c r="F645" s="247" t="s">
        <v>8014</v>
      </c>
      <c r="G645" s="62">
        <v>1200000</v>
      </c>
      <c r="H645" s="62"/>
      <c r="I645" t="s">
        <v>149</v>
      </c>
      <c r="J645" t="s">
        <v>8015</v>
      </c>
      <c r="L645" s="288"/>
      <c r="M645" s="288"/>
      <c r="N645" s="63">
        <v>96.04</v>
      </c>
      <c r="O645" t="s">
        <v>18</v>
      </c>
      <c r="P645" s="47" t="s">
        <v>154</v>
      </c>
      <c r="Q645" s="436">
        <v>4</v>
      </c>
      <c r="R645" t="s">
        <v>4946</v>
      </c>
      <c r="S645">
        <v>4.5</v>
      </c>
      <c r="T645" s="43" t="s">
        <v>4596</v>
      </c>
      <c r="X645" s="62"/>
      <c r="Y645" s="63">
        <v>90</v>
      </c>
      <c r="AA645" s="64"/>
      <c r="AD645" s="62"/>
      <c r="AE645" s="62"/>
      <c r="AG645" s="62"/>
      <c r="AK645" s="20" t="s">
        <v>8016</v>
      </c>
      <c r="AM645" s="16">
        <f t="shared" si="26"/>
        <v>12494.793835901706</v>
      </c>
    </row>
    <row r="646" spans="1:39" ht="47.45" hidden="1" customHeight="1">
      <c r="A646" s="196" t="s">
        <v>8017</v>
      </c>
      <c r="C646" s="317">
        <v>45831</v>
      </c>
      <c r="F646" t="s">
        <v>8018</v>
      </c>
      <c r="G646" s="94">
        <v>800000</v>
      </c>
      <c r="I646" t="s">
        <v>476</v>
      </c>
      <c r="N646" s="63">
        <v>41.76</v>
      </c>
      <c r="S646">
        <v>22</v>
      </c>
      <c r="Y646" s="63">
        <v>19.760000000000002</v>
      </c>
      <c r="AM646" s="1">
        <f t="shared" si="26"/>
        <v>19157.088122605364</v>
      </c>
    </row>
    <row r="647" spans="1:39" ht="47.45" hidden="1" customHeight="1">
      <c r="A647" s="196">
        <v>29551089</v>
      </c>
      <c r="C647" s="317">
        <v>45833</v>
      </c>
      <c r="D647" s="247" t="s">
        <v>8019</v>
      </c>
      <c r="E647" s="247" t="s">
        <v>8020</v>
      </c>
      <c r="F647" s="247" t="s">
        <v>8021</v>
      </c>
      <c r="G647" s="62">
        <v>550000</v>
      </c>
      <c r="H647" s="62"/>
      <c r="I647" t="s">
        <v>201</v>
      </c>
      <c r="J647" t="s">
        <v>202</v>
      </c>
      <c r="L647" s="288"/>
      <c r="M647" s="288"/>
      <c r="N647" s="63">
        <v>16.670000000000002</v>
      </c>
      <c r="O647" t="s">
        <v>18</v>
      </c>
      <c r="P647" s="47" t="s">
        <v>154</v>
      </c>
      <c r="Q647" s="436">
        <v>3</v>
      </c>
      <c r="R647" t="s">
        <v>6052</v>
      </c>
      <c r="S647">
        <v>13.6</v>
      </c>
      <c r="T647" s="43" t="s">
        <v>4596</v>
      </c>
      <c r="X647" s="62"/>
      <c r="Y647" s="63">
        <v>2</v>
      </c>
      <c r="AA647" s="64"/>
      <c r="AD647" s="62"/>
      <c r="AE647" s="62"/>
      <c r="AG647" s="62"/>
      <c r="AK647" t="s">
        <v>8022</v>
      </c>
      <c r="AM647" s="16">
        <f t="shared" si="26"/>
        <v>32993.401319736047</v>
      </c>
    </row>
    <row r="648" spans="1:39" ht="47.45" hidden="1" customHeight="1">
      <c r="A648" s="196">
        <v>29550755</v>
      </c>
      <c r="C648" s="317">
        <v>45833</v>
      </c>
      <c r="D648" t="s">
        <v>8023</v>
      </c>
      <c r="E648" t="s">
        <v>8024</v>
      </c>
      <c r="F648" t="s">
        <v>8025</v>
      </c>
      <c r="G648" s="94">
        <v>4800000</v>
      </c>
      <c r="I648" t="s">
        <v>192</v>
      </c>
      <c r="J648" t="s">
        <v>2599</v>
      </c>
      <c r="K648" t="s">
        <v>8026</v>
      </c>
      <c r="L648" s="96" t="s">
        <v>8027</v>
      </c>
      <c r="M648" s="245" t="s">
        <v>8028</v>
      </c>
      <c r="N648" s="63">
        <f>66.9+2.26</f>
        <v>69.160000000000011</v>
      </c>
      <c r="O648" s="43" t="s">
        <v>36</v>
      </c>
      <c r="P648" t="s">
        <v>35</v>
      </c>
      <c r="Q648" s="436">
        <v>2</v>
      </c>
      <c r="R648" t="s">
        <v>4710</v>
      </c>
      <c r="S648">
        <f>37.6+28.1</f>
        <v>65.7</v>
      </c>
      <c r="V648">
        <f>Table3[[#This Row],[Superficie cultivée (ha)]]</f>
        <v>65.7</v>
      </c>
      <c r="AK648" t="s">
        <v>8029</v>
      </c>
      <c r="AM648" s="1">
        <f t="shared" si="26"/>
        <v>69404.279930595716</v>
      </c>
    </row>
    <row r="649" spans="1:39" ht="47.45" hidden="1" customHeight="1">
      <c r="A649" s="196" t="s">
        <v>8030</v>
      </c>
      <c r="C649" s="317">
        <v>45833</v>
      </c>
      <c r="D649" t="s">
        <v>8031</v>
      </c>
      <c r="E649" t="s">
        <v>8032</v>
      </c>
      <c r="F649" t="s">
        <v>8033</v>
      </c>
      <c r="G649" s="94">
        <v>600000</v>
      </c>
      <c r="I649" t="s">
        <v>722</v>
      </c>
      <c r="J649" t="s">
        <v>8034</v>
      </c>
      <c r="K649" t="s">
        <v>8035</v>
      </c>
      <c r="L649" s="96">
        <v>46.384481999999998</v>
      </c>
      <c r="M649" s="245" t="s">
        <v>8036</v>
      </c>
      <c r="N649" s="63">
        <v>17.25</v>
      </c>
      <c r="O649" t="s">
        <v>18</v>
      </c>
      <c r="P649" t="s">
        <v>26</v>
      </c>
      <c r="S649">
        <v>12.5</v>
      </c>
      <c r="W649" t="s">
        <v>7461</v>
      </c>
      <c r="Y649" s="63">
        <v>2.2000000000000002</v>
      </c>
      <c r="AK649" t="s">
        <v>8037</v>
      </c>
      <c r="AM649" s="1">
        <f t="shared" si="26"/>
        <v>34782.608695652176</v>
      </c>
    </row>
    <row r="650" spans="1:39" ht="47.45" hidden="1" customHeight="1">
      <c r="A650" s="196">
        <v>29567526</v>
      </c>
      <c r="C650" s="317">
        <v>45840</v>
      </c>
      <c r="D650" s="247" t="s">
        <v>8038</v>
      </c>
      <c r="E650" s="247" t="s">
        <v>8039</v>
      </c>
      <c r="F650" s="247" t="s">
        <v>8040</v>
      </c>
      <c r="G650" s="94">
        <v>525000</v>
      </c>
      <c r="I650" t="s">
        <v>1629</v>
      </c>
      <c r="J650" t="s">
        <v>8041</v>
      </c>
      <c r="L650" s="96">
        <v>45.280292000000003</v>
      </c>
      <c r="M650" s="96">
        <v>-71.508295000000004</v>
      </c>
      <c r="N650" s="63">
        <v>21.03</v>
      </c>
      <c r="O650" t="s">
        <v>18</v>
      </c>
      <c r="P650" t="s">
        <v>361</v>
      </c>
      <c r="Q650" s="436" t="s">
        <v>8042</v>
      </c>
      <c r="R650" t="s">
        <v>7200</v>
      </c>
      <c r="S650">
        <f>12+2.8</f>
        <v>14.8</v>
      </c>
      <c r="Y650" s="63">
        <f>Table3[[#This Row],[Superficie totale (ha)]]-Table3[[#This Row],[Superficie cultivée (ha)]]-0.9</f>
        <v>5.33</v>
      </c>
      <c r="AK650" t="s">
        <v>8043</v>
      </c>
      <c r="AM650" s="1">
        <f t="shared" si="26"/>
        <v>24964.336661911555</v>
      </c>
    </row>
    <row r="651" spans="1:39" ht="47.45" customHeight="1">
      <c r="A651" s="196" t="s">
        <v>8044</v>
      </c>
      <c r="C651" s="317">
        <v>45840</v>
      </c>
      <c r="F651" t="s">
        <v>8045</v>
      </c>
      <c r="G651" s="94">
        <v>1015000</v>
      </c>
      <c r="I651" t="s">
        <v>747</v>
      </c>
      <c r="AM651" s="1" t="e">
        <f t="shared" si="26"/>
        <v>#DIV/0!</v>
      </c>
    </row>
    <row r="652" spans="1:39" ht="47.45" hidden="1" customHeight="1">
      <c r="A652" s="196">
        <v>29575970</v>
      </c>
      <c r="C652" s="317">
        <v>45842</v>
      </c>
      <c r="D652" s="239" t="s">
        <v>8046</v>
      </c>
      <c r="E652" s="239" t="s">
        <v>8047</v>
      </c>
      <c r="F652" t="s">
        <v>8048</v>
      </c>
      <c r="G652" s="94">
        <v>1100000</v>
      </c>
      <c r="I652" t="s">
        <v>7005</v>
      </c>
      <c r="J652" t="s">
        <v>8049</v>
      </c>
      <c r="L652" s="96">
        <v>46.981724</v>
      </c>
      <c r="M652" s="96">
        <v>-71.470174</v>
      </c>
      <c r="N652" s="63">
        <v>32.96</v>
      </c>
      <c r="O652" t="s">
        <v>18</v>
      </c>
      <c r="P652" t="s">
        <v>8050</v>
      </c>
      <c r="Q652" s="436">
        <v>3</v>
      </c>
      <c r="R652" t="s">
        <v>155</v>
      </c>
      <c r="S652">
        <f>4.4+3.9</f>
        <v>8.3000000000000007</v>
      </c>
      <c r="T652" t="s">
        <v>5388</v>
      </c>
      <c r="Y652" s="63">
        <v>21.4</v>
      </c>
      <c r="AK652" t="s">
        <v>8051</v>
      </c>
      <c r="AM652" s="1">
        <f t="shared" si="26"/>
        <v>33373.786407766987</v>
      </c>
    </row>
    <row r="653" spans="1:39" ht="47.45" customHeight="1">
      <c r="A653" s="196" t="s">
        <v>8052</v>
      </c>
      <c r="C653" s="317">
        <v>45842</v>
      </c>
      <c r="F653" t="s">
        <v>8053</v>
      </c>
      <c r="I653" t="s">
        <v>328</v>
      </c>
      <c r="AM653" s="1" t="e">
        <f t="shared" si="26"/>
        <v>#DIV/0!</v>
      </c>
    </row>
    <row r="654" spans="1:39" ht="47.45" hidden="1" customHeight="1">
      <c r="A654" s="196">
        <v>29584803</v>
      </c>
      <c r="C654" s="317">
        <v>45846</v>
      </c>
      <c r="D654" s="247" t="s">
        <v>8054</v>
      </c>
      <c r="E654" s="247" t="s">
        <v>8055</v>
      </c>
      <c r="F654" t="s">
        <v>8056</v>
      </c>
      <c r="G654" s="94">
        <v>900000</v>
      </c>
      <c r="I654" t="s">
        <v>1629</v>
      </c>
      <c r="J654" t="s">
        <v>3497</v>
      </c>
      <c r="L654" s="96">
        <v>45.465819000000003</v>
      </c>
      <c r="M654" s="96">
        <v>-71.469622000000001</v>
      </c>
      <c r="N654" s="63">
        <v>104.1</v>
      </c>
      <c r="O654" t="s">
        <v>18</v>
      </c>
      <c r="P654" t="s">
        <v>154</v>
      </c>
      <c r="Q654" s="436" t="s">
        <v>8057</v>
      </c>
      <c r="R654" t="s">
        <v>5016</v>
      </c>
      <c r="S654">
        <v>43.3</v>
      </c>
      <c r="Y654" s="63">
        <f>Table3[[#This Row],[Superficie totale (ha)]]-Table3[[#This Row],[Superficie cultivée (ha)]]</f>
        <v>60.8</v>
      </c>
      <c r="AK654" t="s">
        <v>8058</v>
      </c>
      <c r="AM654" s="1">
        <f t="shared" si="26"/>
        <v>8645.5331412103751</v>
      </c>
    </row>
    <row r="655" spans="1:39" ht="47.45" customHeight="1">
      <c r="A655" s="196" t="s">
        <v>8502</v>
      </c>
      <c r="B655" s="19"/>
      <c r="C655" s="19">
        <v>45842</v>
      </c>
      <c r="F655" t="s">
        <v>8503</v>
      </c>
      <c r="G655" s="94">
        <v>315000</v>
      </c>
      <c r="I655" t="s">
        <v>65</v>
      </c>
      <c r="J655" t="s">
        <v>2599</v>
      </c>
      <c r="AM655" s="1" t="e">
        <f t="shared" si="26"/>
        <v>#DIV/0!</v>
      </c>
    </row>
    <row r="656" spans="1:39" ht="47.45" hidden="1" customHeight="1">
      <c r="A656" s="196" t="s">
        <v>8061</v>
      </c>
      <c r="C656" s="317">
        <v>45849</v>
      </c>
      <c r="D656" t="s">
        <v>8062</v>
      </c>
      <c r="E656" t="s">
        <v>8063</v>
      </c>
      <c r="F656" t="s">
        <v>8064</v>
      </c>
      <c r="G656" s="94">
        <v>825000</v>
      </c>
      <c r="I656" t="s">
        <v>722</v>
      </c>
      <c r="J656" t="s">
        <v>1888</v>
      </c>
      <c r="K656" t="s">
        <v>8065</v>
      </c>
      <c r="L656" s="96">
        <v>46.444482000000001</v>
      </c>
      <c r="M656" s="245" t="s">
        <v>8066</v>
      </c>
      <c r="N656" s="63">
        <v>29.08</v>
      </c>
      <c r="O656" t="s">
        <v>18</v>
      </c>
      <c r="P656" t="s">
        <v>206</v>
      </c>
      <c r="Q656" s="436" t="s">
        <v>4771</v>
      </c>
      <c r="R656" t="s">
        <v>7200</v>
      </c>
      <c r="S656">
        <f>8.7+0.1+7.7+2+6.7</f>
        <v>25.2</v>
      </c>
      <c r="U656">
        <f>Table3[[#This Row],[Superficie cultivée (ha)]]</f>
        <v>25.2</v>
      </c>
      <c r="W656" t="s">
        <v>8067</v>
      </c>
      <c r="Y656" s="63">
        <v>1.6</v>
      </c>
      <c r="AM656" s="1">
        <f t="shared" si="26"/>
        <v>28370.013755158187</v>
      </c>
    </row>
    <row r="657" spans="1:39" ht="47.45" customHeight="1">
      <c r="A657" s="196" t="s">
        <v>8059</v>
      </c>
      <c r="C657" s="317">
        <v>45849</v>
      </c>
      <c r="F657" t="s">
        <v>8060</v>
      </c>
      <c r="G657" s="94">
        <v>4154302</v>
      </c>
      <c r="I657" t="s">
        <v>747</v>
      </c>
      <c r="AM657" s="1" t="e">
        <f t="shared" si="26"/>
        <v>#DIV/0!</v>
      </c>
    </row>
    <row r="658" spans="1:39" ht="47.45" hidden="1" customHeight="1">
      <c r="A658" s="196" t="s">
        <v>8070</v>
      </c>
      <c r="C658" s="317">
        <v>45855</v>
      </c>
      <c r="F658" t="s">
        <v>8071</v>
      </c>
      <c r="G658" s="94">
        <v>100000</v>
      </c>
      <c r="I658" t="s">
        <v>2520</v>
      </c>
      <c r="J658" t="s">
        <v>8072</v>
      </c>
      <c r="N658" s="63">
        <v>48.52</v>
      </c>
      <c r="O658" t="s">
        <v>18</v>
      </c>
      <c r="P658" t="s">
        <v>173</v>
      </c>
      <c r="Q658" s="436" t="s">
        <v>4703</v>
      </c>
      <c r="R658" t="s">
        <v>5297</v>
      </c>
      <c r="S658">
        <v>9.8000000000000007</v>
      </c>
      <c r="T658" t="s">
        <v>4596</v>
      </c>
      <c r="Y658" s="63">
        <f>Table3[[#This Row],[Superficie totale (ha)]]-Table3[[#This Row],[Superficie cultivée (ha)]]</f>
        <v>38.72</v>
      </c>
      <c r="AK658" t="s">
        <v>8073</v>
      </c>
      <c r="AM658" s="1">
        <f t="shared" ref="AM658:AM687" si="27">G658/N658</f>
        <v>2061.005770816158</v>
      </c>
    </row>
    <row r="659" spans="1:39" ht="47.45" hidden="1" customHeight="1">
      <c r="A659" s="464">
        <v>29622484</v>
      </c>
      <c r="B659" s="66"/>
      <c r="C659" s="324">
        <v>45859</v>
      </c>
      <c r="D659" s="66" t="s">
        <v>8074</v>
      </c>
      <c r="E659" s="66" t="s">
        <v>8075</v>
      </c>
      <c r="F659" s="130" t="s">
        <v>8076</v>
      </c>
      <c r="G659" s="98">
        <v>380000</v>
      </c>
      <c r="H659" s="98"/>
      <c r="I659" s="66" t="s">
        <v>4432</v>
      </c>
      <c r="J659" s="66" t="s">
        <v>8077</v>
      </c>
      <c r="K659" s="66" t="s">
        <v>8078</v>
      </c>
      <c r="L659" s="100">
        <v>48.801116</v>
      </c>
      <c r="M659" s="101" t="s">
        <v>8079</v>
      </c>
      <c r="N659" s="123">
        <v>238.39</v>
      </c>
      <c r="O659" s="66" t="s">
        <v>18</v>
      </c>
      <c r="P659" s="66" t="s">
        <v>206</v>
      </c>
      <c r="Q659" s="450" t="s">
        <v>4771</v>
      </c>
      <c r="R659" s="66" t="s">
        <v>5949</v>
      </c>
      <c r="S659" s="66">
        <v>95</v>
      </c>
      <c r="T659" s="66" t="s">
        <v>4773</v>
      </c>
      <c r="U659" s="66"/>
      <c r="V659" s="66"/>
      <c r="W659" s="66" t="s">
        <v>4774</v>
      </c>
      <c r="X659" s="98"/>
      <c r="Y659" s="123">
        <v>127</v>
      </c>
      <c r="Z659" s="123"/>
      <c r="AA659" s="99"/>
      <c r="AB659" s="66"/>
      <c r="AC659" s="124"/>
      <c r="AD659" s="98"/>
      <c r="AE659" s="98"/>
      <c r="AF659" s="123"/>
      <c r="AG659" s="98"/>
      <c r="AH659" s="66"/>
      <c r="AI659" s="66"/>
      <c r="AJ659" s="66"/>
      <c r="AK659" s="66"/>
      <c r="AL659" s="66"/>
      <c r="AM659" s="465">
        <f t="shared" si="27"/>
        <v>1594.0265950752969</v>
      </c>
    </row>
    <row r="660" spans="1:39" ht="47.45" customHeight="1">
      <c r="A660" s="196" t="s">
        <v>8068</v>
      </c>
      <c r="C660" s="317">
        <v>45853</v>
      </c>
      <c r="F660" t="s">
        <v>8069</v>
      </c>
      <c r="G660" s="94">
        <v>603000</v>
      </c>
      <c r="I660" t="s">
        <v>747</v>
      </c>
      <c r="AM660" s="1" t="e">
        <f t="shared" si="27"/>
        <v>#DIV/0!</v>
      </c>
    </row>
    <row r="661" spans="1:39" ht="47.45" hidden="1" customHeight="1">
      <c r="A661" s="351">
        <v>29630596</v>
      </c>
      <c r="B661" s="66"/>
      <c r="C661" s="324">
        <v>45861</v>
      </c>
      <c r="D661" s="66" t="s">
        <v>8083</v>
      </c>
      <c r="E661" s="66" t="s">
        <v>8084</v>
      </c>
      <c r="F661" s="132" t="s">
        <v>8085</v>
      </c>
      <c r="G661" s="98">
        <v>160000</v>
      </c>
      <c r="H661" s="98"/>
      <c r="I661" s="66" t="s">
        <v>8086</v>
      </c>
      <c r="J661" s="66" t="s">
        <v>8086</v>
      </c>
      <c r="K661" s="66" t="s">
        <v>8087</v>
      </c>
      <c r="L661" s="100">
        <v>48.355415999999998</v>
      </c>
      <c r="M661" s="101" t="s">
        <v>8088</v>
      </c>
      <c r="N661" s="123">
        <v>84.22</v>
      </c>
      <c r="O661" s="66" t="s">
        <v>18</v>
      </c>
      <c r="P661" s="66" t="s">
        <v>206</v>
      </c>
      <c r="Q661" s="450" t="s">
        <v>4771</v>
      </c>
      <c r="R661" s="66" t="s">
        <v>8089</v>
      </c>
      <c r="S661" s="66">
        <v>22.3</v>
      </c>
      <c r="T661" s="66" t="s">
        <v>4773</v>
      </c>
      <c r="U661" s="66"/>
      <c r="V661" s="66"/>
      <c r="W661" s="66" t="s">
        <v>4774</v>
      </c>
      <c r="X661" s="98"/>
      <c r="Y661" s="123">
        <v>60.8</v>
      </c>
      <c r="Z661" s="123"/>
      <c r="AA661" s="99"/>
      <c r="AB661" s="66"/>
      <c r="AC661" s="124"/>
      <c r="AD661" s="98"/>
      <c r="AE661" s="98"/>
      <c r="AF661" s="123"/>
      <c r="AG661" s="98"/>
      <c r="AH661" s="66"/>
      <c r="AI661" s="66"/>
      <c r="AJ661" s="66"/>
      <c r="AK661" s="66"/>
      <c r="AL661" s="66"/>
      <c r="AM661" s="465">
        <f t="shared" si="27"/>
        <v>1899.7862740441701</v>
      </c>
    </row>
    <row r="662" spans="1:39" ht="47.45" hidden="1" customHeight="1">
      <c r="A662" s="196">
        <v>29634136</v>
      </c>
      <c r="C662" s="317">
        <v>45863</v>
      </c>
      <c r="D662" t="s">
        <v>8090</v>
      </c>
      <c r="E662" t="s">
        <v>7669</v>
      </c>
      <c r="F662">
        <v>6676166</v>
      </c>
      <c r="G662" s="94">
        <v>800000</v>
      </c>
      <c r="I662" t="s">
        <v>1629</v>
      </c>
      <c r="J662" t="s">
        <v>8091</v>
      </c>
      <c r="K662" t="s">
        <v>8092</v>
      </c>
      <c r="N662" s="63">
        <v>34.520000000000003</v>
      </c>
      <c r="O662" t="s">
        <v>18</v>
      </c>
      <c r="P662" t="s">
        <v>154</v>
      </c>
      <c r="AF662" s="63" t="s">
        <v>8093</v>
      </c>
      <c r="AK662" t="s">
        <v>8094</v>
      </c>
      <c r="AM662" s="1">
        <f t="shared" si="27"/>
        <v>23174.971031286208</v>
      </c>
    </row>
    <row r="663" spans="1:39" ht="47.45" customHeight="1">
      <c r="A663" s="196" t="s">
        <v>8080</v>
      </c>
      <c r="C663" s="317">
        <v>45860</v>
      </c>
      <c r="F663" t="s">
        <v>8081</v>
      </c>
      <c r="I663" t="s">
        <v>39</v>
      </c>
      <c r="J663" t="s">
        <v>8082</v>
      </c>
      <c r="AM663" s="1" t="e">
        <f t="shared" si="27"/>
        <v>#DIV/0!</v>
      </c>
    </row>
    <row r="664" spans="1:39" ht="47.45" hidden="1" customHeight="1">
      <c r="A664" s="196">
        <v>29645874</v>
      </c>
      <c r="C664" s="317">
        <v>45869</v>
      </c>
      <c r="D664" s="239" t="s">
        <v>8097</v>
      </c>
      <c r="E664" s="239" t="s">
        <v>8098</v>
      </c>
      <c r="F664" s="239" t="s">
        <v>8099</v>
      </c>
      <c r="G664" s="94">
        <v>1280000</v>
      </c>
      <c r="I664" t="s">
        <v>8100</v>
      </c>
      <c r="J664" t="s">
        <v>1996</v>
      </c>
      <c r="L664" s="96">
        <v>46.669758999999999</v>
      </c>
      <c r="M664" s="96">
        <v>-71.021139000000005</v>
      </c>
      <c r="N664" s="63">
        <v>22.66</v>
      </c>
      <c r="O664" t="s">
        <v>36</v>
      </c>
      <c r="P664" t="s">
        <v>206</v>
      </c>
      <c r="Q664" s="436">
        <v>4</v>
      </c>
      <c r="R664" t="s">
        <v>4801</v>
      </c>
      <c r="S664">
        <v>17.899999999999999</v>
      </c>
      <c r="Y664" s="63">
        <v>1.1000000000000001</v>
      </c>
      <c r="AK664" t="s">
        <v>8101</v>
      </c>
      <c r="AM664" s="1">
        <f t="shared" si="27"/>
        <v>56487.202118270077</v>
      </c>
    </row>
    <row r="665" spans="1:39" ht="47.45" customHeight="1">
      <c r="A665" s="196" t="s">
        <v>8095</v>
      </c>
      <c r="C665" s="317">
        <v>45866</v>
      </c>
      <c r="F665" t="s">
        <v>8096</v>
      </c>
      <c r="I665" t="s">
        <v>2594</v>
      </c>
      <c r="AM665" s="1" t="e">
        <f t="shared" si="27"/>
        <v>#DIV/0!</v>
      </c>
    </row>
    <row r="666" spans="1:39" ht="47.45" customHeight="1">
      <c r="A666" s="196" t="s">
        <v>8102</v>
      </c>
      <c r="C666" s="317">
        <v>45869</v>
      </c>
      <c r="F666" t="s">
        <v>8103</v>
      </c>
      <c r="I666" t="s">
        <v>8104</v>
      </c>
      <c r="AM666" s="1" t="e">
        <f t="shared" si="27"/>
        <v>#DIV/0!</v>
      </c>
    </row>
    <row r="667" spans="1:39" ht="47.45" hidden="1" customHeight="1">
      <c r="A667" s="196">
        <v>29652637</v>
      </c>
      <c r="C667" s="317">
        <v>45874</v>
      </c>
      <c r="D667" t="s">
        <v>8107</v>
      </c>
      <c r="E667" t="s">
        <v>8108</v>
      </c>
      <c r="F667" t="s">
        <v>8109</v>
      </c>
      <c r="G667" s="94">
        <v>1060000</v>
      </c>
      <c r="I667" t="s">
        <v>4917</v>
      </c>
      <c r="J667" t="s">
        <v>5431</v>
      </c>
      <c r="K667" t="s">
        <v>8110</v>
      </c>
      <c r="L667" s="96" t="s">
        <v>8111</v>
      </c>
      <c r="M667" s="245" t="s">
        <v>8112</v>
      </c>
      <c r="N667" s="63">
        <f>6.37+3.44+3.4+7.34</f>
        <v>20.55</v>
      </c>
      <c r="O667" s="43" t="s">
        <v>36</v>
      </c>
      <c r="P667" t="s">
        <v>35</v>
      </c>
      <c r="Q667" s="436">
        <v>2</v>
      </c>
      <c r="R667" t="s">
        <v>4669</v>
      </c>
      <c r="S667">
        <f>13.4+5.7</f>
        <v>19.100000000000001</v>
      </c>
      <c r="V667">
        <f>Table3[[#This Row],[Superficie cultivée (ha)]]-8.8</f>
        <v>10.3</v>
      </c>
      <c r="AM667" s="1">
        <f t="shared" si="27"/>
        <v>51581.508515815083</v>
      </c>
    </row>
    <row r="668" spans="1:39" ht="47.45" hidden="1" customHeight="1">
      <c r="A668" s="196">
        <v>29662999</v>
      </c>
      <c r="C668" s="317">
        <v>45880</v>
      </c>
      <c r="D668" s="247" t="s">
        <v>8113</v>
      </c>
      <c r="E668" s="247" t="s">
        <v>8114</v>
      </c>
      <c r="F668" s="247" t="s">
        <v>8115</v>
      </c>
      <c r="G668" s="94">
        <v>1100000</v>
      </c>
      <c r="I668" t="s">
        <v>5985</v>
      </c>
      <c r="J668" t="s">
        <v>819</v>
      </c>
      <c r="L668">
        <v>45.853656000000001</v>
      </c>
      <c r="M668" s="96">
        <v>-71.945708999999994</v>
      </c>
      <c r="N668" s="63">
        <v>81.42</v>
      </c>
      <c r="O668" t="s">
        <v>36</v>
      </c>
      <c r="P668" t="s">
        <v>19</v>
      </c>
      <c r="Q668" s="436">
        <v>3</v>
      </c>
      <c r="R668" t="s">
        <v>4946</v>
      </c>
      <c r="S668">
        <v>38.6</v>
      </c>
      <c r="T668" t="s">
        <v>4596</v>
      </c>
      <c r="Y668" s="63">
        <f>Table3[[#This Row],[Superficie totale (ha)]]-Table3[[#This Row],[Superficie cultivée (ha)]]</f>
        <v>42.82</v>
      </c>
      <c r="AK668" t="s">
        <v>8116</v>
      </c>
      <c r="AM668" s="1">
        <f t="shared" si="27"/>
        <v>13510.194055514616</v>
      </c>
    </row>
    <row r="669" spans="1:39" ht="47.45" hidden="1" customHeight="1">
      <c r="A669" s="196">
        <v>29668260</v>
      </c>
      <c r="C669" s="317">
        <v>45882</v>
      </c>
      <c r="D669" t="s">
        <v>8117</v>
      </c>
      <c r="E669" t="s">
        <v>8118</v>
      </c>
      <c r="F669">
        <v>5817286</v>
      </c>
      <c r="G669" s="94">
        <v>705000</v>
      </c>
      <c r="I669" t="s">
        <v>42</v>
      </c>
      <c r="J669" t="s">
        <v>8119</v>
      </c>
      <c r="K669" t="s">
        <v>8120</v>
      </c>
      <c r="L669" s="96" t="s">
        <v>8121</v>
      </c>
      <c r="M669" s="245" t="s">
        <v>8122</v>
      </c>
      <c r="N669" s="63">
        <v>45.5</v>
      </c>
      <c r="O669" s="43" t="s">
        <v>36</v>
      </c>
      <c r="P669" t="s">
        <v>384</v>
      </c>
      <c r="Q669" s="436">
        <v>3</v>
      </c>
      <c r="R669" t="s">
        <v>155</v>
      </c>
      <c r="S669">
        <f>13.9+4.5+4.9+4.3+1.6+1.4</f>
        <v>30.599999999999998</v>
      </c>
      <c r="Y669" s="63">
        <v>8.8000000000000007</v>
      </c>
      <c r="AK669" t="s">
        <v>8123</v>
      </c>
      <c r="AM669" s="1">
        <f t="shared" si="27"/>
        <v>15494.505494505494</v>
      </c>
    </row>
    <row r="670" spans="1:39" ht="47.45" hidden="1" customHeight="1">
      <c r="A670" s="464">
        <v>29672661</v>
      </c>
      <c r="B670" s="66"/>
      <c r="C670" s="324">
        <v>45883</v>
      </c>
      <c r="D670" s="66" t="s">
        <v>8124</v>
      </c>
      <c r="E670" s="66" t="s">
        <v>8125</v>
      </c>
      <c r="F670" s="130">
        <v>5449750</v>
      </c>
      <c r="G670" s="98">
        <v>125000</v>
      </c>
      <c r="H670" s="98"/>
      <c r="I670" s="66" t="s">
        <v>74</v>
      </c>
      <c r="J670" s="66" t="s">
        <v>184</v>
      </c>
      <c r="K670" s="66" t="s">
        <v>6863</v>
      </c>
      <c r="L670" s="100">
        <v>46.070495999999999</v>
      </c>
      <c r="M670" s="101" t="s">
        <v>8126</v>
      </c>
      <c r="N670" s="123">
        <v>22.96</v>
      </c>
      <c r="O670" s="66" t="s">
        <v>18</v>
      </c>
      <c r="P670" t="s">
        <v>206</v>
      </c>
      <c r="Q670" s="450" t="s">
        <v>4771</v>
      </c>
      <c r="R670" s="66" t="s">
        <v>4620</v>
      </c>
      <c r="S670" s="66">
        <v>12.3</v>
      </c>
      <c r="T670" s="66" t="s">
        <v>8127</v>
      </c>
      <c r="U670" s="66">
        <v>0</v>
      </c>
      <c r="V670" s="66"/>
      <c r="W670" s="66" t="s">
        <v>8128</v>
      </c>
      <c r="X670" s="98"/>
      <c r="Y670" s="123">
        <v>8.5</v>
      </c>
      <c r="Z670" s="123"/>
      <c r="AA670" s="99"/>
      <c r="AB670" s="66"/>
      <c r="AC670" s="124"/>
      <c r="AD670" s="98"/>
      <c r="AE670" s="98"/>
      <c r="AF670" s="123"/>
      <c r="AK670" s="66"/>
      <c r="AL670" s="66"/>
      <c r="AM670" s="465">
        <f t="shared" si="27"/>
        <v>5444.2508710801394</v>
      </c>
    </row>
    <row r="671" spans="1:39" ht="47.45" hidden="1" customHeight="1">
      <c r="A671" s="196">
        <v>29677720</v>
      </c>
      <c r="C671" s="317">
        <v>45887</v>
      </c>
      <c r="D671" s="247" t="s">
        <v>8129</v>
      </c>
      <c r="E671" s="247" t="s">
        <v>8130</v>
      </c>
      <c r="F671" s="247" t="s">
        <v>8131</v>
      </c>
      <c r="G671" s="94">
        <v>80000</v>
      </c>
      <c r="I671" t="s">
        <v>50</v>
      </c>
      <c r="J671" t="s">
        <v>6734</v>
      </c>
      <c r="L671" s="96">
        <v>46.116743999999997</v>
      </c>
      <c r="M671" s="96">
        <v>-70.611541000000003</v>
      </c>
      <c r="N671" s="63">
        <v>41.09</v>
      </c>
      <c r="O671" t="s">
        <v>18</v>
      </c>
      <c r="P671" t="s">
        <v>154</v>
      </c>
      <c r="Q671" s="436">
        <v>3</v>
      </c>
      <c r="R671" t="s">
        <v>8132</v>
      </c>
      <c r="S671">
        <v>16</v>
      </c>
      <c r="Y671" s="63">
        <f>41.09-16-1</f>
        <v>24.090000000000003</v>
      </c>
      <c r="AK671" t="s">
        <v>8133</v>
      </c>
      <c r="AM671" s="1">
        <f t="shared" si="27"/>
        <v>1946.945728887807</v>
      </c>
    </row>
    <row r="672" spans="1:39" ht="47.45" hidden="1" customHeight="1">
      <c r="A672" s="196" t="s">
        <v>8134</v>
      </c>
      <c r="C672" s="317">
        <v>45890</v>
      </c>
      <c r="F672" t="s">
        <v>8071</v>
      </c>
      <c r="G672" s="94">
        <v>250000</v>
      </c>
      <c r="I672" t="s">
        <v>2520</v>
      </c>
      <c r="J672" t="s">
        <v>8072</v>
      </c>
      <c r="N672" s="63">
        <v>48.52</v>
      </c>
      <c r="O672" t="s">
        <v>18</v>
      </c>
      <c r="P672" t="s">
        <v>173</v>
      </c>
      <c r="Q672" s="436" t="s">
        <v>4703</v>
      </c>
      <c r="R672" t="s">
        <v>5297</v>
      </c>
      <c r="S672">
        <v>9.8000000000000007</v>
      </c>
      <c r="T672" t="s">
        <v>4596</v>
      </c>
      <c r="Y672" s="63">
        <f>Table3[[#This Row],[Superficie totale (ha)]]-Table3[[#This Row],[Superficie cultivée (ha)]]</f>
        <v>38.72</v>
      </c>
      <c r="AK672" t="s">
        <v>8135</v>
      </c>
      <c r="AM672" s="1">
        <f t="shared" si="27"/>
        <v>5152.5144270403953</v>
      </c>
    </row>
    <row r="673" spans="1:39" ht="47.45" hidden="1" customHeight="1">
      <c r="A673" s="196">
        <v>29704027</v>
      </c>
      <c r="C673" s="317">
        <v>45897</v>
      </c>
      <c r="D673" s="239" t="s">
        <v>8136</v>
      </c>
      <c r="E673" s="239" t="s">
        <v>8137</v>
      </c>
      <c r="F673" t="s">
        <v>8138</v>
      </c>
      <c r="G673" s="94">
        <v>350000</v>
      </c>
      <c r="I673" t="s">
        <v>53</v>
      </c>
      <c r="J673" t="s">
        <v>8139</v>
      </c>
      <c r="K673" s="239" t="s">
        <v>8140</v>
      </c>
      <c r="L673" s="96">
        <v>47.432434000000001</v>
      </c>
      <c r="M673" s="96">
        <v>-68.891240999999994</v>
      </c>
      <c r="N673" s="63">
        <v>200.14</v>
      </c>
      <c r="O673" t="s">
        <v>25</v>
      </c>
      <c r="P673" t="s">
        <v>173</v>
      </c>
      <c r="Q673" s="436">
        <v>4</v>
      </c>
      <c r="R673" t="s">
        <v>4604</v>
      </c>
      <c r="S673">
        <v>16.600000000000001</v>
      </c>
      <c r="AK673" t="s">
        <v>8141</v>
      </c>
      <c r="AM673" s="1">
        <f t="shared" si="27"/>
        <v>1748.7758569001701</v>
      </c>
    </row>
    <row r="674" spans="1:39" ht="47.45" hidden="1" customHeight="1">
      <c r="A674" s="196" t="s">
        <v>8142</v>
      </c>
      <c r="C674" s="317">
        <v>45897</v>
      </c>
      <c r="F674" t="s">
        <v>8143</v>
      </c>
      <c r="G674" s="94">
        <v>102000</v>
      </c>
      <c r="I674" t="s">
        <v>476</v>
      </c>
      <c r="N674" s="63">
        <v>6.64</v>
      </c>
      <c r="S674">
        <v>5.9</v>
      </c>
      <c r="Y674" s="63">
        <v>0</v>
      </c>
      <c r="AM674" s="1">
        <f t="shared" si="27"/>
        <v>15361.445783132531</v>
      </c>
    </row>
    <row r="675" spans="1:39" ht="47.45" hidden="1" customHeight="1">
      <c r="A675" s="196" t="s">
        <v>8144</v>
      </c>
      <c r="C675" s="317">
        <v>45898</v>
      </c>
      <c r="F675" t="s">
        <v>8145</v>
      </c>
      <c r="G675" s="94">
        <v>1600000</v>
      </c>
      <c r="I675" t="s">
        <v>476</v>
      </c>
      <c r="N675" s="63">
        <v>61.75</v>
      </c>
      <c r="S675">
        <v>52.7</v>
      </c>
      <c r="Y675" s="63">
        <v>9.0500000000000007</v>
      </c>
      <c r="AM675" s="1">
        <f t="shared" si="27"/>
        <v>25910.93117408907</v>
      </c>
    </row>
    <row r="676" spans="1:39" ht="47.45" hidden="1" customHeight="1">
      <c r="A676" s="196">
        <v>29713685</v>
      </c>
      <c r="C676" s="317">
        <v>45902</v>
      </c>
      <c r="D676" s="249" t="s">
        <v>8146</v>
      </c>
      <c r="E676" s="249" t="s">
        <v>8147</v>
      </c>
      <c r="F676" s="249" t="s">
        <v>8148</v>
      </c>
      <c r="G676" s="94">
        <v>1350000</v>
      </c>
      <c r="I676" t="s">
        <v>37</v>
      </c>
      <c r="J676" t="s">
        <v>8149</v>
      </c>
      <c r="K676" t="s">
        <v>8150</v>
      </c>
      <c r="L676" s="96">
        <v>45.492029000000002</v>
      </c>
      <c r="M676" s="96">
        <v>-73.144587000000001</v>
      </c>
      <c r="N676" s="63">
        <v>28.57</v>
      </c>
      <c r="O676" t="s">
        <v>18</v>
      </c>
      <c r="P676" t="s">
        <v>35</v>
      </c>
      <c r="Q676" s="436">
        <v>2</v>
      </c>
      <c r="R676" t="s">
        <v>4669</v>
      </c>
      <c r="S676">
        <v>26.9</v>
      </c>
      <c r="T676" t="s">
        <v>4596</v>
      </c>
      <c r="AK676" t="s">
        <v>8151</v>
      </c>
      <c r="AM676" s="1">
        <f t="shared" si="27"/>
        <v>47252.362618130908</v>
      </c>
    </row>
    <row r="677" spans="1:39" ht="47.45" customHeight="1">
      <c r="A677" s="196" t="s">
        <v>8504</v>
      </c>
      <c r="B677" s="19"/>
      <c r="C677" s="317">
        <v>45869</v>
      </c>
      <c r="F677" t="s">
        <v>8505</v>
      </c>
      <c r="G677" s="94">
        <v>1560000</v>
      </c>
      <c r="I677" t="s">
        <v>65</v>
      </c>
      <c r="J677" t="s">
        <v>4547</v>
      </c>
      <c r="AM677" s="1" t="e">
        <f t="shared" si="27"/>
        <v>#DIV/0!</v>
      </c>
    </row>
    <row r="678" spans="1:39" ht="47.45" customHeight="1">
      <c r="A678" s="196" t="s">
        <v>8105</v>
      </c>
      <c r="C678" s="317">
        <v>45870</v>
      </c>
      <c r="F678" t="s">
        <v>8106</v>
      </c>
      <c r="I678" t="s">
        <v>328</v>
      </c>
      <c r="AM678" s="1" t="e">
        <f t="shared" si="27"/>
        <v>#DIV/0!</v>
      </c>
    </row>
    <row r="679" spans="1:39" ht="47.45" hidden="1" customHeight="1">
      <c r="A679" s="196">
        <v>29739628</v>
      </c>
      <c r="C679" s="317">
        <v>45912</v>
      </c>
      <c r="D679" s="249" t="s">
        <v>8156</v>
      </c>
      <c r="E679" s="249" t="s">
        <v>8157</v>
      </c>
      <c r="F679" s="249" t="s">
        <v>8158</v>
      </c>
      <c r="G679" s="94">
        <v>5750000</v>
      </c>
      <c r="I679" t="s">
        <v>2560</v>
      </c>
      <c r="J679" t="s">
        <v>8159</v>
      </c>
      <c r="K679" t="s">
        <v>8160</v>
      </c>
      <c r="L679" s="96">
        <v>45.488778000000003</v>
      </c>
      <c r="M679" s="96">
        <v>-73.217321999999996</v>
      </c>
      <c r="N679" s="63">
        <v>96.69</v>
      </c>
      <c r="O679" t="s">
        <v>18</v>
      </c>
      <c r="P679" t="s">
        <v>35</v>
      </c>
      <c r="Q679" s="436">
        <v>2</v>
      </c>
      <c r="R679" t="s">
        <v>4669</v>
      </c>
      <c r="S679">
        <v>91.6</v>
      </c>
      <c r="T679" t="s">
        <v>4596</v>
      </c>
      <c r="AK679" t="s">
        <v>8161</v>
      </c>
      <c r="AM679" s="1">
        <f t="shared" si="27"/>
        <v>59468.404178301789</v>
      </c>
    </row>
    <row r="680" spans="1:39" ht="47.45" hidden="1" customHeight="1">
      <c r="A680" s="196">
        <v>29745877</v>
      </c>
      <c r="C680" s="317">
        <v>45915</v>
      </c>
      <c r="D680" s="275" t="s">
        <v>8162</v>
      </c>
      <c r="E680" s="275" t="s">
        <v>8163</v>
      </c>
      <c r="F680" s="272" t="s">
        <v>8164</v>
      </c>
      <c r="G680" s="94">
        <v>275000</v>
      </c>
      <c r="I680" t="s">
        <v>7005</v>
      </c>
      <c r="J680" t="s">
        <v>8049</v>
      </c>
      <c r="L680" s="96">
        <v>46.982298</v>
      </c>
      <c r="M680" s="96">
        <v>-71.475470000000001</v>
      </c>
      <c r="N680" s="63">
        <v>14.97</v>
      </c>
      <c r="O680" t="s">
        <v>18</v>
      </c>
      <c r="P680" t="s">
        <v>8050</v>
      </c>
      <c r="Q680" s="436">
        <v>3</v>
      </c>
      <c r="R680" t="s">
        <v>155</v>
      </c>
      <c r="S680">
        <v>5</v>
      </c>
      <c r="T680" t="s">
        <v>5388</v>
      </c>
      <c r="Y680" s="63">
        <v>9.6</v>
      </c>
      <c r="AK680" t="s">
        <v>8165</v>
      </c>
      <c r="AM680" s="1">
        <f t="shared" si="27"/>
        <v>18370.073480293919</v>
      </c>
    </row>
    <row r="681" spans="1:39" ht="47.45" hidden="1" customHeight="1">
      <c r="A681" s="196">
        <v>29751112</v>
      </c>
      <c r="C681" s="317">
        <v>45917</v>
      </c>
      <c r="D681" s="247" t="s">
        <v>8166</v>
      </c>
      <c r="E681" s="247" t="s">
        <v>8167</v>
      </c>
      <c r="F681" t="s">
        <v>8168</v>
      </c>
      <c r="G681" s="62">
        <v>1300000</v>
      </c>
      <c r="H681" s="62"/>
      <c r="I681" t="s">
        <v>5985</v>
      </c>
      <c r="J681" t="s">
        <v>1466</v>
      </c>
      <c r="K681" s="247" t="s">
        <v>8169</v>
      </c>
      <c r="L681">
        <v>45.959119999999999</v>
      </c>
      <c r="M681" s="288">
        <v>-71.937737999999996</v>
      </c>
      <c r="N681" s="63">
        <v>71.2</v>
      </c>
      <c r="O681" t="s">
        <v>36</v>
      </c>
      <c r="P681" t="s">
        <v>173</v>
      </c>
      <c r="Q681" s="436">
        <v>5</v>
      </c>
      <c r="R681" t="s">
        <v>5056</v>
      </c>
      <c r="S681">
        <v>38.200000000000003</v>
      </c>
      <c r="T681" t="s">
        <v>4596</v>
      </c>
      <c r="X681" s="62"/>
      <c r="Y681" s="63">
        <v>21.76</v>
      </c>
      <c r="AA681" s="64"/>
      <c r="AD681" s="62"/>
      <c r="AE681" s="62"/>
      <c r="AG681" s="62"/>
      <c r="AK681" t="s">
        <v>8170</v>
      </c>
      <c r="AM681" s="16">
        <f t="shared" si="27"/>
        <v>18258.426966292132</v>
      </c>
    </row>
    <row r="682" spans="1:39">
      <c r="A682" s="196" t="s">
        <v>8152</v>
      </c>
      <c r="C682" s="317">
        <v>45904</v>
      </c>
      <c r="F682" t="s">
        <v>8153</v>
      </c>
      <c r="I682" t="s">
        <v>654</v>
      </c>
      <c r="AM682" s="1" t="e">
        <f t="shared" si="27"/>
        <v>#DIV/0!</v>
      </c>
    </row>
    <row r="683" spans="1:39">
      <c r="A683" s="196" t="s">
        <v>8154</v>
      </c>
      <c r="C683" s="317">
        <v>45908</v>
      </c>
      <c r="F683" t="s">
        <v>8155</v>
      </c>
      <c r="I683" t="s">
        <v>328</v>
      </c>
      <c r="AM683" s="1" t="e">
        <f t="shared" si="27"/>
        <v>#DIV/0!</v>
      </c>
    </row>
    <row r="684" spans="1:39">
      <c r="A684" s="196">
        <v>29751656</v>
      </c>
      <c r="C684" s="317">
        <v>45917</v>
      </c>
      <c r="F684" t="s">
        <v>8171</v>
      </c>
      <c r="I684" t="s">
        <v>328</v>
      </c>
      <c r="AM684" s="1" t="e">
        <f t="shared" si="27"/>
        <v>#DIV/0!</v>
      </c>
    </row>
    <row r="685" spans="1:39" hidden="1">
      <c r="A685" s="196" t="s">
        <v>8176</v>
      </c>
      <c r="C685" s="317">
        <v>45924</v>
      </c>
      <c r="F685" t="s">
        <v>8177</v>
      </c>
      <c r="G685" s="94">
        <v>375000</v>
      </c>
      <c r="I685" t="s">
        <v>2520</v>
      </c>
      <c r="J685" t="s">
        <v>8178</v>
      </c>
      <c r="N685" s="63">
        <v>30.22</v>
      </c>
      <c r="O685" t="s">
        <v>18</v>
      </c>
      <c r="P685" t="s">
        <v>19</v>
      </c>
      <c r="Q685" s="436" t="s">
        <v>4771</v>
      </c>
      <c r="R685" t="s">
        <v>5016</v>
      </c>
      <c r="S685">
        <v>22.3</v>
      </c>
      <c r="T685" t="s">
        <v>4596</v>
      </c>
      <c r="Y685" s="63">
        <f>Table3[[#This Row],[Superficie totale (ha)]]-Table3[[#This Row],[Superficie cultivée (ha)]]</f>
        <v>7.9199999999999982</v>
      </c>
      <c r="AK685" t="s">
        <v>8179</v>
      </c>
      <c r="AM685" s="1">
        <f t="shared" si="27"/>
        <v>12409.000661813368</v>
      </c>
    </row>
    <row r="686" spans="1:39">
      <c r="A686" s="196" t="s">
        <v>8172</v>
      </c>
      <c r="C686" s="317">
        <v>45922</v>
      </c>
      <c r="F686" t="s">
        <v>8173</v>
      </c>
      <c r="I686" t="s">
        <v>328</v>
      </c>
      <c r="AM686" s="1" t="e">
        <f t="shared" si="27"/>
        <v>#DIV/0!</v>
      </c>
    </row>
    <row r="687" spans="1:39">
      <c r="A687" s="196" t="s">
        <v>8174</v>
      </c>
      <c r="C687" s="317">
        <v>45923</v>
      </c>
      <c r="F687" t="s">
        <v>8175</v>
      </c>
      <c r="G687" s="94">
        <v>150000</v>
      </c>
      <c r="I687" t="s">
        <v>747</v>
      </c>
      <c r="AM687" s="1" t="e">
        <f t="shared" si="27"/>
        <v>#DIV/0!</v>
      </c>
    </row>
    <row r="688" spans="1:39" hidden="1">
      <c r="A688" s="196">
        <v>29795818</v>
      </c>
      <c r="C688" s="317">
        <v>45933</v>
      </c>
      <c r="D688" t="s">
        <v>8183</v>
      </c>
      <c r="E688" t="s">
        <v>8184</v>
      </c>
      <c r="F688">
        <v>3055867</v>
      </c>
      <c r="G688" s="94">
        <v>105000</v>
      </c>
      <c r="I688" t="s">
        <v>201</v>
      </c>
      <c r="J688" t="s">
        <v>4212</v>
      </c>
      <c r="K688" t="s">
        <v>8185</v>
      </c>
      <c r="L688" s="96">
        <v>46.755280999999997</v>
      </c>
      <c r="M688" s="245" t="s">
        <v>8186</v>
      </c>
      <c r="N688" s="63">
        <v>6.77</v>
      </c>
      <c r="O688" t="s">
        <v>18</v>
      </c>
      <c r="S688">
        <v>6.77</v>
      </c>
      <c r="W688" t="s">
        <v>4774</v>
      </c>
      <c r="Y688" s="63">
        <v>0</v>
      </c>
    </row>
    <row r="689" spans="1:39" hidden="1">
      <c r="A689" s="196">
        <v>29808140</v>
      </c>
      <c r="C689" s="317">
        <v>45939</v>
      </c>
      <c r="D689" s="247" t="s">
        <v>8187</v>
      </c>
      <c r="E689" s="247" t="s">
        <v>8188</v>
      </c>
      <c r="F689" s="247" t="s">
        <v>8189</v>
      </c>
      <c r="G689" s="94">
        <v>760100</v>
      </c>
      <c r="I689" t="s">
        <v>223</v>
      </c>
      <c r="J689" t="s">
        <v>301</v>
      </c>
      <c r="K689" s="247" t="s">
        <v>8190</v>
      </c>
      <c r="L689">
        <v>47.270878000000003</v>
      </c>
      <c r="M689" s="96">
        <v>-70.152123000000003</v>
      </c>
      <c r="N689" s="63">
        <v>49.56</v>
      </c>
      <c r="O689" t="s">
        <v>18</v>
      </c>
      <c r="P689" t="s">
        <v>35</v>
      </c>
      <c r="Q689" s="436">
        <v>3</v>
      </c>
      <c r="R689" t="s">
        <v>4669</v>
      </c>
      <c r="S689">
        <v>29.5</v>
      </c>
      <c r="Y689">
        <v>16.5</v>
      </c>
      <c r="AK689" t="s">
        <v>8191</v>
      </c>
      <c r="AM689" s="1">
        <f>G689/N689</f>
        <v>15336.965294592412</v>
      </c>
    </row>
    <row r="690" spans="1:39" hidden="1">
      <c r="A690" s="196" t="s">
        <v>8192</v>
      </c>
      <c r="C690" s="317">
        <v>45940</v>
      </c>
      <c r="D690" t="s">
        <v>8193</v>
      </c>
      <c r="E690" t="s">
        <v>8194</v>
      </c>
      <c r="F690" t="s">
        <v>8195</v>
      </c>
      <c r="G690" s="94">
        <v>2500000</v>
      </c>
      <c r="I690" t="s">
        <v>722</v>
      </c>
      <c r="J690" t="s">
        <v>8196</v>
      </c>
      <c r="N690" s="63">
        <f>35.35+51.79</f>
        <v>87.14</v>
      </c>
      <c r="O690" t="s">
        <v>18</v>
      </c>
      <c r="P690" t="s">
        <v>206</v>
      </c>
      <c r="Q690" s="436" t="s">
        <v>8197</v>
      </c>
      <c r="R690" t="s">
        <v>8198</v>
      </c>
      <c r="S690">
        <f>9.1-1.6+24+3.3+2.2+8.3+10.7+2.6+0.3+0.5</f>
        <v>59.4</v>
      </c>
      <c r="U690">
        <f>3.3+2.2+8.3+10.7+2.6+0.3+0.5</f>
        <v>27.900000000000002</v>
      </c>
      <c r="W690" t="s">
        <v>8199</v>
      </c>
      <c r="Y690" s="63">
        <f>4.1+1.2+14.9</f>
        <v>20.2</v>
      </c>
      <c r="AF690" s="63" t="s">
        <v>8200</v>
      </c>
      <c r="AK690" t="s">
        <v>8201</v>
      </c>
      <c r="AM690" s="1">
        <f>G690/N690</f>
        <v>28689.465228368143</v>
      </c>
    </row>
    <row r="691" spans="1:39">
      <c r="A691" s="196" t="s">
        <v>8180</v>
      </c>
      <c r="C691" s="317">
        <v>45925</v>
      </c>
      <c r="AM691" s="1" t="e">
        <f>G691/N691</f>
        <v>#DIV/0!</v>
      </c>
    </row>
    <row r="692" spans="1:39" ht="15.75" hidden="1">
      <c r="A692" s="196">
        <v>29820854</v>
      </c>
      <c r="C692" s="317">
        <v>45946</v>
      </c>
      <c r="D692" s="276" t="s">
        <v>8206</v>
      </c>
      <c r="E692" s="276" t="s">
        <v>8207</v>
      </c>
      <c r="F692" s="276" t="s">
        <v>8208</v>
      </c>
      <c r="G692" s="62">
        <v>253340</v>
      </c>
      <c r="H692" s="62"/>
      <c r="I692" t="s">
        <v>37</v>
      </c>
      <c r="J692" t="s">
        <v>8209</v>
      </c>
      <c r="K692" t="s">
        <v>8210</v>
      </c>
      <c r="L692" s="288">
        <v>45.410612999999998</v>
      </c>
      <c r="M692" s="288">
        <v>-73.336406999999994</v>
      </c>
      <c r="N692" s="63">
        <v>5.12</v>
      </c>
      <c r="O692" t="s">
        <v>36</v>
      </c>
      <c r="P692" t="s">
        <v>35</v>
      </c>
      <c r="Q692" s="436">
        <v>2</v>
      </c>
      <c r="R692" t="s">
        <v>4669</v>
      </c>
      <c r="S692">
        <v>4.5999999999999996</v>
      </c>
      <c r="T692" t="s">
        <v>4596</v>
      </c>
      <c r="X692" s="62"/>
      <c r="Y692">
        <v>29.5</v>
      </c>
      <c r="AA692" s="64"/>
      <c r="AD692" s="62"/>
      <c r="AE692" s="62"/>
      <c r="AG692" s="62"/>
      <c r="AK692" t="s">
        <v>8211</v>
      </c>
      <c r="AM692" s="16">
        <f>G692/N692</f>
        <v>49480.46875</v>
      </c>
    </row>
    <row r="693" spans="1:39" ht="15.75" hidden="1">
      <c r="A693" s="196">
        <v>29822245</v>
      </c>
      <c r="C693" s="317">
        <v>45946</v>
      </c>
      <c r="D693" s="265" t="s">
        <v>8212</v>
      </c>
      <c r="E693" s="265" t="s">
        <v>8213</v>
      </c>
      <c r="F693" s="286" t="s">
        <v>8214</v>
      </c>
      <c r="G693" s="94">
        <v>600000</v>
      </c>
      <c r="I693" t="s">
        <v>2560</v>
      </c>
      <c r="J693" t="s">
        <v>7078</v>
      </c>
      <c r="K693" t="s">
        <v>8215</v>
      </c>
      <c r="L693" s="96">
        <v>45.47298</v>
      </c>
      <c r="M693" s="96">
        <v>-73.149721</v>
      </c>
      <c r="N693" s="63">
        <v>10.41</v>
      </c>
      <c r="O693" t="s">
        <v>36</v>
      </c>
      <c r="P693" t="s">
        <v>35</v>
      </c>
      <c r="Q693" s="436">
        <v>2</v>
      </c>
      <c r="R693" t="s">
        <v>4669</v>
      </c>
      <c r="S693">
        <v>10.199999999999999</v>
      </c>
      <c r="T693" t="s">
        <v>4596</v>
      </c>
      <c r="AK693" t="s">
        <v>8216</v>
      </c>
      <c r="AM693" s="1">
        <f>G693/N693</f>
        <v>57636.887608069163</v>
      </c>
    </row>
    <row r="694" spans="1:39" ht="45" hidden="1">
      <c r="A694" s="196" t="s">
        <v>8217</v>
      </c>
      <c r="C694" s="317">
        <v>45950</v>
      </c>
      <c r="D694" t="s">
        <v>8218</v>
      </c>
      <c r="E694" s="20" t="s">
        <v>8219</v>
      </c>
      <c r="F694">
        <v>3677739</v>
      </c>
      <c r="G694" s="97">
        <v>261400</v>
      </c>
      <c r="I694" t="s">
        <v>8220</v>
      </c>
      <c r="J694" t="s">
        <v>8221</v>
      </c>
      <c r="K694" t="s">
        <v>8222</v>
      </c>
      <c r="L694" s="96">
        <v>45.630062000000002</v>
      </c>
      <c r="M694" s="245" t="s">
        <v>8223</v>
      </c>
      <c r="N694" s="63" t="s">
        <v>8224</v>
      </c>
      <c r="P694" t="s">
        <v>206</v>
      </c>
      <c r="Q694" s="436">
        <v>3</v>
      </c>
      <c r="R694" t="s">
        <v>155</v>
      </c>
      <c r="S694">
        <v>12.4</v>
      </c>
      <c r="Y694" s="63">
        <v>15.9</v>
      </c>
      <c r="AK694" t="s">
        <v>8225</v>
      </c>
      <c r="AM694" s="1">
        <f>Table3[[#This Row],[Prixdevente($)]]/Table3[[#This Row],[Superficie totale (ha)]]</f>
        <v>8658.4961907916531</v>
      </c>
    </row>
    <row r="695" spans="1:39">
      <c r="A695" s="196" t="s">
        <v>8181</v>
      </c>
      <c r="C695" s="317">
        <v>45932</v>
      </c>
      <c r="F695" t="s">
        <v>8182</v>
      </c>
      <c r="G695" s="94">
        <v>3238050</v>
      </c>
      <c r="I695" t="s">
        <v>747</v>
      </c>
      <c r="AM695" s="1" t="e">
        <f t="shared" ref="AM695:AM709" si="28">G695/N695</f>
        <v>#DIV/0!</v>
      </c>
    </row>
    <row r="696" spans="1:39" hidden="1">
      <c r="A696" t="s">
        <v>8228</v>
      </c>
      <c r="C696" s="317">
        <v>45952</v>
      </c>
      <c r="D696" t="s">
        <v>8229</v>
      </c>
      <c r="E696" t="s">
        <v>8230</v>
      </c>
      <c r="F696" t="s">
        <v>8231</v>
      </c>
      <c r="G696" s="94">
        <v>200000</v>
      </c>
      <c r="I696" t="s">
        <v>654</v>
      </c>
      <c r="J696" t="s">
        <v>8232</v>
      </c>
      <c r="L696">
        <v>46.758578</v>
      </c>
      <c r="M696" s="96">
        <v>-71.674342999999993</v>
      </c>
      <c r="N696" s="63">
        <v>53.46</v>
      </c>
      <c r="O696" t="s">
        <v>18</v>
      </c>
      <c r="P696" t="s">
        <v>206</v>
      </c>
      <c r="Q696" s="436">
        <v>3</v>
      </c>
      <c r="R696" t="s">
        <v>155</v>
      </c>
      <c r="S696">
        <v>23.7</v>
      </c>
      <c r="Y696" s="63">
        <v>23.4</v>
      </c>
      <c r="AK696" t="s">
        <v>8233</v>
      </c>
      <c r="AM696" s="1">
        <f t="shared" si="28"/>
        <v>3741.1148522259632</v>
      </c>
    </row>
    <row r="697" spans="1:39" ht="15.75" hidden="1">
      <c r="A697" s="239" t="s">
        <v>8234</v>
      </c>
      <c r="C697" s="317">
        <v>45953</v>
      </c>
      <c r="D697" s="249" t="s">
        <v>8235</v>
      </c>
      <c r="E697" s="249" t="s">
        <v>8236</v>
      </c>
      <c r="F697" s="249" t="s">
        <v>8237</v>
      </c>
      <c r="G697" s="94">
        <v>301643</v>
      </c>
      <c r="I697" t="s">
        <v>1597</v>
      </c>
      <c r="J697" t="s">
        <v>6607</v>
      </c>
      <c r="K697" s="249" t="s">
        <v>8238</v>
      </c>
      <c r="L697" s="96">
        <v>45.296022000000001</v>
      </c>
      <c r="M697" s="96">
        <v>-72.034087</v>
      </c>
      <c r="N697" s="63">
        <v>5.03</v>
      </c>
      <c r="O697" t="s">
        <v>18</v>
      </c>
      <c r="P697" t="s">
        <v>384</v>
      </c>
      <c r="Q697" s="436">
        <v>5</v>
      </c>
      <c r="R697" t="s">
        <v>6573</v>
      </c>
      <c r="S697">
        <v>1.4</v>
      </c>
      <c r="T697" t="s">
        <v>7273</v>
      </c>
      <c r="AK697" t="s">
        <v>8239</v>
      </c>
      <c r="AM697" s="1">
        <f t="shared" si="28"/>
        <v>59968.787276341944</v>
      </c>
    </row>
    <row r="698" spans="1:39">
      <c r="A698" s="196">
        <v>29816865</v>
      </c>
      <c r="C698" s="317">
        <v>45944</v>
      </c>
      <c r="D698" t="s">
        <v>8202</v>
      </c>
      <c r="E698" t="s">
        <v>8203</v>
      </c>
      <c r="F698" t="s">
        <v>8204</v>
      </c>
      <c r="G698" s="94">
        <v>225000</v>
      </c>
      <c r="I698" t="s">
        <v>74</v>
      </c>
      <c r="J698" t="s">
        <v>3858</v>
      </c>
      <c r="K698" t="s">
        <v>8205</v>
      </c>
      <c r="AM698" s="1" t="e">
        <f t="shared" si="28"/>
        <v>#DIV/0!</v>
      </c>
    </row>
    <row r="699" spans="1:39">
      <c r="A699" s="196" t="s">
        <v>8226</v>
      </c>
      <c r="C699" s="317">
        <v>45951</v>
      </c>
      <c r="F699" t="s">
        <v>8227</v>
      </c>
      <c r="I699" t="s">
        <v>8104</v>
      </c>
      <c r="AM699" s="1" t="e">
        <f t="shared" si="28"/>
        <v>#DIV/0!</v>
      </c>
    </row>
    <row r="700" spans="1:39">
      <c r="A700" s="196" t="s">
        <v>8240</v>
      </c>
      <c r="C700" s="317">
        <v>45953</v>
      </c>
      <c r="F700" t="s">
        <v>8241</v>
      </c>
      <c r="I700" t="s">
        <v>328</v>
      </c>
      <c r="AM700" s="1" t="e">
        <f t="shared" si="28"/>
        <v>#DIV/0!</v>
      </c>
    </row>
    <row r="701" spans="1:39" hidden="1">
      <c r="A701" s="196" t="s">
        <v>8244</v>
      </c>
      <c r="C701" s="317">
        <v>45965</v>
      </c>
      <c r="F701" t="s">
        <v>8245</v>
      </c>
      <c r="G701" s="94">
        <v>850000</v>
      </c>
      <c r="I701" t="s">
        <v>2520</v>
      </c>
      <c r="J701" t="s">
        <v>2521</v>
      </c>
      <c r="N701" s="63">
        <v>70.81</v>
      </c>
      <c r="O701" t="s">
        <v>18</v>
      </c>
      <c r="P701" t="s">
        <v>19</v>
      </c>
      <c r="Q701" s="436" t="s">
        <v>4835</v>
      </c>
      <c r="R701" t="s">
        <v>4669</v>
      </c>
      <c r="S701">
        <v>47.9</v>
      </c>
      <c r="T701" t="s">
        <v>4596</v>
      </c>
      <c r="Y701" s="63">
        <f>Table3[[#This Row],[Superficie totale (ha)]]-Table3[[#This Row],[Superficie cultivée (ha)]]</f>
        <v>22.910000000000004</v>
      </c>
      <c r="AK701" t="s">
        <v>8246</v>
      </c>
      <c r="AM701" s="1">
        <f t="shared" si="28"/>
        <v>12003.954243750883</v>
      </c>
    </row>
    <row r="702" spans="1:39" hidden="1">
      <c r="A702" s="196" t="s">
        <v>8247</v>
      </c>
      <c r="C702" s="317">
        <v>45971</v>
      </c>
      <c r="D702" t="s">
        <v>8248</v>
      </c>
      <c r="E702" t="s">
        <v>8249</v>
      </c>
      <c r="F702" t="s">
        <v>8250</v>
      </c>
      <c r="G702" s="94">
        <v>55000</v>
      </c>
      <c r="I702" t="s">
        <v>1295</v>
      </c>
      <c r="J702" t="s">
        <v>4285</v>
      </c>
      <c r="L702">
        <v>48.807040999999998</v>
      </c>
      <c r="M702" s="96">
        <v>-67.423263000000006</v>
      </c>
      <c r="N702" s="63">
        <v>21.76</v>
      </c>
      <c r="O702" t="s">
        <v>36</v>
      </c>
      <c r="P702" t="s">
        <v>19</v>
      </c>
      <c r="Q702" s="436" t="s">
        <v>4703</v>
      </c>
      <c r="R702" t="s">
        <v>155</v>
      </c>
      <c r="S702">
        <v>16.5</v>
      </c>
      <c r="Y702" s="63">
        <v>4.2</v>
      </c>
      <c r="AK702" t="s">
        <v>8251</v>
      </c>
      <c r="AM702" s="1">
        <f t="shared" si="28"/>
        <v>2527.5735294117644</v>
      </c>
    </row>
    <row r="703" spans="1:39">
      <c r="A703" s="196" t="s">
        <v>8242</v>
      </c>
      <c r="C703" s="317">
        <v>45965</v>
      </c>
      <c r="F703" t="s">
        <v>8243</v>
      </c>
      <c r="I703" t="s">
        <v>476</v>
      </c>
      <c r="N703" s="410"/>
      <c r="AM703" s="1" t="e">
        <f t="shared" si="28"/>
        <v>#DIV/0!</v>
      </c>
    </row>
    <row r="704" spans="1:39" hidden="1">
      <c r="A704" s="196" t="s">
        <v>8254</v>
      </c>
      <c r="C704" s="317">
        <v>45978</v>
      </c>
      <c r="F704" t="s">
        <v>8255</v>
      </c>
      <c r="G704" s="94">
        <v>1800000</v>
      </c>
      <c r="I704" t="s">
        <v>476</v>
      </c>
      <c r="N704" s="63">
        <v>40.06</v>
      </c>
      <c r="S704">
        <v>33.5</v>
      </c>
      <c r="Y704" s="63">
        <v>1.8</v>
      </c>
      <c r="AM704" s="1">
        <f t="shared" si="28"/>
        <v>44932.601098352468</v>
      </c>
    </row>
    <row r="705" spans="1:39">
      <c r="A705" s="196" t="s">
        <v>8242</v>
      </c>
      <c r="C705" s="317">
        <v>45965</v>
      </c>
      <c r="F705" t="s">
        <v>8243</v>
      </c>
      <c r="I705" t="s">
        <v>39</v>
      </c>
      <c r="J705" t="s">
        <v>6977</v>
      </c>
      <c r="AM705" s="1" t="e">
        <f t="shared" si="28"/>
        <v>#DIV/0!</v>
      </c>
    </row>
    <row r="706" spans="1:39">
      <c r="A706" s="196" t="s">
        <v>8252</v>
      </c>
      <c r="C706" s="317">
        <v>45972</v>
      </c>
      <c r="F706" t="s">
        <v>8253</v>
      </c>
      <c r="G706" s="94">
        <v>3200000</v>
      </c>
      <c r="I706" t="s">
        <v>747</v>
      </c>
      <c r="AM706" s="1" t="e">
        <f t="shared" si="28"/>
        <v>#DIV/0!</v>
      </c>
    </row>
    <row r="707" spans="1:39">
      <c r="A707" s="196" t="s">
        <v>8256</v>
      </c>
      <c r="C707" s="317">
        <v>45978</v>
      </c>
      <c r="F707" t="s">
        <v>8257</v>
      </c>
      <c r="G707" s="94">
        <v>2985000</v>
      </c>
      <c r="I707" t="s">
        <v>747</v>
      </c>
      <c r="AM707" s="1" t="e">
        <f t="shared" si="28"/>
        <v>#DIV/0!</v>
      </c>
    </row>
    <row r="708" spans="1:39" hidden="1">
      <c r="A708" s="196">
        <v>29910184</v>
      </c>
      <c r="C708" s="317">
        <v>45981</v>
      </c>
      <c r="D708" t="s">
        <v>8262</v>
      </c>
      <c r="E708" t="s">
        <v>8263</v>
      </c>
      <c r="F708" t="s">
        <v>8264</v>
      </c>
      <c r="G708" s="94">
        <v>300000</v>
      </c>
      <c r="I708" t="s">
        <v>654</v>
      </c>
      <c r="J708" t="s">
        <v>510</v>
      </c>
      <c r="K708" t="s">
        <v>8265</v>
      </c>
      <c r="L708" s="96">
        <v>46.655070000000002</v>
      </c>
      <c r="M708" s="245" t="s">
        <v>8266</v>
      </c>
      <c r="N708" s="63">
        <f>4.91+9.84+9.8+8.79+1.23+13.22</f>
        <v>47.79</v>
      </c>
      <c r="O708" t="s">
        <v>18</v>
      </c>
      <c r="P708" t="s">
        <v>206</v>
      </c>
      <c r="Q708" s="436" t="s">
        <v>5891</v>
      </c>
      <c r="R708" t="s">
        <v>4669</v>
      </c>
      <c r="S708">
        <f>1.4+2*1.3+1.1+0.8+13.4+3.7+3.3+1.2+2.9+5+3.1+2.6</f>
        <v>41.1</v>
      </c>
      <c r="W708" t="s">
        <v>8267</v>
      </c>
      <c r="Y708" s="63">
        <v>3.9</v>
      </c>
      <c r="AK708" t="s">
        <v>8268</v>
      </c>
      <c r="AM708" s="1">
        <f t="shared" si="28"/>
        <v>6277.4639045825488</v>
      </c>
    </row>
    <row r="709" spans="1:39" hidden="1">
      <c r="A709" t="s">
        <v>8269</v>
      </c>
      <c r="C709" s="317">
        <v>45988</v>
      </c>
      <c r="F709" t="s">
        <v>8270</v>
      </c>
      <c r="G709" s="94">
        <v>760350</v>
      </c>
      <c r="I709" t="s">
        <v>476</v>
      </c>
      <c r="N709" s="63">
        <v>38.770000000000003</v>
      </c>
      <c r="S709">
        <v>27.8</v>
      </c>
      <c r="Y709" s="63">
        <v>9.9700000000000006</v>
      </c>
      <c r="AM709" s="1">
        <f t="shared" si="28"/>
        <v>19611.813257673457</v>
      </c>
    </row>
    <row r="710" spans="1:39" hidden="1">
      <c r="A710" s="196" t="s">
        <v>8271</v>
      </c>
      <c r="C710" s="317">
        <v>45988</v>
      </c>
      <c r="F710" t="s">
        <v>8272</v>
      </c>
      <c r="G710" s="94">
        <v>545000</v>
      </c>
      <c r="I710" t="s">
        <v>476</v>
      </c>
      <c r="N710" s="63">
        <v>14.43</v>
      </c>
      <c r="S710">
        <v>13.1</v>
      </c>
      <c r="Y710" s="63">
        <v>0</v>
      </c>
      <c r="AM710" s="1">
        <f>G712/N710</f>
        <v>55786.555786555786</v>
      </c>
    </row>
    <row r="711" spans="1:39" hidden="1">
      <c r="A711" s="196">
        <v>29953112</v>
      </c>
      <c r="C711" s="318">
        <v>45999</v>
      </c>
      <c r="D711" s="247" t="s">
        <v>8273</v>
      </c>
      <c r="E711" s="247" t="s">
        <v>8274</v>
      </c>
      <c r="F711" s="239" t="s">
        <v>8275</v>
      </c>
      <c r="G711" s="94">
        <v>25000</v>
      </c>
      <c r="I711" t="s">
        <v>53</v>
      </c>
      <c r="J711" t="s">
        <v>8276</v>
      </c>
      <c r="K711" s="247" t="s">
        <v>8277</v>
      </c>
      <c r="L711" s="96">
        <v>47.989694</v>
      </c>
      <c r="M711" s="96">
        <v>-68.673152000000002</v>
      </c>
      <c r="N711" s="63">
        <v>7.28</v>
      </c>
      <c r="O711" t="s">
        <v>8278</v>
      </c>
      <c r="P711" t="s">
        <v>35</v>
      </c>
      <c r="Q711" s="436">
        <v>2</v>
      </c>
      <c r="R711" t="s">
        <v>4801</v>
      </c>
      <c r="S711">
        <v>7</v>
      </c>
      <c r="AK711" t="s">
        <v>8279</v>
      </c>
      <c r="AM711" s="1">
        <f>G711/N711</f>
        <v>3434.065934065934</v>
      </c>
    </row>
    <row r="712" spans="1:39">
      <c r="A712" s="196" t="s">
        <v>8258</v>
      </c>
      <c r="C712" s="317">
        <v>45980</v>
      </c>
      <c r="F712" t="s">
        <v>8259</v>
      </c>
      <c r="G712" s="94">
        <v>805000</v>
      </c>
      <c r="I712" t="s">
        <v>747</v>
      </c>
      <c r="AM712" s="1" t="e">
        <f>G712/N712</f>
        <v>#DIV/0!</v>
      </c>
    </row>
    <row r="713" spans="1:39" hidden="1">
      <c r="A713" s="196">
        <v>29968159</v>
      </c>
      <c r="C713" s="317">
        <v>46002</v>
      </c>
      <c r="D713" t="s">
        <v>8282</v>
      </c>
      <c r="E713" t="s">
        <v>8283</v>
      </c>
      <c r="F713" t="s">
        <v>8284</v>
      </c>
      <c r="G713" s="94">
        <v>50000</v>
      </c>
      <c r="I713" t="s">
        <v>654</v>
      </c>
      <c r="J713" t="s">
        <v>654</v>
      </c>
      <c r="K713" t="s">
        <v>8285</v>
      </c>
      <c r="L713" s="96">
        <v>46.69782</v>
      </c>
      <c r="M713" s="245" t="s">
        <v>8286</v>
      </c>
      <c r="N713" s="63">
        <f>0.85+0.82</f>
        <v>1.67</v>
      </c>
      <c r="O713" t="s">
        <v>18</v>
      </c>
      <c r="P713" t="s">
        <v>206</v>
      </c>
      <c r="Q713" s="436" t="s">
        <v>4771</v>
      </c>
      <c r="R713" t="s">
        <v>5485</v>
      </c>
      <c r="S713">
        <f>0.9+0.7</f>
        <v>1.6</v>
      </c>
      <c r="W713" t="s">
        <v>7461</v>
      </c>
      <c r="AK713" t="s">
        <v>8287</v>
      </c>
      <c r="AM713" s="1">
        <f>G713/N713</f>
        <v>29940.119760479043</v>
      </c>
    </row>
    <row r="714" spans="1:39" hidden="1">
      <c r="A714" s="196" t="s">
        <v>8288</v>
      </c>
      <c r="C714" s="317">
        <v>46006</v>
      </c>
      <c r="F714" t="s">
        <v>8289</v>
      </c>
      <c r="G714" s="94">
        <v>2800000</v>
      </c>
      <c r="I714" t="s">
        <v>476</v>
      </c>
      <c r="N714" s="63">
        <v>67.69</v>
      </c>
      <c r="S714">
        <v>57.2</v>
      </c>
      <c r="Y714" s="63">
        <v>10.49</v>
      </c>
      <c r="AM714" s="1" t="e">
        <f>#REF!/N714</f>
        <v>#REF!</v>
      </c>
    </row>
    <row r="715" spans="1:39" hidden="1">
      <c r="A715" s="196" t="s">
        <v>8290</v>
      </c>
      <c r="C715" s="317">
        <v>46007</v>
      </c>
      <c r="D715" t="s">
        <v>8291</v>
      </c>
      <c r="E715" t="s">
        <v>8292</v>
      </c>
      <c r="F715" t="s">
        <v>8293</v>
      </c>
      <c r="G715" s="94">
        <v>270000</v>
      </c>
      <c r="I715" t="s">
        <v>16</v>
      </c>
      <c r="J715" t="s">
        <v>2206</v>
      </c>
      <c r="K715" t="s">
        <v>8294</v>
      </c>
      <c r="L715" s="96">
        <v>46.821007000000002</v>
      </c>
      <c r="M715" s="245" t="s">
        <v>8295</v>
      </c>
      <c r="N715" s="63" t="s">
        <v>8296</v>
      </c>
      <c r="O715" t="s">
        <v>18</v>
      </c>
      <c r="P715" t="s">
        <v>206</v>
      </c>
      <c r="Q715" s="436">
        <v>3</v>
      </c>
      <c r="R715" t="s">
        <v>4687</v>
      </c>
      <c r="S715">
        <f>5.4+5.7</f>
        <v>11.100000000000001</v>
      </c>
      <c r="Y715" s="63">
        <v>1.4</v>
      </c>
      <c r="AK715" t="s">
        <v>8297</v>
      </c>
      <c r="AM715" s="1">
        <f t="shared" ref="AM715:AM727" si="29">G715/N715</f>
        <v>20995.334370139968</v>
      </c>
    </row>
    <row r="716" spans="1:39">
      <c r="A716" s="196" t="s">
        <v>8260</v>
      </c>
      <c r="C716" s="317">
        <v>45981</v>
      </c>
      <c r="F716" t="s">
        <v>8261</v>
      </c>
      <c r="I716" t="s">
        <v>654</v>
      </c>
      <c r="AM716" s="1" t="e">
        <f t="shared" si="29"/>
        <v>#DIV/0!</v>
      </c>
    </row>
    <row r="717" spans="1:39">
      <c r="A717" s="196" t="s">
        <v>8506</v>
      </c>
      <c r="C717" s="317">
        <v>45992</v>
      </c>
      <c r="F717" t="s">
        <v>8507</v>
      </c>
      <c r="G717" s="94">
        <v>175000</v>
      </c>
      <c r="I717" t="s">
        <v>65</v>
      </c>
      <c r="J717" t="s">
        <v>642</v>
      </c>
      <c r="AM717" s="1" t="e">
        <f t="shared" si="29"/>
        <v>#DIV/0!</v>
      </c>
    </row>
    <row r="718" spans="1:39" hidden="1">
      <c r="A718" s="196" t="s">
        <v>8302</v>
      </c>
      <c r="C718" s="317">
        <v>46008</v>
      </c>
      <c r="F718" t="s">
        <v>8303</v>
      </c>
      <c r="G718" s="94">
        <v>620000</v>
      </c>
      <c r="I718" t="s">
        <v>476</v>
      </c>
      <c r="N718" s="63">
        <v>18.43</v>
      </c>
      <c r="S718">
        <v>13.1</v>
      </c>
      <c r="Y718" s="63">
        <v>5.3</v>
      </c>
      <c r="AM718" s="1">
        <f t="shared" si="29"/>
        <v>33640.803038524144</v>
      </c>
    </row>
    <row r="719" spans="1:39" hidden="1">
      <c r="A719" s="196">
        <v>29985072</v>
      </c>
      <c r="C719" s="317">
        <v>46008</v>
      </c>
      <c r="D719" t="s">
        <v>8304</v>
      </c>
      <c r="E719" t="s">
        <v>8305</v>
      </c>
      <c r="F719">
        <v>6708958</v>
      </c>
      <c r="G719" s="94">
        <v>220000</v>
      </c>
      <c r="I719" t="s">
        <v>654</v>
      </c>
      <c r="J719" t="s">
        <v>4232</v>
      </c>
      <c r="K719">
        <v>0</v>
      </c>
      <c r="L719" s="96">
        <v>46.709791000000003</v>
      </c>
      <c r="M719" s="245" t="s">
        <v>8306</v>
      </c>
      <c r="N719" s="63">
        <v>7.74</v>
      </c>
      <c r="O719" t="s">
        <v>18</v>
      </c>
      <c r="P719" t="s">
        <v>206</v>
      </c>
      <c r="Q719" s="436" t="s">
        <v>8307</v>
      </c>
      <c r="R719" t="s">
        <v>5016</v>
      </c>
      <c r="S719">
        <v>5.5</v>
      </c>
      <c r="Y719" s="63">
        <v>1.4</v>
      </c>
      <c r="AM719" s="1">
        <f t="shared" si="29"/>
        <v>28423.77260981912</v>
      </c>
    </row>
    <row r="720" spans="1:39" hidden="1">
      <c r="A720" s="196">
        <v>29988401</v>
      </c>
      <c r="C720" s="317">
        <v>46009</v>
      </c>
      <c r="D720" t="s">
        <v>8308</v>
      </c>
      <c r="E720" t="s">
        <v>8309</v>
      </c>
      <c r="F720">
        <v>4897106</v>
      </c>
      <c r="G720" s="94">
        <v>242658</v>
      </c>
      <c r="I720" t="s">
        <v>654</v>
      </c>
      <c r="J720" t="s">
        <v>1448</v>
      </c>
      <c r="L720" s="96">
        <v>46.751148000000001</v>
      </c>
      <c r="M720" s="96">
        <v>-71.804984000000005</v>
      </c>
      <c r="N720" s="63">
        <v>8.0500000000000007</v>
      </c>
      <c r="O720" t="s">
        <v>18</v>
      </c>
      <c r="P720" t="s">
        <v>154</v>
      </c>
      <c r="Q720" s="436">
        <v>4</v>
      </c>
      <c r="R720" t="s">
        <v>5016</v>
      </c>
      <c r="S720">
        <v>5.4</v>
      </c>
      <c r="Y720" s="63">
        <v>2.2000000000000002</v>
      </c>
      <c r="AK720" t="s">
        <v>8310</v>
      </c>
      <c r="AM720" s="1">
        <f t="shared" si="29"/>
        <v>30143.850931677014</v>
      </c>
    </row>
    <row r="721" spans="1:39" hidden="1">
      <c r="A721" s="196" t="s">
        <v>8311</v>
      </c>
      <c r="C721" s="317">
        <v>46009</v>
      </c>
      <c r="D721" t="s">
        <v>8312</v>
      </c>
      <c r="E721" t="s">
        <v>8313</v>
      </c>
      <c r="F721" t="s">
        <v>8314</v>
      </c>
      <c r="G721" s="94">
        <v>60000</v>
      </c>
      <c r="I721" t="s">
        <v>1295</v>
      </c>
      <c r="J721" t="s">
        <v>4285</v>
      </c>
      <c r="L721" s="96">
        <v>48.699019999999997</v>
      </c>
      <c r="M721" s="96">
        <v>-67.902288999999996</v>
      </c>
      <c r="N721" s="63">
        <v>44.32</v>
      </c>
      <c r="O721" t="s">
        <v>36</v>
      </c>
      <c r="P721" t="s">
        <v>173</v>
      </c>
      <c r="Q721" s="436" t="s">
        <v>8315</v>
      </c>
      <c r="R721" t="s">
        <v>8316</v>
      </c>
      <c r="S721">
        <v>7.8</v>
      </c>
      <c r="Y721" s="63">
        <v>35</v>
      </c>
      <c r="AK721" t="s">
        <v>8317</v>
      </c>
      <c r="AM721" s="1">
        <f t="shared" si="29"/>
        <v>1353.7906137184116</v>
      </c>
    </row>
    <row r="722" spans="1:39" hidden="1">
      <c r="A722" s="196" t="s">
        <v>8318</v>
      </c>
      <c r="C722" s="317">
        <v>46013</v>
      </c>
      <c r="F722" t="s">
        <v>8319</v>
      </c>
      <c r="G722" s="94">
        <v>2500000</v>
      </c>
      <c r="I722" t="s">
        <v>476</v>
      </c>
      <c r="N722" s="63">
        <v>111.85</v>
      </c>
      <c r="S722">
        <v>82.9</v>
      </c>
      <c r="Y722" s="63">
        <v>22.2</v>
      </c>
      <c r="AM722" s="1">
        <f t="shared" si="29"/>
        <v>22351.363433169423</v>
      </c>
    </row>
    <row r="723" spans="1:39" hidden="1">
      <c r="A723" s="196">
        <v>30060219</v>
      </c>
      <c r="C723" s="317">
        <v>46051</v>
      </c>
      <c r="D723" t="s">
        <v>8320</v>
      </c>
      <c r="E723" t="s">
        <v>8321</v>
      </c>
      <c r="F723" t="s">
        <v>8322</v>
      </c>
      <c r="G723" s="94">
        <v>995000</v>
      </c>
      <c r="I723" t="s">
        <v>654</v>
      </c>
      <c r="J723" t="s">
        <v>883</v>
      </c>
      <c r="K723">
        <v>0</v>
      </c>
      <c r="L723" s="96">
        <v>46.690711999999998</v>
      </c>
      <c r="M723" s="245" t="s">
        <v>8323</v>
      </c>
      <c r="N723" s="63">
        <f>12.74+22.47+4.94+3.17+1.67+5.87</f>
        <v>50.86</v>
      </c>
      <c r="O723" t="s">
        <v>18</v>
      </c>
      <c r="P723" t="s">
        <v>206</v>
      </c>
      <c r="Q723" s="436" t="s">
        <v>4856</v>
      </c>
      <c r="R723" t="s">
        <v>155</v>
      </c>
      <c r="S723">
        <f>1.8+1.7+2-0.6+2.3+2.2+1.1+1+3.9+2.8+1+0.6+1.5+3.6+0.4+4.4+3.1</f>
        <v>32.800000000000004</v>
      </c>
      <c r="W723" t="s">
        <v>4774</v>
      </c>
      <c r="Y723" s="63">
        <v>15.6</v>
      </c>
      <c r="AK723" t="s">
        <v>8324</v>
      </c>
      <c r="AM723" s="1">
        <f t="shared" si="29"/>
        <v>19563.507668108534</v>
      </c>
    </row>
    <row r="724" spans="1:39" hidden="1">
      <c r="A724" s="196" t="s">
        <v>8325</v>
      </c>
      <c r="C724" s="317">
        <v>46056</v>
      </c>
      <c r="D724" t="s">
        <v>8326</v>
      </c>
      <c r="E724" t="s">
        <v>8327</v>
      </c>
      <c r="F724" t="s">
        <v>8328</v>
      </c>
      <c r="G724" s="94">
        <v>300000</v>
      </c>
      <c r="I724" t="s">
        <v>1295</v>
      </c>
      <c r="J724" t="s">
        <v>4285</v>
      </c>
      <c r="L724" s="96">
        <v>48.754218999999999</v>
      </c>
      <c r="M724" s="96">
        <v>-67.511581000000007</v>
      </c>
      <c r="N724" s="63">
        <v>109.77</v>
      </c>
      <c r="O724" t="s">
        <v>36</v>
      </c>
      <c r="P724" t="s">
        <v>1726</v>
      </c>
      <c r="Q724" s="436" t="s">
        <v>8307</v>
      </c>
      <c r="R724" t="s">
        <v>5016</v>
      </c>
      <c r="S724">
        <v>28.4</v>
      </c>
      <c r="Y724" s="63">
        <f>Table3[[#This Row],[Superficie totale (ha)]]-Table3[[#This Row],[Superficie cultivée (ha)]]</f>
        <v>81.37</v>
      </c>
      <c r="AK724" t="s">
        <v>8329</v>
      </c>
      <c r="AM724" s="1">
        <f t="shared" si="29"/>
        <v>2732.9871549603718</v>
      </c>
    </row>
    <row r="725" spans="1:39" hidden="1">
      <c r="A725" s="196" t="s">
        <v>8330</v>
      </c>
      <c r="C725" s="317">
        <v>46062</v>
      </c>
      <c r="F725" t="s">
        <v>8331</v>
      </c>
      <c r="G725" s="94">
        <v>2182320</v>
      </c>
      <c r="I725" t="s">
        <v>8332</v>
      </c>
      <c r="J725" t="s">
        <v>8333</v>
      </c>
      <c r="N725" s="63">
        <v>43.3</v>
      </c>
      <c r="AM725" s="1">
        <f t="shared" si="29"/>
        <v>50400</v>
      </c>
    </row>
    <row r="726" spans="1:39" hidden="1">
      <c r="A726" s="196" t="s">
        <v>8334</v>
      </c>
      <c r="C726" s="317">
        <v>46064</v>
      </c>
      <c r="F726" t="s">
        <v>8335</v>
      </c>
      <c r="G726" s="94">
        <v>2000000</v>
      </c>
      <c r="I726" t="s">
        <v>8332</v>
      </c>
      <c r="J726" t="s">
        <v>8336</v>
      </c>
      <c r="N726" s="63">
        <f>7.85+4.82+2.13+0.3+0.27+29.46+1.02+0.25+0.11+0.61</f>
        <v>46.82</v>
      </c>
      <c r="AM726" s="1">
        <f t="shared" si="29"/>
        <v>42716.787697565145</v>
      </c>
    </row>
    <row r="727" spans="1:39">
      <c r="A727" s="196" t="s">
        <v>8508</v>
      </c>
      <c r="C727" s="317">
        <v>45994</v>
      </c>
      <c r="F727" t="s">
        <v>8509</v>
      </c>
      <c r="G727" s="94">
        <v>1722500</v>
      </c>
      <c r="I727" t="s">
        <v>65</v>
      </c>
      <c r="J727" t="s">
        <v>4527</v>
      </c>
      <c r="AM727" s="1" t="e">
        <f t="shared" si="29"/>
        <v>#DIV/0!</v>
      </c>
    </row>
    <row r="728" spans="1:39" hidden="1">
      <c r="A728" s="196">
        <v>30105948</v>
      </c>
      <c r="C728" s="317">
        <v>46071</v>
      </c>
      <c r="D728" t="s">
        <v>8339</v>
      </c>
      <c r="E728" t="s">
        <v>8340</v>
      </c>
      <c r="F728">
        <v>5021073</v>
      </c>
      <c r="G728" s="94">
        <v>300000</v>
      </c>
      <c r="I728" t="s">
        <v>654</v>
      </c>
      <c r="J728" t="s">
        <v>8341</v>
      </c>
      <c r="K728">
        <v>0</v>
      </c>
      <c r="L728" s="96">
        <v>46.760455999999998</v>
      </c>
      <c r="M728" s="245" t="s">
        <v>8342</v>
      </c>
      <c r="N728" s="63">
        <v>15.87</v>
      </c>
      <c r="O728" t="s">
        <v>18</v>
      </c>
      <c r="P728" t="s">
        <v>206</v>
      </c>
      <c r="Q728" s="436" t="s">
        <v>4856</v>
      </c>
      <c r="R728" t="s">
        <v>4669</v>
      </c>
      <c r="S728">
        <v>8.3000000000000007</v>
      </c>
      <c r="W728" t="s">
        <v>4774</v>
      </c>
      <c r="Y728" s="63">
        <v>6.7</v>
      </c>
      <c r="AK728" t="s">
        <v>8343</v>
      </c>
    </row>
    <row r="729" spans="1:39" hidden="1">
      <c r="A729" s="196">
        <v>30111884</v>
      </c>
      <c r="C729" s="317">
        <v>46072</v>
      </c>
      <c r="D729" t="s">
        <v>8344</v>
      </c>
      <c r="E729" t="s">
        <v>8345</v>
      </c>
      <c r="F729" t="s">
        <v>8346</v>
      </c>
      <c r="G729" s="94">
        <v>187500</v>
      </c>
      <c r="I729" t="s">
        <v>654</v>
      </c>
      <c r="J729" t="s">
        <v>883</v>
      </c>
      <c r="K729">
        <v>0</v>
      </c>
      <c r="L729" s="96">
        <v>46.707079</v>
      </c>
      <c r="M729" s="245" t="s">
        <v>8347</v>
      </c>
      <c r="N729" s="63">
        <f>6.81+18.19</f>
        <v>25</v>
      </c>
      <c r="O729" t="s">
        <v>18</v>
      </c>
      <c r="P729" t="s">
        <v>206</v>
      </c>
      <c r="Q729" s="436" t="s">
        <v>4703</v>
      </c>
      <c r="R729" t="s">
        <v>4669</v>
      </c>
      <c r="S729">
        <v>6</v>
      </c>
      <c r="W729" t="s">
        <v>7865</v>
      </c>
      <c r="Y729" s="63">
        <f>2.9+3.6+10</f>
        <v>16.5</v>
      </c>
      <c r="AK729" t="s">
        <v>8348</v>
      </c>
    </row>
    <row r="730" spans="1:39" hidden="1">
      <c r="A730" s="196">
        <v>30111224</v>
      </c>
      <c r="C730" s="317">
        <v>46073</v>
      </c>
      <c r="D730" t="s">
        <v>8349</v>
      </c>
      <c r="E730" t="s">
        <v>8350</v>
      </c>
      <c r="F730">
        <v>6711312</v>
      </c>
      <c r="G730" s="94">
        <v>1122292</v>
      </c>
      <c r="I730" t="s">
        <v>654</v>
      </c>
      <c r="J730" t="s">
        <v>8351</v>
      </c>
      <c r="K730">
        <v>0</v>
      </c>
      <c r="L730" s="96">
        <v>46.712223999999999</v>
      </c>
      <c r="M730" s="245" t="s">
        <v>8352</v>
      </c>
      <c r="N730" s="63">
        <v>41.29</v>
      </c>
      <c r="O730" t="s">
        <v>18</v>
      </c>
      <c r="P730" t="s">
        <v>206</v>
      </c>
      <c r="Q730" s="436" t="s">
        <v>5891</v>
      </c>
      <c r="R730" t="s">
        <v>5485</v>
      </c>
      <c r="S730">
        <v>39.1</v>
      </c>
    </row>
    <row r="731" spans="1:39" hidden="1">
      <c r="A731" s="351" t="s">
        <v>8353</v>
      </c>
      <c r="B731" s="66"/>
      <c r="C731" s="324">
        <v>46073</v>
      </c>
      <c r="D731" s="66" t="s">
        <v>8354</v>
      </c>
      <c r="E731" s="66" t="s">
        <v>8355</v>
      </c>
      <c r="F731" s="66" t="s">
        <v>8356</v>
      </c>
      <c r="G731" s="98">
        <v>147600</v>
      </c>
      <c r="H731" s="98"/>
      <c r="I731" s="66" t="s">
        <v>74</v>
      </c>
      <c r="J731" s="66" t="s">
        <v>1273</v>
      </c>
      <c r="K731" s="66" t="s">
        <v>8357</v>
      </c>
      <c r="L731" s="100">
        <v>46.086480999999999</v>
      </c>
      <c r="M731" s="101" t="s">
        <v>8358</v>
      </c>
      <c r="N731" s="123">
        <v>21.29</v>
      </c>
      <c r="O731" s="66" t="s">
        <v>18</v>
      </c>
      <c r="P731" s="66" t="s">
        <v>26</v>
      </c>
      <c r="Q731" s="450" t="s">
        <v>4771</v>
      </c>
      <c r="R731" s="66" t="s">
        <v>4620</v>
      </c>
      <c r="S731" s="66">
        <f>8.2+5.6</f>
        <v>13.799999999999999</v>
      </c>
      <c r="T731" s="66"/>
      <c r="U731" s="66"/>
      <c r="V731" s="66"/>
      <c r="W731" s="66" t="s">
        <v>8359</v>
      </c>
      <c r="X731" s="98"/>
      <c r="Y731" s="123">
        <v>4.8</v>
      </c>
      <c r="Z731" s="123"/>
      <c r="AA731" s="99"/>
      <c r="AB731" s="66"/>
      <c r="AC731" s="124"/>
      <c r="AD731" s="98"/>
      <c r="AE731" s="98"/>
      <c r="AF731" s="123"/>
      <c r="AK731" s="66" t="s">
        <v>8360</v>
      </c>
      <c r="AL731" s="66"/>
      <c r="AM731" s="465">
        <f>G731/N731</f>
        <v>6932.8323156411461</v>
      </c>
    </row>
    <row r="732" spans="1:39">
      <c r="A732" s="196" t="s">
        <v>8280</v>
      </c>
      <c r="C732" s="317">
        <v>46000</v>
      </c>
      <c r="F732" t="s">
        <v>8281</v>
      </c>
      <c r="I732" t="s">
        <v>328</v>
      </c>
      <c r="AM732" s="1" t="e">
        <f>G732/N732</f>
        <v>#DIV/0!</v>
      </c>
    </row>
    <row r="733" spans="1:39" hidden="1">
      <c r="A733" s="196" t="s">
        <v>8363</v>
      </c>
      <c r="C733" s="317">
        <v>46078</v>
      </c>
      <c r="F733" t="s">
        <v>8364</v>
      </c>
      <c r="G733" s="94">
        <v>313170</v>
      </c>
      <c r="I733" t="s">
        <v>2520</v>
      </c>
      <c r="J733" t="s">
        <v>1182</v>
      </c>
      <c r="N733" s="63">
        <v>14.48</v>
      </c>
      <c r="O733" t="s">
        <v>18</v>
      </c>
      <c r="P733" s="66" t="s">
        <v>206</v>
      </c>
      <c r="Q733" s="436" t="s">
        <v>4835</v>
      </c>
      <c r="R733" t="s">
        <v>4595</v>
      </c>
      <c r="S733">
        <v>13.8</v>
      </c>
      <c r="T733" t="s">
        <v>4596</v>
      </c>
      <c r="Y733" s="63">
        <v>0</v>
      </c>
      <c r="AK733" t="s">
        <v>8365</v>
      </c>
      <c r="AM733" s="1">
        <f>Table3[[#This Row],[Prixdevente($)]]/Table3[[#This Row],[Superficie totale (ha)]]</f>
        <v>21627.762430939227</v>
      </c>
    </row>
    <row r="734" spans="1:39" hidden="1">
      <c r="A734" s="351" t="s">
        <v>8366</v>
      </c>
      <c r="B734" s="66"/>
      <c r="C734" s="324">
        <v>46083</v>
      </c>
      <c r="D734" s="66" t="s">
        <v>8367</v>
      </c>
      <c r="E734" s="66" t="s">
        <v>8368</v>
      </c>
      <c r="F734" s="66" t="s">
        <v>8369</v>
      </c>
      <c r="G734" s="98">
        <v>200000</v>
      </c>
      <c r="H734" s="98"/>
      <c r="I734" s="66" t="s">
        <v>74</v>
      </c>
      <c r="J734" s="66" t="s">
        <v>8370</v>
      </c>
      <c r="K734" s="66" t="s">
        <v>8371</v>
      </c>
      <c r="L734" s="100">
        <v>45.920428999999999</v>
      </c>
      <c r="M734" s="101" t="s">
        <v>8372</v>
      </c>
      <c r="N734" s="123">
        <f>23.07+10.25</f>
        <v>33.32</v>
      </c>
      <c r="O734" s="66" t="s">
        <v>18</v>
      </c>
      <c r="P734" s="66" t="s">
        <v>206</v>
      </c>
      <c r="Q734" s="450" t="s">
        <v>8373</v>
      </c>
      <c r="R734" s="66" t="s">
        <v>4620</v>
      </c>
      <c r="S734" s="66">
        <v>14.8</v>
      </c>
      <c r="T734" s="66"/>
      <c r="U734" s="66"/>
      <c r="V734" s="66"/>
      <c r="W734" s="66" t="s">
        <v>8128</v>
      </c>
      <c r="X734" s="98"/>
      <c r="Y734" s="123">
        <v>5.6</v>
      </c>
      <c r="Z734" s="123"/>
      <c r="AA734" s="99"/>
      <c r="AB734" s="66"/>
      <c r="AC734" s="124"/>
      <c r="AD734" s="98"/>
      <c r="AE734" s="98"/>
      <c r="AF734" s="123"/>
      <c r="AK734" s="66"/>
      <c r="AL734" s="66"/>
      <c r="AM734" s="465">
        <f>G734/N734</f>
        <v>6002.4009603841532</v>
      </c>
    </row>
    <row r="735" spans="1:39" hidden="1">
      <c r="A735" s="351" t="s">
        <v>8374</v>
      </c>
      <c r="B735" s="66"/>
      <c r="C735" s="324">
        <v>46085</v>
      </c>
      <c r="D735" s="66" t="s">
        <v>8375</v>
      </c>
      <c r="E735" s="66" t="s">
        <v>8376</v>
      </c>
      <c r="F735" s="66" t="s">
        <v>8377</v>
      </c>
      <c r="G735" s="98">
        <v>180000</v>
      </c>
      <c r="H735" s="98"/>
      <c r="I735" s="66" t="s">
        <v>4432</v>
      </c>
      <c r="J735" s="66" t="s">
        <v>4433</v>
      </c>
      <c r="K735" s="66" t="s">
        <v>8378</v>
      </c>
      <c r="L735" s="100">
        <v>48.537036000000001</v>
      </c>
      <c r="M735" s="101" t="s">
        <v>8379</v>
      </c>
      <c r="N735" s="123">
        <f>41.07+38.19+43.09</f>
        <v>122.35</v>
      </c>
      <c r="O735" s="66" t="s">
        <v>18</v>
      </c>
      <c r="P735" s="66" t="s">
        <v>206</v>
      </c>
      <c r="Q735" s="450" t="s">
        <v>4771</v>
      </c>
      <c r="R735" s="66" t="s">
        <v>5073</v>
      </c>
      <c r="S735" s="66">
        <f>4.3+6.6+4.7+6.9+2.8+1.5+0.3+3.7+5.4+2</f>
        <v>38.200000000000003</v>
      </c>
      <c r="T735" s="66" t="s">
        <v>4596</v>
      </c>
      <c r="U735" s="66"/>
      <c r="V735" s="66"/>
      <c r="W735" s="66" t="s">
        <v>4774</v>
      </c>
      <c r="X735" s="98"/>
      <c r="Y735" s="123">
        <f>Table3[[#This Row],[Superficie totale (ha)]]-Table3[[#This Row],[Superficie cultivée (ha)]]</f>
        <v>84.149999999999991</v>
      </c>
      <c r="Z735" s="123"/>
      <c r="AA735" s="99"/>
      <c r="AB735" s="66"/>
      <c r="AC735" s="124"/>
      <c r="AD735" s="98"/>
      <c r="AE735" s="98"/>
      <c r="AF735" s="123"/>
      <c r="AG735" s="98"/>
      <c r="AH735" s="66"/>
      <c r="AI735" s="66"/>
      <c r="AJ735" s="66"/>
      <c r="AK735" s="66" t="s">
        <v>8380</v>
      </c>
      <c r="AL735" s="66"/>
      <c r="AM735" s="465">
        <f>G735/N735</f>
        <v>1471.1892112791174</v>
      </c>
    </row>
    <row r="736" spans="1:39">
      <c r="A736" s="196" t="s">
        <v>8510</v>
      </c>
      <c r="C736" s="317">
        <v>46000</v>
      </c>
      <c r="F736" t="s">
        <v>8511</v>
      </c>
      <c r="G736" s="94">
        <v>135000</v>
      </c>
      <c r="I736" t="s">
        <v>65</v>
      </c>
      <c r="J736" t="s">
        <v>987</v>
      </c>
      <c r="AM736" s="1" t="e">
        <f>G736/N736</f>
        <v>#DIV/0!</v>
      </c>
    </row>
    <row r="737" spans="1:39" hidden="1">
      <c r="A737" s="196" t="s">
        <v>8383</v>
      </c>
      <c r="C737" s="317">
        <v>46090</v>
      </c>
      <c r="F737" t="s">
        <v>8384</v>
      </c>
      <c r="G737" s="94">
        <v>415000</v>
      </c>
      <c r="I737" t="s">
        <v>2520</v>
      </c>
      <c r="J737" t="s">
        <v>8178</v>
      </c>
      <c r="N737" s="63">
        <v>18.010000000000002</v>
      </c>
      <c r="O737" t="s">
        <v>18</v>
      </c>
      <c r="P737" t="s">
        <v>19</v>
      </c>
      <c r="Q737" s="436" t="s">
        <v>4856</v>
      </c>
      <c r="R737" t="s">
        <v>4669</v>
      </c>
      <c r="S737">
        <v>11.5</v>
      </c>
      <c r="T737" t="s">
        <v>4596</v>
      </c>
      <c r="Y737" s="63">
        <f>Table3[[#This Row],[Superficie totale (ha)]]-Table3[[#This Row],[Superficie cultivée (ha)]]-0.5</f>
        <v>6.0100000000000016</v>
      </c>
      <c r="AK737" t="s">
        <v>8385</v>
      </c>
      <c r="AM737" s="1">
        <f>G737/N737</f>
        <v>23042.754025541362</v>
      </c>
    </row>
    <row r="738" spans="1:39">
      <c r="A738" t="s">
        <v>8298</v>
      </c>
      <c r="C738" s="317">
        <v>46007</v>
      </c>
      <c r="F738" t="s">
        <v>8299</v>
      </c>
      <c r="G738" s="94">
        <v>1250000</v>
      </c>
      <c r="I738" t="s">
        <v>747</v>
      </c>
      <c r="AM738" s="1" t="e">
        <f>G738/N738</f>
        <v>#DIV/0!</v>
      </c>
    </row>
    <row r="739" spans="1:39" hidden="1">
      <c r="A739" s="196">
        <v>30196299</v>
      </c>
      <c r="C739" s="317">
        <v>46112</v>
      </c>
      <c r="D739" t="s">
        <v>8388</v>
      </c>
      <c r="E739" t="s">
        <v>8389</v>
      </c>
      <c r="F739" t="s">
        <v>8390</v>
      </c>
      <c r="G739" s="94">
        <v>1200000</v>
      </c>
      <c r="I739" t="s">
        <v>654</v>
      </c>
      <c r="J739" t="s">
        <v>8391</v>
      </c>
      <c r="K739" t="s">
        <v>8392</v>
      </c>
      <c r="L739" s="96">
        <v>46.786217000000001</v>
      </c>
      <c r="M739" s="245" t="s">
        <v>8393</v>
      </c>
      <c r="N739" s="63">
        <f>5.87+1.5+7.61+1.55+17.89+16.27</f>
        <v>50.69</v>
      </c>
      <c r="O739" t="s">
        <v>18</v>
      </c>
      <c r="P739" t="s">
        <v>206</v>
      </c>
      <c r="Q739" s="436" t="s">
        <v>5891</v>
      </c>
      <c r="R739" t="s">
        <v>5485</v>
      </c>
      <c r="S739">
        <f>3.3+4.3+7.6+3.8+3.8+3.8+3.9+3.1+4.4+0.5+0.7</f>
        <v>39.200000000000003</v>
      </c>
      <c r="W739" t="s">
        <v>8394</v>
      </c>
      <c r="Y739" s="63">
        <v>0.7</v>
      </c>
    </row>
    <row r="740" spans="1:39">
      <c r="A740" s="196" t="s">
        <v>8300</v>
      </c>
      <c r="C740" s="317">
        <v>46008</v>
      </c>
      <c r="F740" t="s">
        <v>8301</v>
      </c>
      <c r="I740" t="s">
        <v>654</v>
      </c>
      <c r="AM740" s="1" t="e">
        <f t="shared" ref="AM740:AM771" si="30">G740/N740</f>
        <v>#DIV/0!</v>
      </c>
    </row>
    <row r="741" spans="1:39" hidden="1">
      <c r="A741" s="196" t="s">
        <v>8397</v>
      </c>
      <c r="C741" s="317">
        <v>46114</v>
      </c>
      <c r="D741" t="s">
        <v>8398</v>
      </c>
      <c r="E741" t="s">
        <v>8399</v>
      </c>
      <c r="F741" t="s">
        <v>8400</v>
      </c>
      <c r="G741" s="94">
        <v>150000</v>
      </c>
      <c r="I741" t="s">
        <v>722</v>
      </c>
      <c r="J741" t="s">
        <v>1396</v>
      </c>
      <c r="K741" t="s">
        <v>8401</v>
      </c>
      <c r="L741" s="96">
        <v>46.463948000000002</v>
      </c>
      <c r="M741" s="245" t="s">
        <v>8402</v>
      </c>
      <c r="N741" s="63">
        <v>4.28</v>
      </c>
      <c r="O741" t="s">
        <v>18</v>
      </c>
      <c r="P741" t="s">
        <v>206</v>
      </c>
      <c r="Q741" s="436" t="s">
        <v>4771</v>
      </c>
      <c r="R741" t="s">
        <v>5016</v>
      </c>
      <c r="S741">
        <v>2.5</v>
      </c>
      <c r="W741" t="s">
        <v>7865</v>
      </c>
      <c r="Y741" s="63">
        <v>1.2</v>
      </c>
      <c r="AK741" t="s">
        <v>8403</v>
      </c>
      <c r="AM741" s="1">
        <f t="shared" si="30"/>
        <v>35046.728971962613</v>
      </c>
    </row>
    <row r="742" spans="1:39" hidden="1">
      <c r="A742" s="196" t="s">
        <v>8404</v>
      </c>
      <c r="C742" s="317">
        <v>46129</v>
      </c>
      <c r="D742" t="s">
        <v>8405</v>
      </c>
      <c r="E742" t="s">
        <v>8406</v>
      </c>
      <c r="F742" t="s">
        <v>8407</v>
      </c>
      <c r="G742" s="94">
        <v>410000</v>
      </c>
      <c r="I742" t="s">
        <v>1295</v>
      </c>
      <c r="J742" t="s">
        <v>8408</v>
      </c>
      <c r="K742" t="s">
        <v>8409</v>
      </c>
      <c r="L742" s="96">
        <v>48.780897000000003</v>
      </c>
      <c r="M742" s="245" t="s">
        <v>8410</v>
      </c>
      <c r="N742" s="63">
        <f>114.17+43.88</f>
        <v>158.05000000000001</v>
      </c>
      <c r="P742" t="s">
        <v>26</v>
      </c>
      <c r="Q742" s="436" t="s">
        <v>4703</v>
      </c>
      <c r="R742" t="s">
        <v>155</v>
      </c>
      <c r="S742">
        <f>1.4+4.1+7.6+6+2.7+4.5+20.2+6.3+6.1+12.2</f>
        <v>71.099999999999994</v>
      </c>
      <c r="U742">
        <f>4.5+20.2+6.3+6.1+12.2</f>
        <v>49.3</v>
      </c>
      <c r="W742" t="s">
        <v>7461</v>
      </c>
      <c r="Y742" s="63">
        <f>12+15+58</f>
        <v>85</v>
      </c>
      <c r="AK742" t="s">
        <v>8411</v>
      </c>
      <c r="AM742" s="1">
        <f t="shared" si="30"/>
        <v>2594.1157861436254</v>
      </c>
    </row>
    <row r="743" spans="1:39" hidden="1">
      <c r="D743" s="247" t="s">
        <v>8412</v>
      </c>
      <c r="E743" s="247" t="s">
        <v>8413</v>
      </c>
      <c r="F743" s="247" t="s">
        <v>8414</v>
      </c>
      <c r="G743" s="94">
        <v>800000</v>
      </c>
      <c r="I743" t="s">
        <v>5985</v>
      </c>
      <c r="J743" t="s">
        <v>1199</v>
      </c>
      <c r="K743" s="247" t="s">
        <v>8415</v>
      </c>
      <c r="L743" s="96">
        <v>45.853907999999997</v>
      </c>
      <c r="M743" s="96">
        <v>-72.086474999999993</v>
      </c>
      <c r="N743" s="63">
        <v>36.32</v>
      </c>
      <c r="O743" t="s">
        <v>36</v>
      </c>
      <c r="P743" t="s">
        <v>35</v>
      </c>
      <c r="Q743" s="436" t="s">
        <v>8042</v>
      </c>
      <c r="R743" t="s">
        <v>4801</v>
      </c>
      <c r="S743">
        <v>34.700000000000003</v>
      </c>
      <c r="T743" t="s">
        <v>3124</v>
      </c>
      <c r="Y743" s="63">
        <f>Table3[[#This Row],[Superficie totale (ha)]]-Table3[[#This Row],[Superficie cultivée (ha)]]</f>
        <v>1.6199999999999974</v>
      </c>
      <c r="AK743" t="s">
        <v>8416</v>
      </c>
      <c r="AM743" s="1">
        <f t="shared" si="30"/>
        <v>22026.431718061674</v>
      </c>
    </row>
    <row r="744" spans="1:39">
      <c r="A744" t="s">
        <v>8524</v>
      </c>
      <c r="C744" s="317">
        <v>46044</v>
      </c>
      <c r="F744" t="s">
        <v>8525</v>
      </c>
      <c r="G744" s="94">
        <v>500000</v>
      </c>
      <c r="I744" t="s">
        <v>16</v>
      </c>
      <c r="J744" t="s">
        <v>8526</v>
      </c>
      <c r="AM744" s="1" t="e">
        <f t="shared" si="30"/>
        <v>#DIV/0!</v>
      </c>
    </row>
    <row r="745" spans="1:39">
      <c r="A745" s="196" t="s">
        <v>8337</v>
      </c>
      <c r="C745" s="317">
        <v>46065</v>
      </c>
      <c r="F745" t="s">
        <v>8338</v>
      </c>
      <c r="G745" s="94">
        <v>755000</v>
      </c>
      <c r="I745" t="s">
        <v>747</v>
      </c>
      <c r="AM745" s="1" t="e">
        <f t="shared" si="30"/>
        <v>#DIV/0!</v>
      </c>
    </row>
    <row r="746" spans="1:39">
      <c r="A746" s="196" t="s">
        <v>8361</v>
      </c>
      <c r="C746" s="317">
        <v>46078</v>
      </c>
      <c r="F746" t="s">
        <v>8362</v>
      </c>
      <c r="G746" s="94">
        <v>2250000</v>
      </c>
      <c r="I746" t="s">
        <v>747</v>
      </c>
      <c r="AM746" s="1" t="e">
        <f t="shared" si="30"/>
        <v>#DIV/0!</v>
      </c>
    </row>
    <row r="747" spans="1:39">
      <c r="A747" s="196" t="s">
        <v>8381</v>
      </c>
      <c r="C747" s="317">
        <v>46086</v>
      </c>
      <c r="F747" t="s">
        <v>8382</v>
      </c>
      <c r="G747" s="94">
        <v>670000</v>
      </c>
      <c r="I747" t="s">
        <v>74</v>
      </c>
      <c r="AM747" s="1" t="e">
        <f t="shared" si="30"/>
        <v>#DIV/0!</v>
      </c>
    </row>
    <row r="748" spans="1:39">
      <c r="A748" s="196" t="s">
        <v>8512</v>
      </c>
      <c r="C748" s="317">
        <v>46091</v>
      </c>
      <c r="F748" t="s">
        <v>8513</v>
      </c>
      <c r="G748" s="94">
        <v>700000</v>
      </c>
      <c r="I748" t="s">
        <v>65</v>
      </c>
      <c r="J748" t="s">
        <v>693</v>
      </c>
      <c r="AM748" s="1" t="e">
        <f t="shared" si="30"/>
        <v>#DIV/0!</v>
      </c>
    </row>
    <row r="749" spans="1:39">
      <c r="A749" s="196" t="s">
        <v>8386</v>
      </c>
      <c r="C749" s="317">
        <v>46098</v>
      </c>
      <c r="F749" t="s">
        <v>8387</v>
      </c>
      <c r="I749" t="s">
        <v>722</v>
      </c>
      <c r="AM749" s="1" t="e">
        <f t="shared" si="30"/>
        <v>#DIV/0!</v>
      </c>
    </row>
    <row r="750" spans="1:39" ht="18">
      <c r="A750" s="196" t="s">
        <v>8514</v>
      </c>
      <c r="C750" s="317">
        <v>46107</v>
      </c>
      <c r="F750" s="509" t="s">
        <v>8515</v>
      </c>
      <c r="G750" s="94">
        <v>1000000</v>
      </c>
      <c r="I750" t="s">
        <v>65</v>
      </c>
      <c r="J750" t="s">
        <v>4527</v>
      </c>
      <c r="AM750" s="1" t="e">
        <f t="shared" si="30"/>
        <v>#DIV/0!</v>
      </c>
    </row>
    <row r="751" spans="1:39">
      <c r="A751" s="196" t="s">
        <v>8395</v>
      </c>
      <c r="C751" s="317">
        <v>46112</v>
      </c>
      <c r="F751" t="s">
        <v>8396</v>
      </c>
      <c r="I751" t="s">
        <v>722</v>
      </c>
      <c r="AM751" s="1" t="e">
        <f t="shared" si="30"/>
        <v>#DIV/0!</v>
      </c>
    </row>
    <row r="752" spans="1:39">
      <c r="A752" t="s">
        <v>8527</v>
      </c>
      <c r="C752" s="317">
        <v>46136</v>
      </c>
      <c r="F752" t="s">
        <v>8528</v>
      </c>
      <c r="G752" s="94">
        <v>2200000</v>
      </c>
      <c r="I752" t="s">
        <v>16</v>
      </c>
      <c r="J752" t="s">
        <v>7484</v>
      </c>
      <c r="AM752" s="1" t="e">
        <f t="shared" si="30"/>
        <v>#DIV/0!</v>
      </c>
    </row>
    <row r="753" spans="1:39">
      <c r="A753" s="196" t="s">
        <v>8516</v>
      </c>
      <c r="C753" s="317">
        <v>46143</v>
      </c>
      <c r="F753" t="s">
        <v>8517</v>
      </c>
      <c r="G753" s="94">
        <v>100000</v>
      </c>
      <c r="I753" t="s">
        <v>65</v>
      </c>
      <c r="J753" t="s">
        <v>4547</v>
      </c>
      <c r="AM753" s="1" t="e">
        <f t="shared" si="30"/>
        <v>#DIV/0!</v>
      </c>
    </row>
    <row r="754" spans="1:39">
      <c r="A754" s="196" t="s">
        <v>8518</v>
      </c>
      <c r="C754" s="317">
        <v>46153</v>
      </c>
      <c r="F754" t="s">
        <v>8519</v>
      </c>
      <c r="G754" s="94">
        <v>80000</v>
      </c>
      <c r="I754" t="s">
        <v>65</v>
      </c>
      <c r="J754" t="s">
        <v>8520</v>
      </c>
      <c r="AM754" s="1" t="e">
        <f t="shared" si="30"/>
        <v>#DIV/0!</v>
      </c>
    </row>
    <row r="755" spans="1:39">
      <c r="A755" s="196" t="s">
        <v>8521</v>
      </c>
      <c r="C755" s="317">
        <v>46153</v>
      </c>
      <c r="F755" t="s">
        <v>8522</v>
      </c>
      <c r="G755" s="94">
        <v>300000</v>
      </c>
      <c r="I755" t="s">
        <v>65</v>
      </c>
      <c r="J755" t="s">
        <v>8523</v>
      </c>
      <c r="AM755" s="1" t="e">
        <f t="shared" si="30"/>
        <v>#DIV/0!</v>
      </c>
    </row>
    <row r="756" spans="1:39">
      <c r="A756" s="196">
        <v>28883825</v>
      </c>
      <c r="AM756" s="1" t="e">
        <f t="shared" si="30"/>
        <v>#DIV/0!</v>
      </c>
    </row>
    <row r="757" spans="1:39">
      <c r="AM757" s="1" t="e">
        <f t="shared" si="30"/>
        <v>#DIV/0!</v>
      </c>
    </row>
    <row r="758" spans="1:39">
      <c r="A758" s="196">
        <v>28885252</v>
      </c>
      <c r="F758" t="s">
        <v>8417</v>
      </c>
      <c r="AM758" s="1" t="e">
        <f t="shared" si="30"/>
        <v>#DIV/0!</v>
      </c>
    </row>
    <row r="759" spans="1:39">
      <c r="A759" s="196">
        <v>29139975</v>
      </c>
      <c r="F759" t="s">
        <v>8418</v>
      </c>
      <c r="AM759" s="1" t="e">
        <f t="shared" si="30"/>
        <v>#DIV/0!</v>
      </c>
    </row>
    <row r="760" spans="1:39">
      <c r="A760" s="196">
        <v>29283744</v>
      </c>
      <c r="F760" t="s">
        <v>8419</v>
      </c>
      <c r="AM760" s="1" t="e">
        <f t="shared" si="30"/>
        <v>#DIV/0!</v>
      </c>
    </row>
    <row r="761" spans="1:39">
      <c r="A761" s="196">
        <v>29264781</v>
      </c>
      <c r="F761" s="269">
        <v>6570495</v>
      </c>
      <c r="AM761" s="1" t="e">
        <f t="shared" si="30"/>
        <v>#DIV/0!</v>
      </c>
    </row>
    <row r="762" spans="1:39">
      <c r="A762" s="196">
        <v>29397258</v>
      </c>
      <c r="F762" t="s">
        <v>8420</v>
      </c>
      <c r="AM762" s="1" t="e">
        <f t="shared" si="30"/>
        <v>#DIV/0!</v>
      </c>
    </row>
    <row r="763" spans="1:39">
      <c r="A763" s="196">
        <v>29401245</v>
      </c>
      <c r="F763" t="s">
        <v>8421</v>
      </c>
      <c r="AM763" s="1" t="e">
        <f t="shared" si="30"/>
        <v>#DIV/0!</v>
      </c>
    </row>
    <row r="764" spans="1:39">
      <c r="A764" s="196">
        <v>29613648</v>
      </c>
      <c r="F764" s="269">
        <v>4370239</v>
      </c>
      <c r="AM764" s="1" t="e">
        <f t="shared" si="30"/>
        <v>#DIV/0!</v>
      </c>
    </row>
    <row r="765" spans="1:39">
      <c r="A765" s="196">
        <v>29374453</v>
      </c>
      <c r="C765" s="318"/>
      <c r="F765" t="s">
        <v>8422</v>
      </c>
      <c r="AM765" s="1" t="e">
        <f t="shared" si="30"/>
        <v>#DIV/0!</v>
      </c>
    </row>
    <row r="766" spans="1:39">
      <c r="A766" s="196">
        <v>29376516</v>
      </c>
      <c r="F766" s="247" t="s">
        <v>8423</v>
      </c>
      <c r="G766" s="94">
        <v>122000</v>
      </c>
      <c r="I766" t="s">
        <v>53</v>
      </c>
      <c r="J766" t="s">
        <v>8424</v>
      </c>
      <c r="AM766" s="1" t="e">
        <f t="shared" si="30"/>
        <v>#DIV/0!</v>
      </c>
    </row>
    <row r="767" spans="1:39" ht="15.75">
      <c r="A767" s="196">
        <v>28476912</v>
      </c>
      <c r="F767" s="286" t="s">
        <v>8425</v>
      </c>
      <c r="I767" t="s">
        <v>602</v>
      </c>
      <c r="AM767" s="1" t="e">
        <f t="shared" si="30"/>
        <v>#DIV/0!</v>
      </c>
    </row>
    <row r="768" spans="1:39" ht="15.75">
      <c r="A768" s="196">
        <v>28524585</v>
      </c>
      <c r="F768" s="286" t="s">
        <v>8426</v>
      </c>
      <c r="I768" t="s">
        <v>602</v>
      </c>
      <c r="AM768" s="1" t="e">
        <f t="shared" si="30"/>
        <v>#DIV/0!</v>
      </c>
    </row>
    <row r="769" spans="1:39" ht="15.75">
      <c r="A769" s="196">
        <v>28538962</v>
      </c>
      <c r="F769" s="286">
        <v>4788561</v>
      </c>
      <c r="I769" t="s">
        <v>602</v>
      </c>
      <c r="AM769" s="1" t="e">
        <f t="shared" si="30"/>
        <v>#DIV/0!</v>
      </c>
    </row>
    <row r="770" spans="1:39" s="66" customFormat="1" ht="15.75">
      <c r="A770" s="196">
        <v>28588768</v>
      </c>
      <c r="B770"/>
      <c r="C770" s="317"/>
      <c r="D770"/>
      <c r="E770"/>
      <c r="F770" s="286" t="s">
        <v>8427</v>
      </c>
      <c r="G770" s="94"/>
      <c r="H770" s="94"/>
      <c r="I770" t="s">
        <v>602</v>
      </c>
      <c r="J770"/>
      <c r="K770"/>
      <c r="L770" s="96"/>
      <c r="M770" s="96"/>
      <c r="N770" s="63"/>
      <c r="O770"/>
      <c r="P770"/>
      <c r="Q770" s="436"/>
      <c r="R770"/>
      <c r="S770"/>
      <c r="T770"/>
      <c r="U770"/>
      <c r="V770"/>
      <c r="W770"/>
      <c r="X770" s="94"/>
      <c r="Y770" s="63"/>
      <c r="Z770" s="63"/>
      <c r="AA770" s="97"/>
      <c r="AB770"/>
      <c r="AC770" s="65"/>
      <c r="AD770" s="94"/>
      <c r="AE770" s="94"/>
      <c r="AF770" s="63"/>
      <c r="AG770" s="94"/>
      <c r="AH770"/>
      <c r="AI770"/>
      <c r="AJ770"/>
      <c r="AK770"/>
      <c r="AL770"/>
      <c r="AM770" s="1" t="e">
        <f t="shared" si="30"/>
        <v>#DIV/0!</v>
      </c>
    </row>
    <row r="771" spans="1:39" s="66" customFormat="1" ht="15.75">
      <c r="A771" s="196">
        <v>28649629</v>
      </c>
      <c r="B771"/>
      <c r="C771" s="317"/>
      <c r="D771"/>
      <c r="E771"/>
      <c r="F771" s="286" t="s">
        <v>8428</v>
      </c>
      <c r="G771" s="94"/>
      <c r="H771" s="94"/>
      <c r="I771" t="s">
        <v>602</v>
      </c>
      <c r="J771"/>
      <c r="K771"/>
      <c r="L771" s="96"/>
      <c r="M771" s="96"/>
      <c r="N771" s="63"/>
      <c r="O771"/>
      <c r="P771"/>
      <c r="Q771" s="436"/>
      <c r="R771"/>
      <c r="S771"/>
      <c r="T771"/>
      <c r="U771"/>
      <c r="V771"/>
      <c r="W771"/>
      <c r="X771" s="94"/>
      <c r="Y771" s="63"/>
      <c r="Z771" s="63"/>
      <c r="AA771" s="97"/>
      <c r="AB771"/>
      <c r="AC771" s="65"/>
      <c r="AD771" s="94"/>
      <c r="AE771" s="94"/>
      <c r="AF771" s="63"/>
      <c r="AG771" s="94"/>
      <c r="AH771"/>
      <c r="AI771"/>
      <c r="AJ771"/>
      <c r="AK771"/>
      <c r="AL771"/>
      <c r="AM771" s="1" t="e">
        <f t="shared" si="30"/>
        <v>#DIV/0!</v>
      </c>
    </row>
    <row r="772" spans="1:39" s="66" customFormat="1" ht="15.75">
      <c r="A772" s="196">
        <v>28653066</v>
      </c>
      <c r="B772"/>
      <c r="C772" s="317"/>
      <c r="D772"/>
      <c r="E772"/>
      <c r="F772" s="286" t="s">
        <v>8429</v>
      </c>
      <c r="G772" s="94"/>
      <c r="H772" s="94"/>
      <c r="I772" t="s">
        <v>602</v>
      </c>
      <c r="J772"/>
      <c r="K772"/>
      <c r="L772" s="96"/>
      <c r="M772" s="96"/>
      <c r="N772" s="63"/>
      <c r="O772"/>
      <c r="P772"/>
      <c r="Q772" s="436"/>
      <c r="R772"/>
      <c r="S772"/>
      <c r="T772"/>
      <c r="U772"/>
      <c r="V772"/>
      <c r="W772"/>
      <c r="X772" s="94"/>
      <c r="Y772" s="63"/>
      <c r="Z772" s="63"/>
      <c r="AA772" s="97"/>
      <c r="AB772"/>
      <c r="AC772" s="65"/>
      <c r="AD772" s="94"/>
      <c r="AE772" s="94"/>
      <c r="AF772" s="63"/>
      <c r="AG772" s="94"/>
      <c r="AH772"/>
      <c r="AI772"/>
      <c r="AJ772"/>
      <c r="AK772"/>
      <c r="AL772"/>
      <c r="AM772" s="1" t="e">
        <f t="shared" ref="AM772:AM798" si="31">G772/N772</f>
        <v>#DIV/0!</v>
      </c>
    </row>
    <row r="773" spans="1:39" ht="15.75">
      <c r="A773" s="196">
        <v>28660315</v>
      </c>
      <c r="F773" s="286" t="s">
        <v>8430</v>
      </c>
      <c r="I773" t="s">
        <v>602</v>
      </c>
      <c r="AM773" s="1" t="e">
        <f t="shared" si="31"/>
        <v>#DIV/0!</v>
      </c>
    </row>
    <row r="774" spans="1:39" s="66" customFormat="1" ht="15.75">
      <c r="A774" s="196">
        <v>28749193</v>
      </c>
      <c r="B774"/>
      <c r="C774" s="317"/>
      <c r="D774"/>
      <c r="E774"/>
      <c r="F774" s="286">
        <v>5525894</v>
      </c>
      <c r="G774" s="94"/>
      <c r="H774" s="94"/>
      <c r="I774" t="s">
        <v>602</v>
      </c>
      <c r="J774"/>
      <c r="K774"/>
      <c r="L774" s="96"/>
      <c r="M774" s="96"/>
      <c r="N774" s="63"/>
      <c r="O774"/>
      <c r="P774"/>
      <c r="Q774" s="436"/>
      <c r="R774"/>
      <c r="S774"/>
      <c r="T774"/>
      <c r="U774"/>
      <c r="V774"/>
      <c r="W774"/>
      <c r="X774" s="94"/>
      <c r="Y774" s="63"/>
      <c r="Z774" s="63"/>
      <c r="AA774" s="97"/>
      <c r="AB774"/>
      <c r="AC774" s="65"/>
      <c r="AD774" s="94"/>
      <c r="AE774" s="94"/>
      <c r="AF774" s="63"/>
      <c r="AG774" s="94"/>
      <c r="AH774"/>
      <c r="AI774"/>
      <c r="AJ774"/>
      <c r="AK774"/>
      <c r="AL774"/>
      <c r="AM774" s="1" t="e">
        <f t="shared" si="31"/>
        <v>#DIV/0!</v>
      </c>
    </row>
    <row r="775" spans="1:39" ht="15.75">
      <c r="A775" s="196">
        <v>28762548</v>
      </c>
      <c r="F775" s="286">
        <v>4006677</v>
      </c>
      <c r="I775" t="s">
        <v>602</v>
      </c>
      <c r="AM775" s="1" t="e">
        <f t="shared" si="31"/>
        <v>#DIV/0!</v>
      </c>
    </row>
    <row r="776" spans="1:39" ht="15.75">
      <c r="A776" s="196">
        <v>28796469</v>
      </c>
      <c r="F776" s="286" t="s">
        <v>8431</v>
      </c>
      <c r="I776" t="s">
        <v>602</v>
      </c>
      <c r="AM776" s="1" t="e">
        <f t="shared" si="31"/>
        <v>#DIV/0!</v>
      </c>
    </row>
    <row r="777" spans="1:39" ht="15.75">
      <c r="A777" s="196">
        <v>28936109</v>
      </c>
      <c r="F777" s="286">
        <v>6532513</v>
      </c>
      <c r="I777" t="s">
        <v>602</v>
      </c>
      <c r="AM777" s="1" t="e">
        <f t="shared" si="31"/>
        <v>#DIV/0!</v>
      </c>
    </row>
    <row r="778" spans="1:39" ht="15.75">
      <c r="A778" s="196">
        <v>28968332</v>
      </c>
      <c r="F778" s="286" t="s">
        <v>8432</v>
      </c>
      <c r="I778" t="s">
        <v>602</v>
      </c>
      <c r="AM778" s="1" t="e">
        <f t="shared" si="31"/>
        <v>#DIV/0!</v>
      </c>
    </row>
    <row r="779" spans="1:39" ht="15.75">
      <c r="A779" s="196">
        <v>29148557</v>
      </c>
      <c r="F779" s="286" t="s">
        <v>8433</v>
      </c>
      <c r="I779" t="s">
        <v>602</v>
      </c>
      <c r="AM779" s="1" t="e">
        <f t="shared" si="31"/>
        <v>#DIV/0!</v>
      </c>
    </row>
    <row r="780" spans="1:39" ht="15.75">
      <c r="A780" s="196">
        <v>29152144</v>
      </c>
      <c r="F780" s="286">
        <v>4006818</v>
      </c>
      <c r="I780" t="s">
        <v>602</v>
      </c>
      <c r="AM780" s="1" t="e">
        <f t="shared" si="31"/>
        <v>#DIV/0!</v>
      </c>
    </row>
    <row r="781" spans="1:39">
      <c r="A781" s="297" t="s">
        <v>8434</v>
      </c>
      <c r="F781" s="300" t="s">
        <v>8435</v>
      </c>
      <c r="I781" t="s">
        <v>160</v>
      </c>
      <c r="AM781" s="1" t="e">
        <f t="shared" si="31"/>
        <v>#DIV/0!</v>
      </c>
    </row>
    <row r="782" spans="1:39">
      <c r="A782" s="196" t="s">
        <v>8436</v>
      </c>
      <c r="F782" t="s">
        <v>8437</v>
      </c>
      <c r="I782" t="s">
        <v>160</v>
      </c>
      <c r="AM782" s="1" t="e">
        <f t="shared" si="31"/>
        <v>#DIV/0!</v>
      </c>
    </row>
    <row r="783" spans="1:39">
      <c r="A783" s="196" t="s">
        <v>8438</v>
      </c>
      <c r="F783" t="s">
        <v>8439</v>
      </c>
      <c r="I783" t="s">
        <v>160</v>
      </c>
      <c r="AM783" s="1" t="e">
        <f t="shared" si="31"/>
        <v>#DIV/0!</v>
      </c>
    </row>
    <row r="784" spans="1:39">
      <c r="A784" s="196" t="s">
        <v>8440</v>
      </c>
      <c r="F784" t="s">
        <v>8441</v>
      </c>
      <c r="I784" t="s">
        <v>160</v>
      </c>
      <c r="AM784" s="1" t="e">
        <f t="shared" si="31"/>
        <v>#DIV/0!</v>
      </c>
    </row>
    <row r="785" spans="1:39" s="66" customFormat="1">
      <c r="A785" s="196" t="s">
        <v>8442</v>
      </c>
      <c r="B785"/>
      <c r="C785" s="317"/>
      <c r="D785"/>
      <c r="E785"/>
      <c r="F785" t="s">
        <v>8443</v>
      </c>
      <c r="G785" s="94"/>
      <c r="H785" s="94"/>
      <c r="I785" t="s">
        <v>160</v>
      </c>
      <c r="J785"/>
      <c r="K785"/>
      <c r="L785" s="96"/>
      <c r="M785" s="96"/>
      <c r="N785" s="63"/>
      <c r="O785"/>
      <c r="P785"/>
      <c r="Q785" s="436"/>
      <c r="R785"/>
      <c r="S785"/>
      <c r="T785"/>
      <c r="U785"/>
      <c r="V785"/>
      <c r="W785"/>
      <c r="X785" s="94"/>
      <c r="Y785" s="63"/>
      <c r="Z785" s="63"/>
      <c r="AA785" s="97"/>
      <c r="AB785"/>
      <c r="AC785" s="65"/>
      <c r="AD785" s="94"/>
      <c r="AE785" s="94"/>
      <c r="AF785" s="63"/>
      <c r="AG785" s="94"/>
      <c r="AH785"/>
      <c r="AI785"/>
      <c r="AJ785"/>
      <c r="AK785"/>
      <c r="AL785"/>
      <c r="AM785" s="1" t="e">
        <f t="shared" si="31"/>
        <v>#DIV/0!</v>
      </c>
    </row>
    <row r="786" spans="1:39">
      <c r="A786" s="196" t="s">
        <v>8444</v>
      </c>
      <c r="F786" t="s">
        <v>8445</v>
      </c>
      <c r="I786" t="s">
        <v>160</v>
      </c>
      <c r="AM786" s="1" t="e">
        <f t="shared" si="31"/>
        <v>#DIV/0!</v>
      </c>
    </row>
    <row r="787" spans="1:39" s="66" customFormat="1">
      <c r="A787" s="196" t="s">
        <v>8446</v>
      </c>
      <c r="B787"/>
      <c r="C787" s="317"/>
      <c r="D787"/>
      <c r="E787"/>
      <c r="F787" t="s">
        <v>8447</v>
      </c>
      <c r="G787" s="94"/>
      <c r="H787" s="94"/>
      <c r="I787" t="s">
        <v>160</v>
      </c>
      <c r="J787"/>
      <c r="K787"/>
      <c r="L787" s="96"/>
      <c r="M787" s="96"/>
      <c r="N787" s="63"/>
      <c r="O787"/>
      <c r="P787"/>
      <c r="Q787" s="436"/>
      <c r="R787"/>
      <c r="S787"/>
      <c r="T787"/>
      <c r="U787"/>
      <c r="V787"/>
      <c r="W787"/>
      <c r="X787" s="94"/>
      <c r="Y787" s="63"/>
      <c r="Z787" s="63"/>
      <c r="AA787" s="97"/>
      <c r="AB787"/>
      <c r="AC787" s="65"/>
      <c r="AD787" s="94"/>
      <c r="AE787" s="94"/>
      <c r="AF787" s="63"/>
      <c r="AG787" s="94"/>
      <c r="AH787"/>
      <c r="AI787"/>
      <c r="AJ787"/>
      <c r="AK787"/>
      <c r="AL787"/>
      <c r="AM787" s="1" t="e">
        <f t="shared" si="31"/>
        <v>#DIV/0!</v>
      </c>
    </row>
    <row r="788" spans="1:39">
      <c r="A788" s="196" t="s">
        <v>8448</v>
      </c>
      <c r="F788" t="s">
        <v>8449</v>
      </c>
      <c r="I788" t="s">
        <v>160</v>
      </c>
      <c r="AM788" s="1" t="e">
        <f t="shared" si="31"/>
        <v>#DIV/0!</v>
      </c>
    </row>
    <row r="789" spans="1:39" s="66" customFormat="1">
      <c r="A789" s="196" t="s">
        <v>8450</v>
      </c>
      <c r="B789"/>
      <c r="C789" s="317"/>
      <c r="D789"/>
      <c r="E789"/>
      <c r="F789" t="s">
        <v>8451</v>
      </c>
      <c r="G789" s="94"/>
      <c r="H789" s="94"/>
      <c r="I789" t="s">
        <v>160</v>
      </c>
      <c r="J789"/>
      <c r="K789"/>
      <c r="L789" s="96"/>
      <c r="M789" s="96"/>
      <c r="N789" s="63"/>
      <c r="O789"/>
      <c r="P789"/>
      <c r="Q789" s="436"/>
      <c r="R789"/>
      <c r="S789"/>
      <c r="T789"/>
      <c r="U789"/>
      <c r="V789"/>
      <c r="W789"/>
      <c r="X789" s="94"/>
      <c r="Y789" s="63"/>
      <c r="Z789" s="63"/>
      <c r="AA789" s="97"/>
      <c r="AB789"/>
      <c r="AC789" s="65"/>
      <c r="AD789" s="94"/>
      <c r="AE789" s="94"/>
      <c r="AF789" s="63"/>
      <c r="AG789" s="94"/>
      <c r="AH789"/>
      <c r="AI789"/>
      <c r="AJ789"/>
      <c r="AK789"/>
      <c r="AL789"/>
      <c r="AM789" s="1" t="e">
        <f t="shared" si="31"/>
        <v>#DIV/0!</v>
      </c>
    </row>
    <row r="790" spans="1:39">
      <c r="A790" s="196" t="s">
        <v>8452</v>
      </c>
      <c r="F790" t="s">
        <v>8453</v>
      </c>
      <c r="I790" t="s">
        <v>16</v>
      </c>
      <c r="AM790" s="1" t="e">
        <f t="shared" si="31"/>
        <v>#DIV/0!</v>
      </c>
    </row>
    <row r="791" spans="1:39" s="66" customFormat="1">
      <c r="A791" s="196" t="s">
        <v>8454</v>
      </c>
      <c r="B791"/>
      <c r="C791" s="317"/>
      <c r="D791"/>
      <c r="E791"/>
      <c r="F791" t="s">
        <v>8455</v>
      </c>
      <c r="G791" s="94"/>
      <c r="H791" s="94"/>
      <c r="I791" t="s">
        <v>16</v>
      </c>
      <c r="J791"/>
      <c r="K791"/>
      <c r="L791" s="96"/>
      <c r="M791" s="96"/>
      <c r="N791" s="63"/>
      <c r="O791"/>
      <c r="P791"/>
      <c r="Q791" s="436"/>
      <c r="R791"/>
      <c r="S791"/>
      <c r="T791"/>
      <c r="U791"/>
      <c r="V791"/>
      <c r="W791"/>
      <c r="X791" s="94"/>
      <c r="Y791" s="63"/>
      <c r="Z791" s="63"/>
      <c r="AA791" s="97"/>
      <c r="AB791"/>
      <c r="AC791" s="65"/>
      <c r="AD791" s="94"/>
      <c r="AE791" s="94"/>
      <c r="AF791" s="63"/>
      <c r="AG791" s="94"/>
      <c r="AH791"/>
      <c r="AI791"/>
      <c r="AJ791"/>
      <c r="AK791"/>
      <c r="AL791"/>
      <c r="AM791" s="1" t="e">
        <f t="shared" si="31"/>
        <v>#DIV/0!</v>
      </c>
    </row>
    <row r="792" spans="1:39" s="66" customFormat="1">
      <c r="A792" s="196" t="s">
        <v>8456</v>
      </c>
      <c r="B792"/>
      <c r="C792" s="317"/>
      <c r="D792"/>
      <c r="E792"/>
      <c r="F792" t="s">
        <v>8457</v>
      </c>
      <c r="G792" s="94"/>
      <c r="H792" s="94"/>
      <c r="I792" t="s">
        <v>16</v>
      </c>
      <c r="J792"/>
      <c r="K792"/>
      <c r="L792" s="96"/>
      <c r="M792" s="96"/>
      <c r="N792" s="63"/>
      <c r="O792"/>
      <c r="P792"/>
      <c r="Q792" s="436"/>
      <c r="R792"/>
      <c r="S792"/>
      <c r="T792"/>
      <c r="U792"/>
      <c r="V792"/>
      <c r="W792"/>
      <c r="X792" s="94"/>
      <c r="Y792" s="63"/>
      <c r="Z792" s="63"/>
      <c r="AA792" s="97"/>
      <c r="AB792"/>
      <c r="AC792" s="65"/>
      <c r="AD792" s="94"/>
      <c r="AE792" s="94"/>
      <c r="AF792" s="63"/>
      <c r="AG792" s="94"/>
      <c r="AH792"/>
      <c r="AI792"/>
      <c r="AJ792"/>
      <c r="AK792"/>
      <c r="AL792"/>
      <c r="AM792" s="1" t="e">
        <f t="shared" si="31"/>
        <v>#DIV/0!</v>
      </c>
    </row>
    <row r="793" spans="1:39" s="66" customFormat="1">
      <c r="A793" s="196" t="s">
        <v>8458</v>
      </c>
      <c r="B793"/>
      <c r="C793" s="317"/>
      <c r="D793"/>
      <c r="E793"/>
      <c r="F793" t="s">
        <v>8459</v>
      </c>
      <c r="G793" s="94"/>
      <c r="H793" s="94"/>
      <c r="I793" t="s">
        <v>29</v>
      </c>
      <c r="J793"/>
      <c r="K793"/>
      <c r="L793" s="96"/>
      <c r="M793" s="96"/>
      <c r="N793" s="63"/>
      <c r="O793"/>
      <c r="P793"/>
      <c r="Q793" s="436"/>
      <c r="R793"/>
      <c r="S793"/>
      <c r="T793"/>
      <c r="U793"/>
      <c r="V793"/>
      <c r="W793"/>
      <c r="X793" s="94"/>
      <c r="Y793" s="63"/>
      <c r="Z793" s="63"/>
      <c r="AA793" s="97"/>
      <c r="AB793"/>
      <c r="AC793" s="65"/>
      <c r="AD793" s="94"/>
      <c r="AE793" s="94"/>
      <c r="AF793" s="63"/>
      <c r="AG793" s="94"/>
      <c r="AH793"/>
      <c r="AI793"/>
      <c r="AJ793"/>
      <c r="AK793"/>
      <c r="AL793"/>
      <c r="AM793" s="1" t="e">
        <f t="shared" si="31"/>
        <v>#DIV/0!</v>
      </c>
    </row>
    <row r="794" spans="1:39" s="66" customFormat="1">
      <c r="A794" s="196" t="s">
        <v>8460</v>
      </c>
      <c r="B794"/>
      <c r="C794" s="317"/>
      <c r="D794"/>
      <c r="E794"/>
      <c r="F794" t="s">
        <v>8461</v>
      </c>
      <c r="G794" s="94"/>
      <c r="H794" s="94"/>
      <c r="I794" t="s">
        <v>29</v>
      </c>
      <c r="J794"/>
      <c r="K794"/>
      <c r="L794" s="96"/>
      <c r="M794" s="96"/>
      <c r="N794" s="63"/>
      <c r="O794"/>
      <c r="P794"/>
      <c r="Q794" s="436"/>
      <c r="R794"/>
      <c r="S794"/>
      <c r="T794"/>
      <c r="U794"/>
      <c r="V794"/>
      <c r="W794"/>
      <c r="X794" s="94"/>
      <c r="Y794" s="63"/>
      <c r="Z794" s="63"/>
      <c r="AA794" s="97"/>
      <c r="AB794"/>
      <c r="AC794" s="65"/>
      <c r="AD794" s="94"/>
      <c r="AE794" s="94"/>
      <c r="AF794" s="63"/>
      <c r="AG794" s="94"/>
      <c r="AH794"/>
      <c r="AI794"/>
      <c r="AJ794"/>
      <c r="AK794"/>
      <c r="AL794"/>
      <c r="AM794" s="1" t="e">
        <f t="shared" si="31"/>
        <v>#DIV/0!</v>
      </c>
    </row>
    <row r="795" spans="1:39">
      <c r="A795" s="196" t="s">
        <v>8462</v>
      </c>
      <c r="F795" t="s">
        <v>8463</v>
      </c>
      <c r="I795" t="s">
        <v>29</v>
      </c>
      <c r="AM795" s="1" t="e">
        <f t="shared" si="31"/>
        <v>#DIV/0!</v>
      </c>
    </row>
    <row r="796" spans="1:39">
      <c r="A796" s="196" t="s">
        <v>8464</v>
      </c>
      <c r="F796" t="s">
        <v>8465</v>
      </c>
      <c r="I796" t="s">
        <v>8104</v>
      </c>
      <c r="AM796" s="1" t="e">
        <f t="shared" si="31"/>
        <v>#DIV/0!</v>
      </c>
    </row>
    <row r="797" spans="1:39">
      <c r="A797" s="196" t="s">
        <v>8466</v>
      </c>
      <c r="F797" t="s">
        <v>8467</v>
      </c>
      <c r="I797" t="s">
        <v>8104</v>
      </c>
      <c r="AM797" s="1" t="e">
        <f t="shared" si="31"/>
        <v>#DIV/0!</v>
      </c>
    </row>
    <row r="798" spans="1:39">
      <c r="A798" s="196" t="s">
        <v>8468</v>
      </c>
      <c r="F798" t="s">
        <v>8469</v>
      </c>
      <c r="I798" t="s">
        <v>1295</v>
      </c>
      <c r="J798" t="s">
        <v>2173</v>
      </c>
      <c r="AM798" s="1" t="e">
        <f t="shared" si="31"/>
        <v>#DIV/0!</v>
      </c>
    </row>
    <row r="800" spans="1:39">
      <c r="A800" s="196" t="s">
        <v>8470</v>
      </c>
      <c r="F800" t="s">
        <v>8471</v>
      </c>
      <c r="I800" t="s">
        <v>1295</v>
      </c>
      <c r="J800" t="s">
        <v>4300</v>
      </c>
      <c r="AM800" s="1" t="e">
        <f>G800/N800</f>
        <v>#DIV/0!</v>
      </c>
    </row>
    <row r="801" spans="1:39" s="66" customFormat="1">
      <c r="A801" s="196" t="s">
        <v>8472</v>
      </c>
      <c r="B801"/>
      <c r="C801" s="317"/>
      <c r="D801"/>
      <c r="E801"/>
      <c r="F801" t="s">
        <v>8473</v>
      </c>
      <c r="G801" s="94"/>
      <c r="H801" s="94"/>
      <c r="I801" t="s">
        <v>1295</v>
      </c>
      <c r="J801" t="s">
        <v>8474</v>
      </c>
      <c r="K801"/>
      <c r="L801" s="96"/>
      <c r="M801" s="96"/>
      <c r="N801" s="63"/>
      <c r="O801"/>
      <c r="P801"/>
      <c r="Q801" s="436"/>
      <c r="R801"/>
      <c r="S801"/>
      <c r="T801"/>
      <c r="U801"/>
      <c r="V801"/>
      <c r="W801"/>
      <c r="X801" s="94"/>
      <c r="Y801" s="63"/>
      <c r="Z801" s="63"/>
      <c r="AA801" s="97"/>
      <c r="AB801"/>
      <c r="AC801" s="65"/>
      <c r="AD801" s="94"/>
      <c r="AE801" s="94"/>
      <c r="AF801" s="63"/>
      <c r="AG801" s="94"/>
      <c r="AH801"/>
      <c r="AI801"/>
      <c r="AJ801"/>
      <c r="AK801"/>
      <c r="AL801"/>
      <c r="AM801" s="1" t="e">
        <f>G801/N801</f>
        <v>#DIV/0!</v>
      </c>
    </row>
    <row r="802" spans="1:39">
      <c r="A802" s="196" t="s">
        <v>8475</v>
      </c>
      <c r="F802" t="s">
        <v>8476</v>
      </c>
      <c r="I802" t="s">
        <v>5423</v>
      </c>
      <c r="J802" t="s">
        <v>231</v>
      </c>
      <c r="AM802" s="1" t="e">
        <f>G802/N802</f>
        <v>#DIV/0!</v>
      </c>
    </row>
    <row r="803" spans="1:39">
      <c r="A803" s="196" t="s">
        <v>8477</v>
      </c>
      <c r="F803" t="s">
        <v>8478</v>
      </c>
      <c r="G803" s="94">
        <v>130000</v>
      </c>
      <c r="I803" t="s">
        <v>2560</v>
      </c>
      <c r="J803" t="s">
        <v>7026</v>
      </c>
      <c r="AM803" s="1" t="e">
        <f>G803/N803</f>
        <v>#DIV/0!</v>
      </c>
    </row>
    <row r="804" spans="1:39">
      <c r="A804" s="196">
        <v>29275678</v>
      </c>
      <c r="D804" t="s">
        <v>8479</v>
      </c>
      <c r="E804" s="317" t="s">
        <v>8480</v>
      </c>
      <c r="F804" t="s">
        <v>8481</v>
      </c>
      <c r="G804" s="482">
        <v>325000</v>
      </c>
      <c r="J804" t="s">
        <v>4377</v>
      </c>
      <c r="K804" s="94" t="s">
        <v>8482</v>
      </c>
      <c r="AM804" s="1" t="e">
        <f>K804/N804</f>
        <v>#VALUE!</v>
      </c>
    </row>
    <row r="805" spans="1:39">
      <c r="A805" s="196">
        <v>29369588</v>
      </c>
      <c r="D805" t="s">
        <v>7859</v>
      </c>
      <c r="E805" s="317" t="s">
        <v>7860</v>
      </c>
      <c r="F805" t="s">
        <v>7861</v>
      </c>
      <c r="G805" s="482">
        <v>300000</v>
      </c>
      <c r="J805" t="s">
        <v>7862</v>
      </c>
      <c r="K805" s="94" t="s">
        <v>7863</v>
      </c>
      <c r="AM805" s="1" t="e">
        <f>K805/N805</f>
        <v>#VALUE!</v>
      </c>
    </row>
    <row r="806" spans="1:39">
      <c r="A806" s="196" t="s">
        <v>8483</v>
      </c>
      <c r="F806" t="s">
        <v>8484</v>
      </c>
      <c r="G806" s="94">
        <v>4775000</v>
      </c>
      <c r="I806" t="s">
        <v>8332</v>
      </c>
      <c r="J806" t="s">
        <v>8336</v>
      </c>
      <c r="AM806" s="1"/>
    </row>
    <row r="807" spans="1:39">
      <c r="A807" s="196" t="s">
        <v>8485</v>
      </c>
      <c r="F807" t="s">
        <v>8486</v>
      </c>
      <c r="G807" s="94">
        <v>1336500</v>
      </c>
      <c r="I807" t="s">
        <v>8332</v>
      </c>
      <c r="J807" t="s">
        <v>8336</v>
      </c>
      <c r="AM807" s="1" t="e">
        <f t="shared" ref="AM807:AM838" si="32">G807/N807</f>
        <v>#DIV/0!</v>
      </c>
    </row>
    <row r="808" spans="1:39">
      <c r="A808" s="196" t="s">
        <v>8487</v>
      </c>
      <c r="F808" t="s">
        <v>8488</v>
      </c>
      <c r="G808" s="94">
        <v>120000</v>
      </c>
      <c r="I808" t="s">
        <v>8332</v>
      </c>
      <c r="J808" t="s">
        <v>8336</v>
      </c>
      <c r="AM808" s="1" t="e">
        <f t="shared" si="32"/>
        <v>#DIV/0!</v>
      </c>
    </row>
    <row r="809" spans="1:39">
      <c r="A809" s="196" t="s">
        <v>8489</v>
      </c>
      <c r="F809" t="s">
        <v>8490</v>
      </c>
      <c r="G809" s="94">
        <v>2000000</v>
      </c>
      <c r="I809" t="s">
        <v>8332</v>
      </c>
      <c r="J809" t="s">
        <v>380</v>
      </c>
      <c r="AM809" s="1" t="e">
        <f t="shared" si="32"/>
        <v>#DIV/0!</v>
      </c>
    </row>
    <row r="810" spans="1:39">
      <c r="A810" s="196" t="s">
        <v>8491</v>
      </c>
      <c r="F810" t="s">
        <v>8492</v>
      </c>
      <c r="G810" s="94">
        <v>950000</v>
      </c>
      <c r="I810" t="s">
        <v>8332</v>
      </c>
      <c r="J810" t="s">
        <v>380</v>
      </c>
      <c r="AM810" s="1" t="e">
        <f t="shared" si="32"/>
        <v>#DIV/0!</v>
      </c>
    </row>
    <row r="811" spans="1:39">
      <c r="A811" s="196" t="s">
        <v>8493</v>
      </c>
      <c r="F811" t="s">
        <v>8494</v>
      </c>
      <c r="G811" s="94">
        <v>50000</v>
      </c>
      <c r="I811" t="s">
        <v>4432</v>
      </c>
      <c r="J811" t="s">
        <v>8495</v>
      </c>
      <c r="AM811" s="1" t="e">
        <f t="shared" si="32"/>
        <v>#DIV/0!</v>
      </c>
    </row>
    <row r="812" spans="1:39">
      <c r="A812" s="196" t="s">
        <v>8496</v>
      </c>
      <c r="F812" t="s">
        <v>8497</v>
      </c>
      <c r="G812" s="94">
        <v>50000</v>
      </c>
      <c r="I812" t="s">
        <v>4432</v>
      </c>
      <c r="J812" t="s">
        <v>6827</v>
      </c>
      <c r="AM812" s="1" t="e">
        <f t="shared" si="32"/>
        <v>#DIV/0!</v>
      </c>
    </row>
    <row r="813" spans="1:39">
      <c r="A813" s="196">
        <v>30232392</v>
      </c>
      <c r="F813" t="s">
        <v>8498</v>
      </c>
      <c r="G813" s="94">
        <v>5000</v>
      </c>
      <c r="I813" t="s">
        <v>4432</v>
      </c>
      <c r="J813" t="s">
        <v>8499</v>
      </c>
      <c r="AM813" s="1" t="e">
        <f t="shared" si="32"/>
        <v>#DIV/0!</v>
      </c>
    </row>
    <row r="814" spans="1:39">
      <c r="AM814" s="1" t="e">
        <f t="shared" si="32"/>
        <v>#DIV/0!</v>
      </c>
    </row>
    <row r="815" spans="1:39">
      <c r="A815" s="196" t="s">
        <v>8500</v>
      </c>
      <c r="F815" t="s">
        <v>8501</v>
      </c>
      <c r="G815" s="94">
        <v>38000</v>
      </c>
      <c r="I815" t="s">
        <v>65</v>
      </c>
      <c r="J815" t="s">
        <v>4547</v>
      </c>
      <c r="AM815" s="1" t="e">
        <f t="shared" si="32"/>
        <v>#DIV/0!</v>
      </c>
    </row>
    <row r="816" spans="1:39">
      <c r="AM816" s="1" t="e">
        <f t="shared" si="32"/>
        <v>#DIV/0!</v>
      </c>
    </row>
    <row r="817" spans="39:39">
      <c r="AM817" s="1" t="e">
        <f t="shared" si="32"/>
        <v>#DIV/0!</v>
      </c>
    </row>
    <row r="818" spans="39:39">
      <c r="AM818" s="1" t="e">
        <f t="shared" si="32"/>
        <v>#DIV/0!</v>
      </c>
    </row>
    <row r="819" spans="39:39">
      <c r="AM819" s="1" t="e">
        <f t="shared" si="32"/>
        <v>#DIV/0!</v>
      </c>
    </row>
    <row r="820" spans="39:39">
      <c r="AM820" s="1" t="e">
        <f t="shared" si="32"/>
        <v>#DIV/0!</v>
      </c>
    </row>
    <row r="821" spans="39:39">
      <c r="AM821" s="1" t="e">
        <f t="shared" si="32"/>
        <v>#DIV/0!</v>
      </c>
    </row>
    <row r="822" spans="39:39">
      <c r="AM822" s="1" t="e">
        <f t="shared" si="32"/>
        <v>#DIV/0!</v>
      </c>
    </row>
    <row r="823" spans="39:39">
      <c r="AM823" s="1" t="e">
        <f t="shared" si="32"/>
        <v>#DIV/0!</v>
      </c>
    </row>
    <row r="824" spans="39:39">
      <c r="AM824" s="1" t="e">
        <f t="shared" si="32"/>
        <v>#DIV/0!</v>
      </c>
    </row>
    <row r="825" spans="39:39">
      <c r="AM825" s="1" t="e">
        <f t="shared" si="32"/>
        <v>#DIV/0!</v>
      </c>
    </row>
    <row r="826" spans="39:39">
      <c r="AM826" s="1" t="e">
        <f t="shared" si="32"/>
        <v>#DIV/0!</v>
      </c>
    </row>
    <row r="827" spans="39:39">
      <c r="AM827" s="1" t="e">
        <f t="shared" si="32"/>
        <v>#DIV/0!</v>
      </c>
    </row>
    <row r="828" spans="39:39">
      <c r="AM828" s="1" t="e">
        <f t="shared" si="32"/>
        <v>#DIV/0!</v>
      </c>
    </row>
    <row r="829" spans="39:39">
      <c r="AM829" s="1" t="e">
        <f t="shared" si="32"/>
        <v>#DIV/0!</v>
      </c>
    </row>
    <row r="830" spans="39:39">
      <c r="AM830" s="1" t="e">
        <f t="shared" si="32"/>
        <v>#DIV/0!</v>
      </c>
    </row>
    <row r="831" spans="39:39">
      <c r="AM831" s="1" t="e">
        <f t="shared" si="32"/>
        <v>#DIV/0!</v>
      </c>
    </row>
    <row r="832" spans="39:39">
      <c r="AM832" s="1" t="e">
        <f t="shared" si="32"/>
        <v>#DIV/0!</v>
      </c>
    </row>
    <row r="833" spans="39:39">
      <c r="AM833" s="1" t="e">
        <f t="shared" si="32"/>
        <v>#DIV/0!</v>
      </c>
    </row>
    <row r="834" spans="39:39">
      <c r="AM834" s="1" t="e">
        <f t="shared" si="32"/>
        <v>#DIV/0!</v>
      </c>
    </row>
    <row r="835" spans="39:39">
      <c r="AM835" s="1" t="e">
        <f t="shared" si="32"/>
        <v>#DIV/0!</v>
      </c>
    </row>
    <row r="836" spans="39:39">
      <c r="AM836" s="1" t="e">
        <f t="shared" si="32"/>
        <v>#DIV/0!</v>
      </c>
    </row>
    <row r="837" spans="39:39">
      <c r="AM837" s="1" t="e">
        <f t="shared" si="32"/>
        <v>#DIV/0!</v>
      </c>
    </row>
    <row r="838" spans="39:39">
      <c r="AM838" s="1" t="e">
        <f t="shared" si="32"/>
        <v>#DIV/0!</v>
      </c>
    </row>
    <row r="839" spans="39:39">
      <c r="AM839" s="1" t="e">
        <f t="shared" ref="AM839:AM872" si="33">G839/N839</f>
        <v>#DIV/0!</v>
      </c>
    </row>
    <row r="840" spans="39:39">
      <c r="AM840" s="1" t="e">
        <f t="shared" si="33"/>
        <v>#DIV/0!</v>
      </c>
    </row>
    <row r="841" spans="39:39">
      <c r="AM841" s="1" t="e">
        <f t="shared" si="33"/>
        <v>#DIV/0!</v>
      </c>
    </row>
    <row r="842" spans="39:39">
      <c r="AM842" s="1" t="e">
        <f t="shared" si="33"/>
        <v>#DIV/0!</v>
      </c>
    </row>
    <row r="843" spans="39:39">
      <c r="AM843" s="1" t="e">
        <f t="shared" si="33"/>
        <v>#DIV/0!</v>
      </c>
    </row>
    <row r="844" spans="39:39">
      <c r="AM844" s="1" t="e">
        <f t="shared" si="33"/>
        <v>#DIV/0!</v>
      </c>
    </row>
    <row r="845" spans="39:39">
      <c r="AM845" s="1" t="e">
        <f t="shared" si="33"/>
        <v>#DIV/0!</v>
      </c>
    </row>
    <row r="846" spans="39:39">
      <c r="AM846" s="1" t="e">
        <f t="shared" si="33"/>
        <v>#DIV/0!</v>
      </c>
    </row>
    <row r="847" spans="39:39">
      <c r="AM847" s="1" t="e">
        <f t="shared" si="33"/>
        <v>#DIV/0!</v>
      </c>
    </row>
    <row r="848" spans="39:39">
      <c r="AM848" s="1" t="e">
        <f t="shared" si="33"/>
        <v>#DIV/0!</v>
      </c>
    </row>
    <row r="849" spans="39:39">
      <c r="AM849" s="1" t="e">
        <f t="shared" si="33"/>
        <v>#DIV/0!</v>
      </c>
    </row>
    <row r="850" spans="39:39">
      <c r="AM850" s="1" t="e">
        <f t="shared" si="33"/>
        <v>#DIV/0!</v>
      </c>
    </row>
    <row r="851" spans="39:39">
      <c r="AM851" s="1" t="e">
        <f t="shared" si="33"/>
        <v>#DIV/0!</v>
      </c>
    </row>
    <row r="852" spans="39:39">
      <c r="AM852" s="1" t="e">
        <f t="shared" si="33"/>
        <v>#DIV/0!</v>
      </c>
    </row>
    <row r="853" spans="39:39">
      <c r="AM853" s="1" t="e">
        <f t="shared" si="33"/>
        <v>#DIV/0!</v>
      </c>
    </row>
    <row r="854" spans="39:39">
      <c r="AM854" s="1" t="e">
        <f t="shared" si="33"/>
        <v>#DIV/0!</v>
      </c>
    </row>
    <row r="855" spans="39:39">
      <c r="AM855" s="1" t="e">
        <f t="shared" si="33"/>
        <v>#DIV/0!</v>
      </c>
    </row>
    <row r="856" spans="39:39">
      <c r="AM856" s="1" t="e">
        <f t="shared" si="33"/>
        <v>#DIV/0!</v>
      </c>
    </row>
    <row r="857" spans="39:39">
      <c r="AM857" s="1" t="e">
        <f t="shared" si="33"/>
        <v>#DIV/0!</v>
      </c>
    </row>
    <row r="858" spans="39:39">
      <c r="AM858" s="1" t="e">
        <f t="shared" si="33"/>
        <v>#DIV/0!</v>
      </c>
    </row>
    <row r="859" spans="39:39">
      <c r="AM859" s="1" t="e">
        <f t="shared" si="33"/>
        <v>#DIV/0!</v>
      </c>
    </row>
    <row r="860" spans="39:39">
      <c r="AM860" s="1" t="e">
        <f t="shared" si="33"/>
        <v>#DIV/0!</v>
      </c>
    </row>
    <row r="861" spans="39:39">
      <c r="AM861" s="1" t="e">
        <f t="shared" si="33"/>
        <v>#DIV/0!</v>
      </c>
    </row>
    <row r="862" spans="39:39">
      <c r="AM862" s="1" t="e">
        <f t="shared" si="33"/>
        <v>#DIV/0!</v>
      </c>
    </row>
    <row r="863" spans="39:39">
      <c r="AM863" s="1" t="e">
        <f t="shared" si="33"/>
        <v>#DIV/0!</v>
      </c>
    </row>
    <row r="864" spans="39:39">
      <c r="AM864" s="1" t="e">
        <f t="shared" si="33"/>
        <v>#DIV/0!</v>
      </c>
    </row>
    <row r="865" spans="39:39">
      <c r="AM865" s="1" t="e">
        <f t="shared" si="33"/>
        <v>#DIV/0!</v>
      </c>
    </row>
    <row r="866" spans="39:39">
      <c r="AM866" s="1" t="e">
        <f t="shared" si="33"/>
        <v>#DIV/0!</v>
      </c>
    </row>
    <row r="867" spans="39:39">
      <c r="AM867" s="1" t="e">
        <f t="shared" si="33"/>
        <v>#DIV/0!</v>
      </c>
    </row>
    <row r="868" spans="39:39">
      <c r="AM868" s="1" t="e">
        <f t="shared" si="33"/>
        <v>#DIV/0!</v>
      </c>
    </row>
    <row r="869" spans="39:39">
      <c r="AM869" s="1" t="e">
        <f t="shared" si="33"/>
        <v>#DIV/0!</v>
      </c>
    </row>
    <row r="870" spans="39:39">
      <c r="AM870" s="1" t="e">
        <f t="shared" si="33"/>
        <v>#DIV/0!</v>
      </c>
    </row>
    <row r="871" spans="39:39">
      <c r="AM871" s="1" t="e">
        <f t="shared" si="33"/>
        <v>#DIV/0!</v>
      </c>
    </row>
    <row r="872" spans="39:39">
      <c r="AM872" s="1" t="e">
        <f t="shared" si="33"/>
        <v>#DIV/0!</v>
      </c>
    </row>
    <row r="873" spans="39:39">
      <c r="AM873" s="1" t="e">
        <f t="shared" ref="AM873:AM890" si="34">G873/N873</f>
        <v>#DIV/0!</v>
      </c>
    </row>
    <row r="874" spans="39:39">
      <c r="AM874" s="1" t="e">
        <f t="shared" si="34"/>
        <v>#DIV/0!</v>
      </c>
    </row>
    <row r="875" spans="39:39">
      <c r="AM875" s="1" t="e">
        <f t="shared" si="34"/>
        <v>#DIV/0!</v>
      </c>
    </row>
    <row r="876" spans="39:39">
      <c r="AM876" s="1" t="e">
        <f t="shared" si="34"/>
        <v>#DIV/0!</v>
      </c>
    </row>
    <row r="877" spans="39:39">
      <c r="AM877" s="1" t="e">
        <f t="shared" si="34"/>
        <v>#DIV/0!</v>
      </c>
    </row>
    <row r="878" spans="39:39">
      <c r="AM878" s="1" t="e">
        <f t="shared" si="34"/>
        <v>#DIV/0!</v>
      </c>
    </row>
    <row r="879" spans="39:39">
      <c r="AM879" s="1" t="e">
        <f t="shared" si="34"/>
        <v>#DIV/0!</v>
      </c>
    </row>
    <row r="880" spans="39:39">
      <c r="AM880" s="1" t="e">
        <f t="shared" si="34"/>
        <v>#DIV/0!</v>
      </c>
    </row>
    <row r="881" spans="1:39">
      <c r="A881" s="190"/>
      <c r="B881" s="43"/>
      <c r="C881" s="51"/>
      <c r="D881" s="43"/>
      <c r="E881" s="43"/>
      <c r="F881" s="43"/>
      <c r="G881" s="1"/>
      <c r="H881" s="82"/>
      <c r="I881" s="43"/>
      <c r="J881" s="43"/>
      <c r="K881" s="43"/>
      <c r="L881" s="4"/>
      <c r="M881" s="4"/>
      <c r="N881" s="46"/>
      <c r="O881" s="43"/>
      <c r="P881" s="43"/>
      <c r="Q881" s="453"/>
      <c r="R881" s="43"/>
      <c r="S881" s="43"/>
      <c r="T881" s="43"/>
      <c r="U881" s="43"/>
      <c r="V881" s="43"/>
      <c r="W881" s="43"/>
      <c r="X881" s="1"/>
      <c r="Y881" s="46"/>
      <c r="Z881" s="46"/>
      <c r="AA881" s="2"/>
      <c r="AB881" s="43"/>
      <c r="AC881" s="87"/>
      <c r="AD881" s="1"/>
      <c r="AE881" s="1"/>
      <c r="AF881" s="46"/>
      <c r="AG881" s="1"/>
      <c r="AH881" s="43"/>
      <c r="AI881" s="43"/>
      <c r="AJ881" s="43"/>
      <c r="AK881" s="43"/>
      <c r="AL881" s="43"/>
      <c r="AM881" s="181" t="e">
        <f t="shared" si="34"/>
        <v>#DIV/0!</v>
      </c>
    </row>
    <row r="882" spans="1:39">
      <c r="A882" s="234"/>
      <c r="B882" s="178"/>
      <c r="C882" s="325"/>
      <c r="D882" s="178"/>
      <c r="E882" s="178"/>
      <c r="F882" s="178"/>
      <c r="G882" s="179"/>
      <c r="H882" s="171"/>
      <c r="I882" s="178"/>
      <c r="J882" s="178"/>
      <c r="K882" s="178"/>
      <c r="L882" s="182"/>
      <c r="M882" s="182"/>
      <c r="N882" s="180"/>
      <c r="O882" s="178"/>
      <c r="P882" s="178"/>
      <c r="Q882" s="454"/>
      <c r="R882" s="178"/>
      <c r="S882" s="178"/>
      <c r="T882" s="178"/>
      <c r="U882" s="178"/>
      <c r="V882" s="178"/>
      <c r="W882" s="178"/>
      <c r="X882" s="179"/>
      <c r="Y882" s="180"/>
      <c r="Z882" s="180"/>
      <c r="AA882" s="183"/>
      <c r="AB882" s="178"/>
      <c r="AC882" s="177"/>
      <c r="AD882" s="179"/>
      <c r="AE882" s="179"/>
      <c r="AF882" s="180"/>
      <c r="AG882" s="179"/>
      <c r="AH882" s="178"/>
      <c r="AI882" s="178"/>
      <c r="AJ882" s="178"/>
      <c r="AK882" s="178"/>
      <c r="AL882" s="178"/>
      <c r="AM882" s="179" t="e">
        <f t="shared" si="34"/>
        <v>#DIV/0!</v>
      </c>
    </row>
    <row r="883" spans="1:39">
      <c r="A883" s="190"/>
      <c r="B883" s="43"/>
      <c r="C883" s="51"/>
      <c r="D883" s="43"/>
      <c r="E883" s="43"/>
      <c r="F883" s="43"/>
      <c r="G883" s="1"/>
      <c r="H883" s="82"/>
      <c r="I883" s="43"/>
      <c r="J883" s="43"/>
      <c r="K883" s="43"/>
      <c r="L883" s="4"/>
      <c r="M883" s="4"/>
      <c r="N883" s="46"/>
      <c r="O883" s="43"/>
      <c r="P883" s="43"/>
      <c r="Q883" s="453"/>
      <c r="R883" s="43"/>
      <c r="S883" s="43"/>
      <c r="T883" s="43"/>
      <c r="U883" s="43"/>
      <c r="V883" s="43"/>
      <c r="W883" s="43"/>
      <c r="X883" s="1"/>
      <c r="Y883" s="46"/>
      <c r="Z883" s="46"/>
      <c r="AA883" s="2"/>
      <c r="AB883" s="43"/>
      <c r="AC883" s="87"/>
      <c r="AD883" s="1"/>
      <c r="AE883" s="1"/>
      <c r="AF883" s="46"/>
      <c r="AG883" s="1"/>
      <c r="AH883" s="43"/>
      <c r="AI883" s="43"/>
      <c r="AJ883" s="43"/>
      <c r="AK883" s="43"/>
      <c r="AL883" s="43"/>
      <c r="AM883" s="181" t="e">
        <f t="shared" si="34"/>
        <v>#DIV/0!</v>
      </c>
    </row>
    <row r="884" spans="1:39">
      <c r="A884" s="234"/>
      <c r="B884" s="178"/>
      <c r="C884" s="325"/>
      <c r="D884" s="178"/>
      <c r="E884" s="178"/>
      <c r="F884" s="178"/>
      <c r="G884" s="179"/>
      <c r="H884" s="171"/>
      <c r="I884" s="178"/>
      <c r="J884" s="178"/>
      <c r="K884" s="178"/>
      <c r="L884" s="182"/>
      <c r="M884" s="182"/>
      <c r="N884" s="180"/>
      <c r="O884" s="178"/>
      <c r="P884" s="178"/>
      <c r="Q884" s="454"/>
      <c r="R884" s="178"/>
      <c r="S884" s="178"/>
      <c r="T884" s="178"/>
      <c r="U884" s="178"/>
      <c r="V884" s="178"/>
      <c r="W884" s="178"/>
      <c r="X884" s="179"/>
      <c r="Y884" s="180"/>
      <c r="Z884" s="180"/>
      <c r="AA884" s="183"/>
      <c r="AB884" s="178"/>
      <c r="AC884" s="177"/>
      <c r="AD884" s="179"/>
      <c r="AE884" s="179"/>
      <c r="AF884" s="180"/>
      <c r="AG884" s="179"/>
      <c r="AH884" s="178"/>
      <c r="AI884" s="178"/>
      <c r="AJ884" s="178"/>
      <c r="AK884" s="178"/>
      <c r="AL884" s="178"/>
      <c r="AM884" s="179" t="e">
        <f t="shared" si="34"/>
        <v>#DIV/0!</v>
      </c>
    </row>
    <row r="885" spans="1:39">
      <c r="A885" s="190"/>
      <c r="B885" s="43"/>
      <c r="C885" s="51"/>
      <c r="D885" s="43"/>
      <c r="E885" s="43"/>
      <c r="F885" s="43"/>
      <c r="G885" s="1"/>
      <c r="H885" s="82"/>
      <c r="I885" s="43"/>
      <c r="J885" s="43"/>
      <c r="K885" s="43"/>
      <c r="L885" s="4"/>
      <c r="M885" s="4"/>
      <c r="N885" s="46"/>
      <c r="O885" s="43"/>
      <c r="P885" s="43"/>
      <c r="Q885" s="453"/>
      <c r="R885" s="43"/>
      <c r="S885" s="43"/>
      <c r="T885" s="43"/>
      <c r="U885" s="43"/>
      <c r="V885" s="43"/>
      <c r="W885" s="43"/>
      <c r="X885" s="1"/>
      <c r="Y885" s="46"/>
      <c r="Z885" s="46"/>
      <c r="AA885" s="2"/>
      <c r="AB885" s="43"/>
      <c r="AC885" s="87"/>
      <c r="AD885" s="1"/>
      <c r="AE885" s="1"/>
      <c r="AF885" s="46"/>
      <c r="AG885" s="1"/>
      <c r="AH885" s="43"/>
      <c r="AI885" s="43"/>
      <c r="AJ885" s="43"/>
      <c r="AK885" s="43"/>
      <c r="AL885" s="43"/>
      <c r="AM885" s="181" t="e">
        <f t="shared" si="34"/>
        <v>#DIV/0!</v>
      </c>
    </row>
    <row r="886" spans="1:39">
      <c r="A886" s="234"/>
      <c r="B886" s="178"/>
      <c r="C886" s="325"/>
      <c r="D886" s="178"/>
      <c r="E886" s="178"/>
      <c r="F886" s="178"/>
      <c r="G886" s="179"/>
      <c r="H886" s="171"/>
      <c r="I886" s="178"/>
      <c r="J886" s="178"/>
      <c r="K886" s="178"/>
      <c r="L886" s="182"/>
      <c r="M886" s="182"/>
      <c r="N886" s="180"/>
      <c r="O886" s="178"/>
      <c r="P886" s="178"/>
      <c r="Q886" s="454"/>
      <c r="R886" s="178"/>
      <c r="S886" s="178"/>
      <c r="T886" s="178"/>
      <c r="U886" s="178"/>
      <c r="V886" s="178"/>
      <c r="W886" s="178"/>
      <c r="X886" s="179"/>
      <c r="Y886" s="180"/>
      <c r="Z886" s="180"/>
      <c r="AA886" s="183"/>
      <c r="AB886" s="178"/>
      <c r="AC886" s="177"/>
      <c r="AD886" s="179"/>
      <c r="AE886" s="179"/>
      <c r="AF886" s="180"/>
      <c r="AG886" s="179"/>
      <c r="AH886" s="178"/>
      <c r="AI886" s="178"/>
      <c r="AJ886" s="178"/>
      <c r="AK886" s="178"/>
      <c r="AL886" s="178"/>
      <c r="AM886" s="179" t="e">
        <f t="shared" si="34"/>
        <v>#DIV/0!</v>
      </c>
    </row>
    <row r="887" spans="1:39">
      <c r="A887" s="190"/>
      <c r="B887" s="43"/>
      <c r="C887" s="51"/>
      <c r="D887" s="43"/>
      <c r="E887" s="43"/>
      <c r="F887" s="43"/>
      <c r="G887" s="1"/>
      <c r="H887" s="82"/>
      <c r="I887" s="43"/>
      <c r="J887" s="43"/>
      <c r="K887" s="43"/>
      <c r="L887" s="4"/>
      <c r="M887" s="4"/>
      <c r="N887" s="46"/>
      <c r="O887" s="43"/>
      <c r="P887" s="43"/>
      <c r="Q887" s="453"/>
      <c r="R887" s="43"/>
      <c r="S887" s="43"/>
      <c r="T887" s="43"/>
      <c r="U887" s="43"/>
      <c r="V887" s="43"/>
      <c r="W887" s="43"/>
      <c r="X887" s="1"/>
      <c r="Y887" s="46"/>
      <c r="Z887" s="46"/>
      <c r="AA887" s="2"/>
      <c r="AB887" s="43"/>
      <c r="AC887" s="87"/>
      <c r="AD887" s="1"/>
      <c r="AE887" s="1"/>
      <c r="AF887" s="46"/>
      <c r="AG887" s="1"/>
      <c r="AH887" s="43"/>
      <c r="AI887" s="43"/>
      <c r="AJ887" s="43"/>
      <c r="AK887" s="43"/>
      <c r="AL887" s="43"/>
      <c r="AM887" s="181" t="e">
        <f t="shared" si="34"/>
        <v>#DIV/0!</v>
      </c>
    </row>
    <row r="888" spans="1:39">
      <c r="A888" s="234"/>
      <c r="B888" s="178"/>
      <c r="C888" s="325"/>
      <c r="D888" s="178"/>
      <c r="E888" s="178"/>
      <c r="F888" s="178"/>
      <c r="G888" s="179"/>
      <c r="H888" s="171"/>
      <c r="I888" s="178"/>
      <c r="J888" s="178"/>
      <c r="K888" s="178"/>
      <c r="L888" s="182"/>
      <c r="M888" s="182"/>
      <c r="N888" s="180"/>
      <c r="O888" s="178"/>
      <c r="P888" s="178"/>
      <c r="Q888" s="454"/>
      <c r="R888" s="178"/>
      <c r="S888" s="178"/>
      <c r="T888" s="178"/>
      <c r="U888" s="178"/>
      <c r="V888" s="178"/>
      <c r="W888" s="178"/>
      <c r="X888" s="179"/>
      <c r="Y888" s="180"/>
      <c r="Z888" s="180"/>
      <c r="AA888" s="183"/>
      <c r="AB888" s="178"/>
      <c r="AC888" s="177"/>
      <c r="AD888" s="179"/>
      <c r="AE888" s="179"/>
      <c r="AF888" s="180"/>
      <c r="AG888" s="179"/>
      <c r="AH888" s="178"/>
      <c r="AI888" s="178"/>
      <c r="AJ888" s="178"/>
      <c r="AK888" s="178"/>
      <c r="AL888" s="178"/>
      <c r="AM888" s="179" t="e">
        <f t="shared" si="34"/>
        <v>#DIV/0!</v>
      </c>
    </row>
    <row r="889" spans="1:39">
      <c r="A889" s="190"/>
      <c r="B889" s="43"/>
      <c r="C889" s="51"/>
      <c r="D889" s="43"/>
      <c r="E889" s="43"/>
      <c r="F889" s="43"/>
      <c r="G889" s="1"/>
      <c r="H889" s="82"/>
      <c r="I889" s="43"/>
      <c r="J889" s="43"/>
      <c r="K889" s="43"/>
      <c r="L889" s="4"/>
      <c r="M889" s="4"/>
      <c r="N889" s="46"/>
      <c r="O889" s="43"/>
      <c r="P889" s="43"/>
      <c r="Q889" s="453"/>
      <c r="R889" s="43"/>
      <c r="S889" s="43"/>
      <c r="T889" s="43"/>
      <c r="U889" s="43"/>
      <c r="V889" s="43"/>
      <c r="W889" s="43"/>
      <c r="X889" s="1"/>
      <c r="Y889" s="46"/>
      <c r="Z889" s="46"/>
      <c r="AA889" s="2"/>
      <c r="AB889" s="43"/>
      <c r="AC889" s="87"/>
      <c r="AD889" s="1"/>
      <c r="AE889" s="1"/>
      <c r="AF889" s="46"/>
      <c r="AG889" s="1"/>
      <c r="AH889" s="43"/>
      <c r="AI889" s="43"/>
      <c r="AJ889" s="43"/>
      <c r="AK889" s="43"/>
      <c r="AL889" s="43"/>
      <c r="AM889" s="181" t="e">
        <f t="shared" si="34"/>
        <v>#DIV/0!</v>
      </c>
    </row>
    <row r="890" spans="1:39">
      <c r="A890" s="234"/>
      <c r="B890" s="178"/>
      <c r="C890" s="325"/>
      <c r="D890" s="178"/>
      <c r="E890" s="178"/>
      <c r="F890" s="178"/>
      <c r="G890" s="179"/>
      <c r="H890" s="171"/>
      <c r="I890" s="178"/>
      <c r="J890" s="178"/>
      <c r="K890" s="178"/>
      <c r="L890" s="182"/>
      <c r="M890" s="182"/>
      <c r="N890" s="180"/>
      <c r="O890" s="178"/>
      <c r="P890" s="178"/>
      <c r="Q890" s="454"/>
      <c r="R890" s="178"/>
      <c r="S890" s="178"/>
      <c r="T890" s="178"/>
      <c r="U890" s="178"/>
      <c r="V890" s="178"/>
      <c r="W890" s="178"/>
      <c r="X890" s="179"/>
      <c r="Y890" s="180"/>
      <c r="Z890" s="180"/>
      <c r="AA890" s="183"/>
      <c r="AB890" s="178"/>
      <c r="AC890" s="177"/>
      <c r="AD890" s="179"/>
      <c r="AE890" s="179"/>
      <c r="AF890" s="180"/>
      <c r="AG890" s="179"/>
      <c r="AH890" s="178"/>
      <c r="AI890" s="178"/>
      <c r="AJ890" s="178"/>
      <c r="AK890" s="178"/>
      <c r="AL890" s="178"/>
      <c r="AM890" s="179" t="e">
        <f t="shared" si="34"/>
        <v>#DIV/0!</v>
      </c>
    </row>
    <row r="891" spans="1:39">
      <c r="A891" s="190"/>
      <c r="B891" s="43"/>
      <c r="C891" s="51"/>
      <c r="D891" s="43"/>
      <c r="E891" s="43"/>
      <c r="F891" s="43"/>
      <c r="G891" s="1"/>
      <c r="H891" s="82"/>
      <c r="I891" s="43"/>
      <c r="J891" s="43"/>
      <c r="K891" s="43"/>
      <c r="L891" s="4"/>
      <c r="M891" s="4"/>
      <c r="N891" s="46"/>
      <c r="O891" s="43"/>
      <c r="P891" s="43"/>
      <c r="Q891" s="453"/>
      <c r="R891" s="43"/>
      <c r="S891" s="43"/>
      <c r="T891" s="43"/>
      <c r="U891" s="43"/>
      <c r="V891" s="43"/>
      <c r="W891" s="43"/>
      <c r="X891" s="1"/>
      <c r="Y891" s="46"/>
      <c r="Z891" s="46"/>
      <c r="AA891" s="2"/>
      <c r="AB891" s="43"/>
      <c r="AC891" s="87"/>
      <c r="AD891" s="1"/>
      <c r="AE891" s="1"/>
      <c r="AF891" s="46"/>
      <c r="AG891" s="1"/>
      <c r="AH891" s="43"/>
      <c r="AI891" s="43"/>
      <c r="AJ891" s="43"/>
      <c r="AK891" s="43"/>
      <c r="AL891" s="43"/>
      <c r="AM891" s="181" t="e">
        <f t="shared" ref="AM891:AM912" si="35">G891/N891</f>
        <v>#DIV/0!</v>
      </c>
    </row>
    <row r="892" spans="1:39">
      <c r="A892" s="234"/>
      <c r="B892" s="178"/>
      <c r="C892" s="325"/>
      <c r="D892" s="178"/>
      <c r="E892" s="178"/>
      <c r="F892" s="178"/>
      <c r="G892" s="179"/>
      <c r="H892" s="171"/>
      <c r="I892" s="178"/>
      <c r="J892" s="178"/>
      <c r="K892" s="178"/>
      <c r="L892" s="182"/>
      <c r="M892" s="182"/>
      <c r="N892" s="180"/>
      <c r="O892" s="178"/>
      <c r="P892" s="178"/>
      <c r="Q892" s="454"/>
      <c r="R892" s="178"/>
      <c r="S892" s="178"/>
      <c r="T892" s="178"/>
      <c r="U892" s="178"/>
      <c r="V892" s="178"/>
      <c r="W892" s="178"/>
      <c r="X892" s="179"/>
      <c r="Y892" s="180"/>
      <c r="Z892" s="180"/>
      <c r="AA892" s="183"/>
      <c r="AB892" s="178"/>
      <c r="AC892" s="177"/>
      <c r="AD892" s="179"/>
      <c r="AE892" s="179"/>
      <c r="AF892" s="180"/>
      <c r="AG892" s="179"/>
      <c r="AH892" s="178"/>
      <c r="AI892" s="178"/>
      <c r="AJ892" s="178"/>
      <c r="AK892" s="178"/>
      <c r="AL892" s="178"/>
      <c r="AM892" s="179" t="e">
        <f t="shared" si="35"/>
        <v>#DIV/0!</v>
      </c>
    </row>
    <row r="893" spans="1:39">
      <c r="A893" s="190"/>
      <c r="B893" s="43"/>
      <c r="C893" s="51"/>
      <c r="D893" s="43"/>
      <c r="E893" s="43"/>
      <c r="F893" s="43"/>
      <c r="G893" s="1"/>
      <c r="H893" s="82"/>
      <c r="I893" s="43"/>
      <c r="J893" s="43"/>
      <c r="K893" s="43"/>
      <c r="L893" s="4"/>
      <c r="M893" s="4"/>
      <c r="N893" s="46"/>
      <c r="O893" s="43"/>
      <c r="P893" s="43"/>
      <c r="Q893" s="453"/>
      <c r="R893" s="43"/>
      <c r="S893" s="43"/>
      <c r="T893" s="43"/>
      <c r="U893" s="43"/>
      <c r="V893" s="43"/>
      <c r="W893" s="43"/>
      <c r="X893" s="1"/>
      <c r="Y893" s="46"/>
      <c r="Z893" s="46"/>
      <c r="AA893" s="2"/>
      <c r="AB893" s="43"/>
      <c r="AC893" s="87"/>
      <c r="AD893" s="1"/>
      <c r="AE893" s="1"/>
      <c r="AF893" s="46"/>
      <c r="AG893" s="1"/>
      <c r="AH893" s="43"/>
      <c r="AI893" s="43"/>
      <c r="AJ893" s="43"/>
      <c r="AK893" s="43"/>
      <c r="AL893" s="43"/>
      <c r="AM893" s="181" t="e">
        <f t="shared" si="35"/>
        <v>#DIV/0!</v>
      </c>
    </row>
    <row r="894" spans="1:39">
      <c r="A894" s="234"/>
      <c r="B894" s="178"/>
      <c r="C894" s="325"/>
      <c r="D894" s="178"/>
      <c r="E894" s="178"/>
      <c r="F894" s="178"/>
      <c r="G894" s="179"/>
      <c r="H894" s="171"/>
      <c r="I894" s="178"/>
      <c r="J894" s="178"/>
      <c r="K894" s="178"/>
      <c r="L894" s="182"/>
      <c r="M894" s="182"/>
      <c r="N894" s="180"/>
      <c r="O894" s="178"/>
      <c r="P894" s="178"/>
      <c r="Q894" s="454"/>
      <c r="R894" s="178"/>
      <c r="S894" s="178"/>
      <c r="T894" s="178"/>
      <c r="U894" s="178"/>
      <c r="V894" s="178"/>
      <c r="W894" s="178"/>
      <c r="X894" s="179"/>
      <c r="Y894" s="180"/>
      <c r="Z894" s="180"/>
      <c r="AA894" s="183"/>
      <c r="AB894" s="178"/>
      <c r="AC894" s="177"/>
      <c r="AD894" s="179"/>
      <c r="AE894" s="179"/>
      <c r="AF894" s="180"/>
      <c r="AG894" s="179"/>
      <c r="AH894" s="178"/>
      <c r="AI894" s="178"/>
      <c r="AJ894" s="178"/>
      <c r="AK894" s="178"/>
      <c r="AL894" s="178"/>
      <c r="AM894" s="179" t="e">
        <f t="shared" si="35"/>
        <v>#DIV/0!</v>
      </c>
    </row>
    <row r="895" spans="1:39">
      <c r="A895" s="190"/>
      <c r="B895" s="43"/>
      <c r="C895" s="51"/>
      <c r="D895" s="43"/>
      <c r="E895" s="43"/>
      <c r="F895" s="43"/>
      <c r="G895" s="1"/>
      <c r="H895" s="82"/>
      <c r="I895" s="43"/>
      <c r="J895" s="43"/>
      <c r="K895" s="43"/>
      <c r="L895" s="4"/>
      <c r="M895" s="4"/>
      <c r="N895" s="46"/>
      <c r="O895" s="43"/>
      <c r="P895" s="43"/>
      <c r="Q895" s="453"/>
      <c r="R895" s="43"/>
      <c r="S895" s="43"/>
      <c r="T895" s="43"/>
      <c r="U895" s="43"/>
      <c r="V895" s="43"/>
      <c r="W895" s="43"/>
      <c r="X895" s="1"/>
      <c r="Y895" s="46"/>
      <c r="Z895" s="46"/>
      <c r="AA895" s="2"/>
      <c r="AB895" s="43"/>
      <c r="AC895" s="87"/>
      <c r="AD895" s="1"/>
      <c r="AE895" s="1"/>
      <c r="AF895" s="46"/>
      <c r="AG895" s="1"/>
      <c r="AH895" s="43"/>
      <c r="AI895" s="43"/>
      <c r="AJ895" s="43"/>
      <c r="AK895" s="43"/>
      <c r="AL895" s="43"/>
      <c r="AM895" s="181" t="e">
        <f t="shared" si="35"/>
        <v>#DIV/0!</v>
      </c>
    </row>
    <row r="896" spans="1:39">
      <c r="A896" s="234"/>
      <c r="B896" s="178"/>
      <c r="C896" s="325"/>
      <c r="D896" s="178"/>
      <c r="E896" s="178"/>
      <c r="F896" s="178"/>
      <c r="G896" s="179"/>
      <c r="H896" s="171"/>
      <c r="I896" s="178"/>
      <c r="J896" s="178"/>
      <c r="K896" s="178"/>
      <c r="L896" s="182"/>
      <c r="M896" s="182"/>
      <c r="N896" s="180"/>
      <c r="O896" s="178"/>
      <c r="P896" s="178"/>
      <c r="Q896" s="454"/>
      <c r="R896" s="178"/>
      <c r="S896" s="178"/>
      <c r="T896" s="178"/>
      <c r="U896" s="178"/>
      <c r="V896" s="178"/>
      <c r="W896" s="178"/>
      <c r="X896" s="179"/>
      <c r="Y896" s="180"/>
      <c r="Z896" s="180"/>
      <c r="AA896" s="183"/>
      <c r="AB896" s="178"/>
      <c r="AC896" s="177"/>
      <c r="AD896" s="179"/>
      <c r="AE896" s="179"/>
      <c r="AF896" s="180"/>
      <c r="AG896" s="179"/>
      <c r="AH896" s="178"/>
      <c r="AI896" s="178"/>
      <c r="AJ896" s="178"/>
      <c r="AK896" s="178"/>
      <c r="AL896" s="178"/>
      <c r="AM896" s="179" t="e">
        <f t="shared" si="35"/>
        <v>#DIV/0!</v>
      </c>
    </row>
    <row r="897" spans="1:39">
      <c r="A897" s="190"/>
      <c r="B897" s="43"/>
      <c r="C897" s="51"/>
      <c r="D897" s="43"/>
      <c r="E897" s="43"/>
      <c r="F897" s="43"/>
      <c r="G897" s="1"/>
      <c r="H897" s="82"/>
      <c r="I897" s="43"/>
      <c r="J897" s="43"/>
      <c r="K897" s="43"/>
      <c r="L897" s="4"/>
      <c r="M897" s="4"/>
      <c r="N897" s="46"/>
      <c r="O897" s="43"/>
      <c r="P897" s="43"/>
      <c r="Q897" s="453"/>
      <c r="R897" s="43"/>
      <c r="S897" s="43"/>
      <c r="T897" s="43"/>
      <c r="U897" s="43"/>
      <c r="V897" s="43"/>
      <c r="W897" s="43"/>
      <c r="X897" s="1"/>
      <c r="Y897" s="46"/>
      <c r="Z897" s="46"/>
      <c r="AA897" s="2"/>
      <c r="AB897" s="43"/>
      <c r="AC897" s="87"/>
      <c r="AD897" s="1"/>
      <c r="AE897" s="1"/>
      <c r="AF897" s="46"/>
      <c r="AG897" s="1"/>
      <c r="AH897" s="43"/>
      <c r="AI897" s="43"/>
      <c r="AJ897" s="43"/>
      <c r="AK897" s="43"/>
      <c r="AL897" s="43"/>
      <c r="AM897" s="181" t="e">
        <f t="shared" si="35"/>
        <v>#DIV/0!</v>
      </c>
    </row>
    <row r="898" spans="1:39">
      <c r="A898" s="234"/>
      <c r="B898" s="178"/>
      <c r="C898" s="325"/>
      <c r="D898" s="178"/>
      <c r="E898" s="178"/>
      <c r="F898" s="178"/>
      <c r="G898" s="179"/>
      <c r="H898" s="171"/>
      <c r="I898" s="178"/>
      <c r="J898" s="178"/>
      <c r="K898" s="178"/>
      <c r="L898" s="182"/>
      <c r="M898" s="182"/>
      <c r="N898" s="180"/>
      <c r="O898" s="178"/>
      <c r="P898" s="178"/>
      <c r="Q898" s="454"/>
      <c r="R898" s="178"/>
      <c r="S898" s="178"/>
      <c r="T898" s="178"/>
      <c r="U898" s="178"/>
      <c r="V898" s="178"/>
      <c r="W898" s="178"/>
      <c r="X898" s="179"/>
      <c r="Y898" s="180"/>
      <c r="Z898" s="180"/>
      <c r="AA898" s="183"/>
      <c r="AB898" s="178"/>
      <c r="AC898" s="177"/>
      <c r="AD898" s="179"/>
      <c r="AE898" s="179"/>
      <c r="AF898" s="180"/>
      <c r="AG898" s="179"/>
      <c r="AH898" s="178"/>
      <c r="AI898" s="178"/>
      <c r="AJ898" s="178"/>
      <c r="AK898" s="178"/>
      <c r="AL898" s="178"/>
      <c r="AM898" s="179" t="e">
        <f t="shared" si="35"/>
        <v>#DIV/0!</v>
      </c>
    </row>
    <row r="899" spans="1:39">
      <c r="A899" s="190"/>
      <c r="B899" s="43"/>
      <c r="C899" s="51"/>
      <c r="D899" s="43"/>
      <c r="E899" s="43"/>
      <c r="F899" s="43"/>
      <c r="G899" s="1"/>
      <c r="H899" s="82"/>
      <c r="I899" s="43"/>
      <c r="J899" s="43"/>
      <c r="K899" s="43"/>
      <c r="L899" s="4"/>
      <c r="M899" s="4"/>
      <c r="N899" s="46"/>
      <c r="O899" s="43"/>
      <c r="P899" s="43"/>
      <c r="Q899" s="453"/>
      <c r="R899" s="43"/>
      <c r="S899" s="43"/>
      <c r="T899" s="43"/>
      <c r="U899" s="43"/>
      <c r="V899" s="43"/>
      <c r="W899" s="43"/>
      <c r="X899" s="1"/>
      <c r="Y899" s="46"/>
      <c r="Z899" s="46"/>
      <c r="AA899" s="2"/>
      <c r="AB899" s="43"/>
      <c r="AC899" s="87"/>
      <c r="AD899" s="1"/>
      <c r="AE899" s="1"/>
      <c r="AF899" s="46"/>
      <c r="AG899" s="1"/>
      <c r="AH899" s="43"/>
      <c r="AI899" s="43"/>
      <c r="AJ899" s="43"/>
      <c r="AK899" s="43"/>
      <c r="AL899" s="43"/>
      <c r="AM899" s="181" t="e">
        <f t="shared" si="35"/>
        <v>#DIV/0!</v>
      </c>
    </row>
    <row r="900" spans="1:39">
      <c r="A900" s="234"/>
      <c r="B900" s="178"/>
      <c r="C900" s="325"/>
      <c r="D900" s="178"/>
      <c r="E900" s="178"/>
      <c r="F900" s="178"/>
      <c r="G900" s="179"/>
      <c r="H900" s="171"/>
      <c r="I900" s="178"/>
      <c r="J900" s="178"/>
      <c r="K900" s="178"/>
      <c r="L900" s="182"/>
      <c r="M900" s="182"/>
      <c r="N900" s="180"/>
      <c r="O900" s="178"/>
      <c r="P900" s="178"/>
      <c r="Q900" s="454"/>
      <c r="R900" s="178"/>
      <c r="S900" s="178"/>
      <c r="T900" s="178"/>
      <c r="U900" s="178"/>
      <c r="V900" s="178"/>
      <c r="W900" s="178"/>
      <c r="X900" s="179"/>
      <c r="Y900" s="180"/>
      <c r="Z900" s="180"/>
      <c r="AA900" s="183"/>
      <c r="AB900" s="178"/>
      <c r="AC900" s="177"/>
      <c r="AD900" s="179"/>
      <c r="AE900" s="179"/>
      <c r="AF900" s="180"/>
      <c r="AG900" s="179"/>
      <c r="AH900" s="178"/>
      <c r="AI900" s="178"/>
      <c r="AJ900" s="178"/>
      <c r="AK900" s="178"/>
      <c r="AL900" s="178"/>
      <c r="AM900" s="179" t="e">
        <f t="shared" si="35"/>
        <v>#DIV/0!</v>
      </c>
    </row>
    <row r="901" spans="1:39">
      <c r="A901" s="190"/>
      <c r="B901" s="43"/>
      <c r="C901" s="51"/>
      <c r="D901" s="43"/>
      <c r="E901" s="43"/>
      <c r="F901" s="43"/>
      <c r="G901" s="1"/>
      <c r="H901" s="82"/>
      <c r="I901" s="43"/>
      <c r="J901" s="43"/>
      <c r="K901" s="43"/>
      <c r="L901" s="4"/>
      <c r="M901" s="4"/>
      <c r="N901" s="46"/>
      <c r="O901" s="43"/>
      <c r="P901" s="43"/>
      <c r="Q901" s="453"/>
      <c r="R901" s="43"/>
      <c r="S901" s="43"/>
      <c r="T901" s="43"/>
      <c r="U901" s="43"/>
      <c r="V901" s="43"/>
      <c r="W901" s="43"/>
      <c r="X901" s="1"/>
      <c r="Y901" s="46"/>
      <c r="Z901" s="46"/>
      <c r="AA901" s="2"/>
      <c r="AB901" s="43"/>
      <c r="AC901" s="87"/>
      <c r="AD901" s="1"/>
      <c r="AE901" s="1"/>
      <c r="AF901" s="46"/>
      <c r="AG901" s="1"/>
      <c r="AH901" s="43"/>
      <c r="AI901" s="43"/>
      <c r="AJ901" s="43"/>
      <c r="AK901" s="43"/>
      <c r="AL901" s="43"/>
      <c r="AM901" s="181" t="e">
        <f t="shared" si="35"/>
        <v>#DIV/0!</v>
      </c>
    </row>
    <row r="902" spans="1:39">
      <c r="A902" s="234"/>
      <c r="B902" s="178"/>
      <c r="C902" s="325"/>
      <c r="D902" s="178"/>
      <c r="E902" s="178"/>
      <c r="F902" s="178"/>
      <c r="G902" s="179"/>
      <c r="H902" s="171"/>
      <c r="I902" s="178"/>
      <c r="J902" s="178"/>
      <c r="K902" s="178"/>
      <c r="L902" s="182"/>
      <c r="M902" s="182"/>
      <c r="N902" s="180"/>
      <c r="O902" s="178"/>
      <c r="P902" s="178"/>
      <c r="Q902" s="454"/>
      <c r="R902" s="178"/>
      <c r="S902" s="178"/>
      <c r="T902" s="178"/>
      <c r="U902" s="178"/>
      <c r="V902" s="178"/>
      <c r="W902" s="178"/>
      <c r="X902" s="179"/>
      <c r="Y902" s="180"/>
      <c r="Z902" s="180"/>
      <c r="AA902" s="183"/>
      <c r="AB902" s="178"/>
      <c r="AC902" s="177"/>
      <c r="AD902" s="179"/>
      <c r="AE902" s="179"/>
      <c r="AF902" s="180"/>
      <c r="AG902" s="179"/>
      <c r="AH902" s="178"/>
      <c r="AI902" s="178"/>
      <c r="AJ902" s="178"/>
      <c r="AK902" s="178"/>
      <c r="AL902" s="178"/>
      <c r="AM902" s="179" t="e">
        <f t="shared" si="35"/>
        <v>#DIV/0!</v>
      </c>
    </row>
    <row r="903" spans="1:39">
      <c r="A903" s="190"/>
      <c r="B903" s="43"/>
      <c r="C903" s="51"/>
      <c r="D903" s="43"/>
      <c r="E903" s="43"/>
      <c r="F903" s="43"/>
      <c r="G903" s="1"/>
      <c r="H903" s="82"/>
      <c r="I903" s="43"/>
      <c r="J903" s="43"/>
      <c r="K903" s="43"/>
      <c r="L903" s="4"/>
      <c r="M903" s="4"/>
      <c r="N903" s="46"/>
      <c r="O903" s="43"/>
      <c r="P903" s="43"/>
      <c r="Q903" s="453"/>
      <c r="R903" s="43"/>
      <c r="S903" s="43"/>
      <c r="T903" s="43"/>
      <c r="U903" s="43"/>
      <c r="V903" s="43"/>
      <c r="W903" s="43"/>
      <c r="X903" s="1"/>
      <c r="Y903" s="46"/>
      <c r="Z903" s="46"/>
      <c r="AA903" s="2"/>
      <c r="AB903" s="43"/>
      <c r="AC903" s="87"/>
      <c r="AD903" s="1"/>
      <c r="AE903" s="1"/>
      <c r="AF903" s="46"/>
      <c r="AG903" s="1"/>
      <c r="AH903" s="43"/>
      <c r="AI903" s="43"/>
      <c r="AJ903" s="43"/>
      <c r="AK903" s="43"/>
      <c r="AL903" s="43"/>
      <c r="AM903" s="181" t="e">
        <f t="shared" si="35"/>
        <v>#DIV/0!</v>
      </c>
    </row>
    <row r="904" spans="1:39">
      <c r="A904" s="235"/>
      <c r="B904" s="170"/>
      <c r="C904" s="326"/>
      <c r="D904" s="170"/>
      <c r="E904" s="170"/>
      <c r="F904" s="170"/>
      <c r="G904" s="171"/>
      <c r="H904" s="171"/>
      <c r="I904" s="170"/>
      <c r="J904" s="170"/>
      <c r="K904" s="170"/>
      <c r="L904" s="172"/>
      <c r="M904" s="172"/>
      <c r="N904" s="173"/>
      <c r="O904" s="170"/>
      <c r="P904" s="170"/>
      <c r="Q904" s="455"/>
      <c r="R904" s="170"/>
      <c r="S904" s="170"/>
      <c r="T904" s="170"/>
      <c r="U904" s="170"/>
      <c r="V904" s="170"/>
      <c r="W904" s="170"/>
      <c r="X904" s="171"/>
      <c r="Y904" s="173"/>
      <c r="Z904" s="173"/>
      <c r="AA904" s="174"/>
      <c r="AB904" s="170"/>
      <c r="AC904" s="169"/>
      <c r="AD904" s="171"/>
      <c r="AE904" s="171"/>
      <c r="AF904" s="173"/>
      <c r="AG904" s="171"/>
      <c r="AH904" s="170"/>
      <c r="AI904" s="170"/>
      <c r="AJ904" s="170"/>
      <c r="AK904" s="170"/>
      <c r="AL904" s="170"/>
      <c r="AM904" s="175" t="e">
        <f t="shared" si="35"/>
        <v>#DIV/0!</v>
      </c>
    </row>
    <row r="905" spans="1:39">
      <c r="A905" s="189"/>
      <c r="B905" s="80"/>
      <c r="C905" s="319"/>
      <c r="D905" s="80"/>
      <c r="E905" s="80"/>
      <c r="F905" s="80"/>
      <c r="G905" s="82"/>
      <c r="H905" s="82"/>
      <c r="I905" s="80"/>
      <c r="J905" s="80"/>
      <c r="K905" s="80"/>
      <c r="L905" s="166"/>
      <c r="M905" s="166"/>
      <c r="N905" s="167"/>
      <c r="O905" s="80"/>
      <c r="P905" s="80"/>
      <c r="Q905" s="456"/>
      <c r="R905" s="80"/>
      <c r="S905" s="80"/>
      <c r="T905" s="80"/>
      <c r="U905" s="80"/>
      <c r="V905" s="80"/>
      <c r="W905" s="80"/>
      <c r="X905" s="82"/>
      <c r="Y905" s="167"/>
      <c r="Z905" s="167"/>
      <c r="AA905" s="168"/>
      <c r="AB905" s="80"/>
      <c r="AC905" s="165"/>
      <c r="AD905" s="82"/>
      <c r="AE905" s="82"/>
      <c r="AF905" s="167"/>
      <c r="AG905" s="82"/>
      <c r="AH905" s="80"/>
      <c r="AI905" s="80"/>
      <c r="AJ905" s="80"/>
      <c r="AK905" s="80"/>
      <c r="AL905" s="80"/>
      <c r="AM905" s="176" t="e">
        <f t="shared" si="35"/>
        <v>#DIV/0!</v>
      </c>
    </row>
    <row r="906" spans="1:39">
      <c r="A906" s="235"/>
      <c r="B906" s="170"/>
      <c r="C906" s="326"/>
      <c r="D906" s="170"/>
      <c r="E906" s="170"/>
      <c r="F906" s="170"/>
      <c r="G906" s="171"/>
      <c r="H906" s="171"/>
      <c r="I906" s="170"/>
      <c r="J906" s="170"/>
      <c r="K906" s="170"/>
      <c r="L906" s="172"/>
      <c r="M906" s="172"/>
      <c r="N906" s="173"/>
      <c r="O906" s="170"/>
      <c r="P906" s="170"/>
      <c r="Q906" s="455"/>
      <c r="R906" s="170"/>
      <c r="S906" s="170"/>
      <c r="T906" s="170"/>
      <c r="U906" s="170"/>
      <c r="V906" s="170"/>
      <c r="W906" s="170"/>
      <c r="X906" s="171"/>
      <c r="Y906" s="173"/>
      <c r="Z906" s="173"/>
      <c r="AA906" s="174"/>
      <c r="AB906" s="170"/>
      <c r="AC906" s="169"/>
      <c r="AD906" s="171"/>
      <c r="AE906" s="171"/>
      <c r="AF906" s="173"/>
      <c r="AG906" s="171"/>
      <c r="AH906" s="170"/>
      <c r="AI906" s="170"/>
      <c r="AJ906" s="170"/>
      <c r="AK906" s="170"/>
      <c r="AL906" s="170"/>
      <c r="AM906" s="175" t="e">
        <f t="shared" si="35"/>
        <v>#DIV/0!</v>
      </c>
    </row>
    <row r="907" spans="1:39">
      <c r="A907" s="189"/>
      <c r="B907" s="80"/>
      <c r="C907" s="319"/>
      <c r="D907" s="80"/>
      <c r="E907" s="80"/>
      <c r="F907" s="80"/>
      <c r="G907" s="82"/>
      <c r="H907" s="82"/>
      <c r="I907" s="80"/>
      <c r="J907" s="80"/>
      <c r="K907" s="80"/>
      <c r="L907" s="166"/>
      <c r="M907" s="166"/>
      <c r="N907" s="167"/>
      <c r="O907" s="80"/>
      <c r="P907" s="80"/>
      <c r="Q907" s="456"/>
      <c r="R907" s="80"/>
      <c r="S907" s="80"/>
      <c r="T907" s="80"/>
      <c r="U907" s="80"/>
      <c r="V907" s="80"/>
      <c r="W907" s="80"/>
      <c r="X907" s="82"/>
      <c r="Y907" s="167"/>
      <c r="Z907" s="167"/>
      <c r="AA907" s="168"/>
      <c r="AB907" s="80"/>
      <c r="AC907" s="165"/>
      <c r="AD907" s="82"/>
      <c r="AE907" s="82"/>
      <c r="AF907" s="167"/>
      <c r="AG907" s="82"/>
      <c r="AH907" s="80"/>
      <c r="AI907" s="80"/>
      <c r="AJ907" s="80"/>
      <c r="AK907" s="80"/>
      <c r="AL907" s="80"/>
      <c r="AM907" s="176" t="e">
        <f t="shared" si="35"/>
        <v>#DIV/0!</v>
      </c>
    </row>
    <row r="908" spans="1:39">
      <c r="A908" s="235"/>
      <c r="B908" s="170"/>
      <c r="C908" s="326"/>
      <c r="D908" s="170"/>
      <c r="E908" s="170"/>
      <c r="F908" s="170"/>
      <c r="G908" s="171"/>
      <c r="H908" s="171"/>
      <c r="I908" s="170"/>
      <c r="J908" s="170"/>
      <c r="K908" s="170"/>
      <c r="L908" s="172"/>
      <c r="M908" s="172"/>
      <c r="N908" s="173"/>
      <c r="O908" s="170"/>
      <c r="P908" s="170"/>
      <c r="Q908" s="455"/>
      <c r="R908" s="170"/>
      <c r="S908" s="170"/>
      <c r="T908" s="170"/>
      <c r="U908" s="170"/>
      <c r="V908" s="170"/>
      <c r="W908" s="170"/>
      <c r="X908" s="171"/>
      <c r="Y908" s="173"/>
      <c r="Z908" s="173"/>
      <c r="AA908" s="174"/>
      <c r="AB908" s="170"/>
      <c r="AC908" s="169"/>
      <c r="AD908" s="171"/>
      <c r="AE908" s="171"/>
      <c r="AF908" s="173"/>
      <c r="AG908" s="171"/>
      <c r="AH908" s="170"/>
      <c r="AI908" s="170"/>
      <c r="AJ908" s="170"/>
      <c r="AK908" s="170"/>
      <c r="AL908" s="170"/>
      <c r="AM908" s="175" t="e">
        <f t="shared" si="35"/>
        <v>#DIV/0!</v>
      </c>
    </row>
    <row r="909" spans="1:39">
      <c r="A909" s="189"/>
      <c r="B909" s="80"/>
      <c r="C909" s="319"/>
      <c r="D909" s="80"/>
      <c r="E909" s="80"/>
      <c r="F909" s="80"/>
      <c r="G909" s="82"/>
      <c r="H909" s="82"/>
      <c r="I909" s="80"/>
      <c r="J909" s="80"/>
      <c r="K909" s="80"/>
      <c r="L909" s="166"/>
      <c r="M909" s="166"/>
      <c r="N909" s="167"/>
      <c r="O909" s="80"/>
      <c r="P909" s="80"/>
      <c r="Q909" s="456"/>
      <c r="R909" s="80"/>
      <c r="S909" s="80"/>
      <c r="T909" s="80"/>
      <c r="U909" s="80"/>
      <c r="V909" s="80"/>
      <c r="W909" s="80"/>
      <c r="X909" s="82"/>
      <c r="Y909" s="167"/>
      <c r="Z909" s="167"/>
      <c r="AA909" s="168"/>
      <c r="AB909" s="80"/>
      <c r="AC909" s="165"/>
      <c r="AD909" s="82"/>
      <c r="AE909" s="82"/>
      <c r="AF909" s="167"/>
      <c r="AG909" s="82"/>
      <c r="AH909" s="80"/>
      <c r="AI909" s="80"/>
      <c r="AJ909" s="80"/>
      <c r="AK909" s="80"/>
      <c r="AL909" s="80"/>
      <c r="AM909" s="176" t="e">
        <f t="shared" si="35"/>
        <v>#DIV/0!</v>
      </c>
    </row>
    <row r="910" spans="1:39">
      <c r="A910" s="235"/>
      <c r="B910" s="170"/>
      <c r="C910" s="326"/>
      <c r="D910" s="170"/>
      <c r="E910" s="170"/>
      <c r="F910" s="170"/>
      <c r="G910" s="171"/>
      <c r="H910" s="171"/>
      <c r="I910" s="170"/>
      <c r="J910" s="170"/>
      <c r="K910" s="170"/>
      <c r="L910" s="172"/>
      <c r="M910" s="172"/>
      <c r="N910" s="173"/>
      <c r="O910" s="170"/>
      <c r="P910" s="170"/>
      <c r="Q910" s="455"/>
      <c r="R910" s="170"/>
      <c r="S910" s="170"/>
      <c r="T910" s="170"/>
      <c r="U910" s="170"/>
      <c r="V910" s="170"/>
      <c r="W910" s="170"/>
      <c r="X910" s="171"/>
      <c r="Y910" s="173"/>
      <c r="Z910" s="173"/>
      <c r="AA910" s="174"/>
      <c r="AB910" s="170"/>
      <c r="AC910" s="169"/>
      <c r="AD910" s="171"/>
      <c r="AE910" s="171"/>
      <c r="AF910" s="173"/>
      <c r="AG910" s="171"/>
      <c r="AH910" s="170"/>
      <c r="AI910" s="170"/>
      <c r="AJ910" s="170"/>
      <c r="AK910" s="170"/>
      <c r="AL910" s="170"/>
      <c r="AM910" s="175" t="e">
        <f t="shared" si="35"/>
        <v>#DIV/0!</v>
      </c>
    </row>
    <row r="911" spans="1:39">
      <c r="A911" s="189"/>
      <c r="B911" s="80"/>
      <c r="C911" s="319"/>
      <c r="D911" s="80"/>
      <c r="E911" s="80"/>
      <c r="F911" s="80"/>
      <c r="G911" s="82"/>
      <c r="H911" s="82"/>
      <c r="I911" s="80"/>
      <c r="J911" s="80"/>
      <c r="K911" s="80"/>
      <c r="L911" s="166"/>
      <c r="M911" s="166"/>
      <c r="N911" s="167"/>
      <c r="O911" s="80"/>
      <c r="P911" s="80"/>
      <c r="Q911" s="456"/>
      <c r="R911" s="80"/>
      <c r="S911" s="80"/>
      <c r="T911" s="80"/>
      <c r="U911" s="80"/>
      <c r="V911" s="80"/>
      <c r="W911" s="80"/>
      <c r="X911" s="82"/>
      <c r="Y911" s="167"/>
      <c r="Z911" s="167"/>
      <c r="AA911" s="168"/>
      <c r="AB911" s="80"/>
      <c r="AC911" s="165"/>
      <c r="AD911" s="82"/>
      <c r="AE911" s="82"/>
      <c r="AF911" s="167"/>
      <c r="AG911" s="82"/>
      <c r="AH911" s="80"/>
      <c r="AI911" s="80"/>
      <c r="AJ911" s="80"/>
      <c r="AK911" s="80"/>
      <c r="AL911" s="80"/>
      <c r="AM911" s="176" t="e">
        <f t="shared" si="35"/>
        <v>#DIV/0!</v>
      </c>
    </row>
    <row r="912" spans="1:39">
      <c r="A912" s="189"/>
      <c r="B912" s="80"/>
      <c r="C912" s="319"/>
      <c r="D912" s="80"/>
      <c r="E912" s="80"/>
      <c r="F912" s="80"/>
      <c r="G912" s="82"/>
      <c r="H912" s="82"/>
      <c r="I912" s="80"/>
      <c r="J912" s="80"/>
      <c r="K912" s="80"/>
      <c r="L912" s="166"/>
      <c r="M912" s="166"/>
      <c r="N912" s="167"/>
      <c r="O912" s="80"/>
      <c r="P912" s="80"/>
      <c r="Q912" s="456"/>
      <c r="R912" s="80"/>
      <c r="S912" s="80"/>
      <c r="T912" s="80"/>
      <c r="U912" s="80"/>
      <c r="V912" s="80"/>
      <c r="W912" s="80"/>
      <c r="X912" s="82"/>
      <c r="Y912" s="167"/>
      <c r="Z912" s="167"/>
      <c r="AA912" s="168"/>
      <c r="AB912" s="80"/>
      <c r="AC912" s="165"/>
      <c r="AD912" s="82"/>
      <c r="AE912" s="82"/>
      <c r="AF912" s="167"/>
      <c r="AG912" s="82"/>
      <c r="AH912" s="80"/>
      <c r="AI912" s="80"/>
      <c r="AJ912" s="80"/>
      <c r="AK912" s="80"/>
      <c r="AL912" s="80"/>
      <c r="AM912" s="176" t="e">
        <f t="shared" si="35"/>
        <v>#DIV/0!</v>
      </c>
    </row>
    <row r="913" spans="1:39">
      <c r="A913" s="189"/>
      <c r="B913" s="80"/>
      <c r="C913" s="319"/>
      <c r="D913" s="80"/>
      <c r="E913" s="80"/>
      <c r="F913" s="80"/>
      <c r="G913" s="82"/>
      <c r="H913" s="82"/>
      <c r="I913" s="80"/>
      <c r="J913" s="80"/>
      <c r="K913" s="80"/>
      <c r="L913" s="166"/>
      <c r="M913" s="166"/>
      <c r="N913" s="167"/>
      <c r="O913" s="80"/>
      <c r="P913" s="80"/>
      <c r="Q913" s="456"/>
      <c r="R913" s="80"/>
      <c r="S913" s="80"/>
      <c r="T913" s="80"/>
      <c r="U913" s="80"/>
      <c r="V913" s="80"/>
      <c r="W913" s="80"/>
      <c r="X913" s="82"/>
      <c r="Y913" s="167"/>
      <c r="Z913" s="167"/>
      <c r="AA913" s="168"/>
      <c r="AB913" s="80"/>
      <c r="AC913" s="165"/>
      <c r="AD913" s="82"/>
      <c r="AE913" s="82"/>
      <c r="AF913" s="167"/>
      <c r="AG913" s="82"/>
      <c r="AH913" s="80"/>
      <c r="AI913" s="80"/>
      <c r="AJ913" s="80"/>
      <c r="AK913" s="80"/>
      <c r="AL913" s="80"/>
      <c r="AM913" s="80"/>
    </row>
    <row r="914" spans="1:39">
      <c r="A914" s="189"/>
      <c r="B914" s="80"/>
      <c r="C914" s="319"/>
      <c r="D914" s="80"/>
      <c r="E914" s="80"/>
      <c r="F914" s="80"/>
      <c r="G914" s="82"/>
      <c r="H914" s="82"/>
      <c r="I914" s="80"/>
      <c r="J914" s="80"/>
      <c r="K914" s="80"/>
      <c r="L914" s="166"/>
      <c r="M914" s="166"/>
      <c r="N914" s="167"/>
      <c r="O914" s="80"/>
      <c r="P914" s="80"/>
      <c r="Q914" s="456"/>
      <c r="R914" s="80"/>
      <c r="S914" s="80"/>
      <c r="T914" s="80"/>
      <c r="U914" s="80"/>
      <c r="V914" s="80"/>
      <c r="W914" s="80"/>
      <c r="X914" s="82"/>
      <c r="Y914" s="167"/>
      <c r="Z914" s="167"/>
      <c r="AA914" s="168"/>
      <c r="AB914" s="80"/>
      <c r="AC914" s="165"/>
      <c r="AD914" s="82"/>
      <c r="AE914" s="82"/>
      <c r="AF914" s="167"/>
      <c r="AG914" s="82"/>
      <c r="AH914" s="80"/>
      <c r="AI914" s="80"/>
      <c r="AJ914" s="80"/>
      <c r="AK914" s="80"/>
      <c r="AL914" s="80"/>
      <c r="AM914" s="80"/>
    </row>
    <row r="915" spans="1:39">
      <c r="A915" s="189"/>
      <c r="B915" s="80"/>
      <c r="C915" s="319"/>
      <c r="D915" s="80"/>
      <c r="E915" s="80"/>
      <c r="F915" s="80"/>
      <c r="G915" s="82"/>
      <c r="H915" s="82"/>
      <c r="I915" s="80"/>
      <c r="J915" s="80"/>
      <c r="K915" s="80"/>
      <c r="L915" s="166"/>
      <c r="M915" s="166"/>
      <c r="N915" s="167"/>
      <c r="O915" s="80"/>
      <c r="P915" s="80"/>
      <c r="Q915" s="456"/>
      <c r="R915" s="80"/>
      <c r="S915" s="80"/>
      <c r="T915" s="80"/>
      <c r="U915" s="80"/>
      <c r="V915" s="80"/>
      <c r="W915" s="80"/>
      <c r="X915" s="82"/>
      <c r="Y915" s="167"/>
      <c r="Z915" s="167"/>
      <c r="AA915" s="168"/>
      <c r="AB915" s="80"/>
      <c r="AC915" s="165"/>
      <c r="AD915" s="82"/>
      <c r="AE915" s="82"/>
      <c r="AF915" s="167"/>
      <c r="AG915" s="82"/>
      <c r="AH915" s="80"/>
      <c r="AI915" s="80"/>
      <c r="AJ915" s="80"/>
      <c r="AK915" s="80"/>
      <c r="AL915" s="80"/>
      <c r="AM915" s="80"/>
    </row>
    <row r="916" spans="1:39">
      <c r="A916" s="189"/>
      <c r="B916" s="80"/>
      <c r="C916" s="319"/>
      <c r="D916" s="80"/>
      <c r="E916" s="80"/>
      <c r="F916" s="80"/>
      <c r="G916" s="82"/>
      <c r="H916" s="82"/>
      <c r="I916" s="80"/>
      <c r="J916" s="80"/>
      <c r="K916" s="80"/>
      <c r="L916" s="166"/>
      <c r="M916" s="166"/>
      <c r="N916" s="167"/>
      <c r="O916" s="80"/>
      <c r="P916" s="80"/>
      <c r="Q916" s="456"/>
      <c r="R916" s="80"/>
      <c r="S916" s="80"/>
      <c r="T916" s="80"/>
      <c r="U916" s="80"/>
      <c r="V916" s="80"/>
      <c r="W916" s="80"/>
      <c r="X916" s="82"/>
      <c r="Y916" s="167"/>
      <c r="Z916" s="167"/>
      <c r="AA916" s="168"/>
      <c r="AB916" s="80"/>
      <c r="AC916" s="165"/>
      <c r="AD916" s="82"/>
      <c r="AE916" s="82"/>
      <c r="AF916" s="167"/>
      <c r="AG916" s="82"/>
      <c r="AH916" s="80"/>
      <c r="AI916" s="80"/>
      <c r="AJ916" s="80"/>
      <c r="AK916" s="80"/>
      <c r="AL916" s="80"/>
      <c r="AM916" s="80"/>
    </row>
    <row r="917" spans="1:39">
      <c r="A917" s="189"/>
      <c r="B917" s="80"/>
      <c r="C917" s="319"/>
      <c r="D917" s="80"/>
      <c r="E917" s="80"/>
      <c r="F917" s="80"/>
      <c r="G917" s="82"/>
      <c r="H917" s="82"/>
      <c r="I917" s="80"/>
      <c r="J917" s="80"/>
      <c r="K917" s="80"/>
      <c r="L917" s="166"/>
      <c r="M917" s="166"/>
      <c r="N917" s="167"/>
      <c r="O917" s="80"/>
      <c r="P917" s="80"/>
      <c r="Q917" s="456"/>
      <c r="R917" s="80"/>
      <c r="S917" s="80"/>
      <c r="T917" s="80"/>
      <c r="U917" s="80"/>
      <c r="V917" s="80"/>
      <c r="W917" s="80"/>
      <c r="X917" s="82"/>
      <c r="Y917" s="167"/>
      <c r="Z917" s="167"/>
      <c r="AA917" s="168"/>
      <c r="AB917" s="80"/>
      <c r="AC917" s="165"/>
      <c r="AD917" s="82"/>
      <c r="AE917" s="82"/>
      <c r="AF917" s="167"/>
      <c r="AG917" s="82"/>
      <c r="AH917" s="80"/>
      <c r="AI917" s="80"/>
      <c r="AJ917" s="80"/>
      <c r="AK917" s="80"/>
      <c r="AL917" s="80"/>
      <c r="AM917" s="80"/>
    </row>
    <row r="918" spans="1:39">
      <c r="A918" s="189"/>
      <c r="B918" s="80"/>
      <c r="C918" s="319"/>
      <c r="D918" s="80"/>
      <c r="E918" s="80"/>
      <c r="F918" s="80"/>
      <c r="G918" s="82"/>
      <c r="H918" s="82"/>
      <c r="I918" s="80"/>
      <c r="J918" s="80"/>
      <c r="K918" s="80"/>
      <c r="L918" s="166"/>
      <c r="M918" s="166"/>
      <c r="N918" s="167"/>
      <c r="O918" s="80"/>
      <c r="P918" s="80"/>
      <c r="Q918" s="456"/>
      <c r="R918" s="80"/>
      <c r="S918" s="80"/>
      <c r="T918" s="80"/>
      <c r="U918" s="80"/>
      <c r="V918" s="80"/>
      <c r="W918" s="80"/>
      <c r="X918" s="82"/>
      <c r="Y918" s="167"/>
      <c r="Z918" s="167"/>
      <c r="AA918" s="168"/>
      <c r="AB918" s="80"/>
      <c r="AC918" s="165"/>
      <c r="AD918" s="82"/>
      <c r="AE918" s="82"/>
      <c r="AF918" s="167"/>
      <c r="AG918" s="82"/>
      <c r="AH918" s="80"/>
      <c r="AI918" s="80"/>
      <c r="AJ918" s="80"/>
      <c r="AK918" s="80"/>
      <c r="AL918" s="80"/>
      <c r="AM918" s="80"/>
    </row>
    <row r="919" spans="1:39">
      <c r="A919" s="189"/>
      <c r="B919" s="80"/>
      <c r="C919" s="319"/>
      <c r="D919" s="80"/>
      <c r="E919" s="80"/>
      <c r="F919" s="80"/>
      <c r="G919" s="82"/>
      <c r="H919" s="82"/>
      <c r="I919" s="80"/>
      <c r="J919" s="80"/>
      <c r="K919" s="80"/>
      <c r="L919" s="166"/>
      <c r="M919" s="166"/>
      <c r="N919" s="167"/>
      <c r="O919" s="80"/>
      <c r="P919" s="80"/>
      <c r="Q919" s="456"/>
      <c r="R919" s="80"/>
      <c r="S919" s="80"/>
      <c r="T919" s="80"/>
      <c r="U919" s="80"/>
      <c r="V919" s="80"/>
      <c r="W919" s="80"/>
      <c r="X919" s="82"/>
      <c r="Y919" s="167"/>
      <c r="Z919" s="167"/>
      <c r="AA919" s="168"/>
      <c r="AB919" s="80"/>
      <c r="AC919" s="165"/>
      <c r="AD919" s="82"/>
      <c r="AE919" s="82"/>
      <c r="AF919" s="167"/>
      <c r="AG919" s="82"/>
      <c r="AH919" s="80"/>
      <c r="AI919" s="80"/>
      <c r="AJ919" s="80"/>
      <c r="AK919" s="80"/>
      <c r="AL919" s="80"/>
      <c r="AM919" s="80"/>
    </row>
    <row r="920" spans="1:39">
      <c r="A920" s="189"/>
      <c r="B920" s="80"/>
      <c r="C920" s="319"/>
      <c r="D920" s="80"/>
      <c r="E920" s="80"/>
      <c r="F920" s="80"/>
      <c r="G920" s="82"/>
      <c r="H920" s="82"/>
      <c r="I920" s="80"/>
      <c r="J920" s="80"/>
      <c r="K920" s="80"/>
      <c r="L920" s="166"/>
      <c r="M920" s="166"/>
      <c r="N920" s="167"/>
      <c r="O920" s="80"/>
      <c r="P920" s="80"/>
      <c r="Q920" s="456"/>
      <c r="R920" s="80"/>
      <c r="S920" s="80"/>
      <c r="T920" s="80"/>
      <c r="U920" s="80"/>
      <c r="V920" s="80"/>
      <c r="W920" s="80"/>
      <c r="X920" s="82"/>
      <c r="Y920" s="167"/>
      <c r="Z920" s="167"/>
      <c r="AA920" s="168"/>
      <c r="AB920" s="80"/>
      <c r="AC920" s="165"/>
      <c r="AD920" s="82"/>
      <c r="AE920" s="82"/>
      <c r="AF920" s="167"/>
      <c r="AG920" s="82"/>
      <c r="AH920" s="80"/>
      <c r="AI920" s="80"/>
      <c r="AJ920" s="80"/>
      <c r="AK920" s="80"/>
      <c r="AL920" s="80"/>
      <c r="AM920" s="80"/>
    </row>
    <row r="921" spans="1:39">
      <c r="A921" s="189"/>
      <c r="B921" s="80"/>
      <c r="C921" s="319"/>
      <c r="D921" s="80"/>
      <c r="E921" s="80"/>
      <c r="F921" s="80"/>
      <c r="G921" s="82"/>
      <c r="H921" s="82"/>
      <c r="I921" s="80"/>
      <c r="J921" s="80"/>
      <c r="K921" s="80"/>
      <c r="L921" s="166"/>
      <c r="M921" s="166"/>
      <c r="N921" s="167"/>
      <c r="O921" s="80"/>
      <c r="P921" s="80"/>
      <c r="Q921" s="456"/>
      <c r="R921" s="80"/>
      <c r="S921" s="80"/>
      <c r="T921" s="80"/>
      <c r="U921" s="80"/>
      <c r="V921" s="80"/>
      <c r="W921" s="80"/>
      <c r="X921" s="82"/>
      <c r="Y921" s="167"/>
      <c r="Z921" s="167"/>
      <c r="AA921" s="168"/>
      <c r="AB921" s="80"/>
      <c r="AC921" s="165"/>
      <c r="AD921" s="82"/>
      <c r="AE921" s="82"/>
      <c r="AF921" s="167"/>
      <c r="AG921" s="82"/>
      <c r="AH921" s="80"/>
      <c r="AI921" s="80"/>
      <c r="AJ921" s="80"/>
      <c r="AK921" s="80"/>
      <c r="AL921" s="80"/>
      <c r="AM921" s="80"/>
    </row>
    <row r="922" spans="1:39">
      <c r="A922" s="189"/>
      <c r="B922" s="80"/>
      <c r="C922" s="319"/>
      <c r="D922" s="80"/>
      <c r="E922" s="80"/>
      <c r="F922" s="80"/>
      <c r="G922" s="82"/>
      <c r="H922" s="82"/>
      <c r="I922" s="80"/>
      <c r="J922" s="80"/>
      <c r="K922" s="80"/>
      <c r="L922" s="166"/>
      <c r="M922" s="166"/>
      <c r="N922" s="167"/>
      <c r="O922" s="80"/>
      <c r="P922" s="80"/>
      <c r="Q922" s="456"/>
      <c r="R922" s="80"/>
      <c r="S922" s="80"/>
      <c r="T922" s="80"/>
      <c r="U922" s="80"/>
      <c r="V922" s="80"/>
      <c r="W922" s="80"/>
      <c r="X922" s="82"/>
      <c r="Y922" s="167"/>
      <c r="Z922" s="167"/>
      <c r="AA922" s="168"/>
      <c r="AB922" s="80"/>
      <c r="AC922" s="165"/>
      <c r="AD922" s="82"/>
      <c r="AE922" s="82"/>
      <c r="AF922" s="167"/>
      <c r="AG922" s="82"/>
      <c r="AH922" s="80"/>
      <c r="AI922" s="80"/>
      <c r="AJ922" s="80"/>
      <c r="AK922" s="80"/>
      <c r="AL922" s="80"/>
      <c r="AM922" s="80"/>
    </row>
    <row r="923" spans="1:39">
      <c r="A923" s="189"/>
      <c r="B923" s="80"/>
      <c r="C923" s="319"/>
      <c r="D923" s="80"/>
      <c r="E923" s="80"/>
      <c r="F923" s="80"/>
      <c r="G923" s="82"/>
      <c r="H923" s="82"/>
      <c r="I923" s="80"/>
      <c r="J923" s="80"/>
      <c r="K923" s="80"/>
      <c r="L923" s="166"/>
      <c r="M923" s="166"/>
      <c r="N923" s="167"/>
      <c r="O923" s="80"/>
      <c r="P923" s="80"/>
      <c r="Q923" s="456"/>
      <c r="R923" s="80"/>
      <c r="S923" s="80"/>
      <c r="T923" s="80"/>
      <c r="U923" s="80"/>
      <c r="V923" s="80"/>
      <c r="W923" s="80"/>
      <c r="X923" s="82"/>
      <c r="Y923" s="167"/>
      <c r="Z923" s="167"/>
      <c r="AA923" s="168"/>
      <c r="AB923" s="80"/>
      <c r="AC923" s="165"/>
      <c r="AD923" s="82"/>
      <c r="AE923" s="82"/>
      <c r="AF923" s="167"/>
      <c r="AG923" s="82"/>
      <c r="AH923" s="80"/>
      <c r="AI923" s="80"/>
      <c r="AJ923" s="80"/>
      <c r="AK923" s="80"/>
      <c r="AL923" s="80"/>
      <c r="AM923" s="80"/>
    </row>
    <row r="924" spans="1:39">
      <c r="A924" s="189"/>
      <c r="B924" s="80"/>
      <c r="C924" s="319"/>
      <c r="D924" s="80"/>
      <c r="E924" s="80"/>
      <c r="F924" s="80"/>
      <c r="G924" s="82"/>
      <c r="H924" s="82"/>
      <c r="I924" s="80"/>
      <c r="J924" s="80"/>
      <c r="K924" s="80"/>
      <c r="L924" s="166"/>
      <c r="M924" s="166"/>
      <c r="N924" s="167"/>
      <c r="O924" s="80"/>
      <c r="P924" s="80"/>
      <c r="Q924" s="456"/>
      <c r="R924" s="80"/>
      <c r="S924" s="80"/>
      <c r="T924" s="80"/>
      <c r="U924" s="80"/>
      <c r="V924" s="80"/>
      <c r="W924" s="80"/>
      <c r="X924" s="82"/>
      <c r="Y924" s="167"/>
      <c r="Z924" s="167"/>
      <c r="AA924" s="168"/>
      <c r="AB924" s="80"/>
      <c r="AC924" s="165"/>
      <c r="AD924" s="82"/>
      <c r="AE924" s="82"/>
      <c r="AF924" s="167"/>
      <c r="AG924" s="82"/>
      <c r="AH924" s="80"/>
      <c r="AI924" s="80"/>
      <c r="AJ924" s="80"/>
      <c r="AK924" s="80"/>
      <c r="AL924" s="80"/>
      <c r="AM924" s="80"/>
    </row>
    <row r="925" spans="1:39">
      <c r="A925" s="189"/>
      <c r="B925" s="80"/>
      <c r="C925" s="319"/>
      <c r="D925" s="80"/>
      <c r="E925" s="80"/>
      <c r="F925" s="80"/>
      <c r="G925" s="82"/>
      <c r="H925" s="82"/>
      <c r="I925" s="80"/>
      <c r="J925" s="80"/>
      <c r="K925" s="80"/>
      <c r="L925" s="166"/>
      <c r="M925" s="166"/>
      <c r="N925" s="167"/>
      <c r="O925" s="80"/>
      <c r="P925" s="80"/>
      <c r="Q925" s="456"/>
      <c r="R925" s="80"/>
      <c r="S925" s="80"/>
      <c r="T925" s="80"/>
      <c r="U925" s="80"/>
      <c r="V925" s="80"/>
      <c r="W925" s="80"/>
      <c r="X925" s="82"/>
      <c r="Y925" s="167"/>
      <c r="Z925" s="167"/>
      <c r="AA925" s="168"/>
      <c r="AB925" s="80"/>
      <c r="AC925" s="165"/>
      <c r="AD925" s="82"/>
      <c r="AE925" s="82"/>
      <c r="AF925" s="167"/>
      <c r="AG925" s="82"/>
      <c r="AH925" s="80"/>
      <c r="AI925" s="80"/>
      <c r="AJ925" s="80"/>
      <c r="AK925" s="80"/>
      <c r="AL925" s="80"/>
      <c r="AM925" s="80"/>
    </row>
    <row r="926" spans="1:39">
      <c r="A926" s="189"/>
      <c r="B926" s="80"/>
      <c r="C926" s="319"/>
      <c r="D926" s="80"/>
      <c r="E926" s="80"/>
      <c r="F926" s="80"/>
      <c r="G926" s="82"/>
      <c r="H926" s="82"/>
      <c r="I926" s="80"/>
      <c r="J926" s="80"/>
      <c r="K926" s="80"/>
      <c r="L926" s="166"/>
      <c r="M926" s="166"/>
      <c r="N926" s="167"/>
      <c r="O926" s="80"/>
      <c r="P926" s="80"/>
      <c r="Q926" s="456"/>
      <c r="R926" s="80"/>
      <c r="S926" s="80"/>
      <c r="T926" s="80"/>
      <c r="U926" s="80"/>
      <c r="V926" s="80"/>
      <c r="W926" s="80"/>
      <c r="X926" s="82"/>
      <c r="Y926" s="167"/>
      <c r="Z926" s="167"/>
      <c r="AA926" s="168"/>
      <c r="AB926" s="80"/>
      <c r="AC926" s="165"/>
      <c r="AD926" s="82"/>
      <c r="AE926" s="82"/>
      <c r="AF926" s="167"/>
      <c r="AG926" s="82"/>
      <c r="AH926" s="80"/>
      <c r="AI926" s="80"/>
      <c r="AJ926" s="80"/>
      <c r="AK926" s="80"/>
      <c r="AL926" s="80"/>
      <c r="AM926" s="80"/>
    </row>
    <row r="927" spans="1:39">
      <c r="A927" s="189"/>
      <c r="B927" s="80"/>
      <c r="C927" s="319"/>
      <c r="D927" s="80"/>
      <c r="E927" s="80"/>
      <c r="F927" s="80"/>
      <c r="G927" s="82"/>
      <c r="H927" s="82"/>
      <c r="I927" s="80"/>
      <c r="J927" s="80"/>
      <c r="K927" s="80"/>
      <c r="L927" s="166"/>
      <c r="M927" s="166"/>
      <c r="N927" s="167"/>
      <c r="O927" s="80"/>
      <c r="P927" s="80"/>
      <c r="Q927" s="456"/>
      <c r="R927" s="80"/>
      <c r="S927" s="80"/>
      <c r="T927" s="80"/>
      <c r="U927" s="80"/>
      <c r="V927" s="80"/>
      <c r="W927" s="80"/>
      <c r="X927" s="82"/>
      <c r="Y927" s="167"/>
      <c r="Z927" s="167"/>
      <c r="AA927" s="168"/>
      <c r="AB927" s="80"/>
      <c r="AC927" s="165"/>
      <c r="AD927" s="82"/>
      <c r="AE927" s="82"/>
      <c r="AF927" s="167"/>
      <c r="AG927" s="82"/>
      <c r="AH927" s="80"/>
      <c r="AI927" s="80"/>
      <c r="AJ927" s="80"/>
      <c r="AK927" s="80"/>
      <c r="AL927" s="80"/>
      <c r="AM927" s="80"/>
    </row>
    <row r="928" spans="1:39">
      <c r="A928" s="189"/>
      <c r="B928" s="80"/>
      <c r="C928" s="319"/>
      <c r="D928" s="80"/>
      <c r="E928" s="80"/>
      <c r="F928" s="80"/>
      <c r="G928" s="82"/>
      <c r="H928" s="82"/>
      <c r="I928" s="80"/>
      <c r="J928" s="80"/>
      <c r="K928" s="80"/>
      <c r="L928" s="166"/>
      <c r="M928" s="166"/>
      <c r="N928" s="167"/>
      <c r="O928" s="80"/>
      <c r="P928" s="80"/>
      <c r="Q928" s="456"/>
      <c r="R928" s="80"/>
      <c r="S928" s="80"/>
      <c r="T928" s="80"/>
      <c r="U928" s="80"/>
      <c r="V928" s="80"/>
      <c r="W928" s="80"/>
      <c r="X928" s="82"/>
      <c r="Y928" s="167"/>
      <c r="Z928" s="167"/>
      <c r="AA928" s="168"/>
      <c r="AB928" s="80"/>
      <c r="AC928" s="165"/>
      <c r="AD928" s="82"/>
      <c r="AE928" s="82"/>
      <c r="AF928" s="167"/>
      <c r="AG928" s="82"/>
      <c r="AH928" s="80"/>
      <c r="AI928" s="80"/>
      <c r="AJ928" s="80"/>
      <c r="AK928" s="80"/>
      <c r="AL928" s="80"/>
      <c r="AM928" s="80"/>
    </row>
    <row r="929" spans="1:39">
      <c r="A929" s="189"/>
      <c r="B929" s="80"/>
      <c r="C929" s="319"/>
      <c r="D929" s="80"/>
      <c r="E929" s="80"/>
      <c r="F929" s="80"/>
      <c r="G929" s="82"/>
      <c r="H929" s="82"/>
      <c r="I929" s="80"/>
      <c r="J929" s="80"/>
      <c r="K929" s="80"/>
      <c r="L929" s="166"/>
      <c r="M929" s="166"/>
      <c r="N929" s="167"/>
      <c r="O929" s="80"/>
      <c r="P929" s="80"/>
      <c r="Q929" s="456"/>
      <c r="R929" s="80"/>
      <c r="S929" s="80"/>
      <c r="T929" s="80"/>
      <c r="U929" s="80"/>
      <c r="V929" s="80"/>
      <c r="W929" s="80"/>
      <c r="X929" s="82"/>
      <c r="Y929" s="167"/>
      <c r="Z929" s="167"/>
      <c r="AA929" s="168"/>
      <c r="AB929" s="80"/>
      <c r="AC929" s="165"/>
      <c r="AD929" s="82"/>
      <c r="AE929" s="82"/>
      <c r="AF929" s="167"/>
      <c r="AG929" s="82"/>
      <c r="AH929" s="80"/>
      <c r="AI929" s="80"/>
      <c r="AJ929" s="80"/>
      <c r="AK929" s="80"/>
      <c r="AL929" s="80"/>
      <c r="AM929" s="80"/>
    </row>
    <row r="930" spans="1:39">
      <c r="A930" s="189"/>
      <c r="B930" s="80"/>
      <c r="C930" s="319"/>
      <c r="D930" s="80"/>
      <c r="E930" s="80"/>
      <c r="F930" s="80"/>
      <c r="G930" s="82"/>
      <c r="H930" s="82"/>
      <c r="I930" s="80"/>
      <c r="J930" s="80"/>
      <c r="K930" s="80"/>
      <c r="L930" s="166"/>
      <c r="M930" s="166"/>
      <c r="N930" s="167"/>
      <c r="O930" s="80"/>
      <c r="P930" s="80"/>
      <c r="Q930" s="456"/>
      <c r="R930" s="80"/>
      <c r="S930" s="80"/>
      <c r="T930" s="80"/>
      <c r="U930" s="80"/>
      <c r="V930" s="80"/>
      <c r="W930" s="80"/>
      <c r="X930" s="82"/>
      <c r="Y930" s="167"/>
      <c r="Z930" s="167"/>
      <c r="AA930" s="168"/>
      <c r="AB930" s="80"/>
      <c r="AC930" s="165"/>
      <c r="AD930" s="82"/>
      <c r="AE930" s="82"/>
      <c r="AF930" s="167"/>
      <c r="AG930" s="82"/>
      <c r="AH930" s="80"/>
      <c r="AI930" s="80"/>
      <c r="AJ930" s="80"/>
      <c r="AK930" s="80"/>
      <c r="AL930" s="80"/>
      <c r="AM930" s="80"/>
    </row>
    <row r="931" spans="1:39">
      <c r="A931" s="189"/>
      <c r="B931" s="80"/>
      <c r="C931" s="319"/>
      <c r="D931" s="80"/>
      <c r="E931" s="80"/>
      <c r="F931" s="80"/>
      <c r="G931" s="82"/>
      <c r="H931" s="82"/>
      <c r="I931" s="80"/>
      <c r="J931" s="80"/>
      <c r="K931" s="80"/>
      <c r="L931" s="166"/>
      <c r="M931" s="166"/>
      <c r="N931" s="167"/>
      <c r="O931" s="80"/>
      <c r="P931" s="80"/>
      <c r="Q931" s="456"/>
      <c r="R931" s="80"/>
      <c r="S931" s="80"/>
      <c r="T931" s="80"/>
      <c r="U931" s="80"/>
      <c r="V931" s="80"/>
      <c r="W931" s="80"/>
      <c r="X931" s="82"/>
      <c r="Y931" s="167"/>
      <c r="Z931" s="167"/>
      <c r="AA931" s="168"/>
      <c r="AB931" s="80"/>
      <c r="AC931" s="165"/>
      <c r="AD931" s="82"/>
      <c r="AE931" s="82"/>
      <c r="AF931" s="167"/>
      <c r="AG931" s="82"/>
      <c r="AH931" s="80"/>
      <c r="AI931" s="80"/>
      <c r="AJ931" s="80"/>
      <c r="AK931" s="80"/>
      <c r="AL931" s="80"/>
      <c r="AM931" s="80"/>
    </row>
    <row r="932" spans="1:39">
      <c r="A932" s="189"/>
      <c r="B932" s="80"/>
      <c r="C932" s="319"/>
      <c r="D932" s="80"/>
      <c r="E932" s="80"/>
      <c r="F932" s="80"/>
      <c r="G932" s="82"/>
      <c r="H932" s="82"/>
      <c r="I932" s="80"/>
      <c r="J932" s="80"/>
      <c r="K932" s="80"/>
      <c r="L932" s="166"/>
      <c r="M932" s="166"/>
      <c r="N932" s="167"/>
      <c r="O932" s="80"/>
      <c r="P932" s="80"/>
      <c r="Q932" s="456"/>
      <c r="R932" s="80"/>
      <c r="S932" s="80"/>
      <c r="T932" s="80"/>
      <c r="U932" s="80"/>
      <c r="V932" s="80"/>
      <c r="W932" s="80"/>
      <c r="X932" s="82"/>
      <c r="Y932" s="167"/>
      <c r="Z932" s="167"/>
      <c r="AA932" s="168"/>
      <c r="AB932" s="80"/>
      <c r="AC932" s="165"/>
      <c r="AD932" s="82"/>
      <c r="AE932" s="82"/>
      <c r="AF932" s="167"/>
      <c r="AG932" s="82"/>
      <c r="AH932" s="80"/>
      <c r="AI932" s="80"/>
      <c r="AJ932" s="80"/>
      <c r="AK932" s="80"/>
      <c r="AL932" s="80"/>
      <c r="AM932" s="80"/>
    </row>
  </sheetData>
  <conditionalFormatting sqref="A2:A19">
    <cfRule type="duplicateValues" dxfId="59" priority="413"/>
    <cfRule type="duplicateValues" dxfId="58" priority="412"/>
  </conditionalFormatting>
  <conditionalFormatting sqref="A20:A31">
    <cfRule type="duplicateValues" dxfId="57" priority="385"/>
    <cfRule type="duplicateValues" dxfId="56" priority="384"/>
  </conditionalFormatting>
  <conditionalFormatting sqref="A32:A33">
    <cfRule type="duplicateValues" dxfId="55" priority="56"/>
  </conditionalFormatting>
  <conditionalFormatting sqref="A32:A34">
    <cfRule type="duplicateValues" dxfId="54" priority="57"/>
  </conditionalFormatting>
  <conditionalFormatting sqref="A69:A70">
    <cfRule type="duplicateValues" dxfId="53" priority="51"/>
    <cfRule type="duplicateValues" dxfId="52" priority="50"/>
  </conditionalFormatting>
  <conditionalFormatting sqref="A71">
    <cfRule type="duplicateValues" dxfId="51" priority="48"/>
    <cfRule type="duplicateValues" dxfId="50" priority="47"/>
  </conditionalFormatting>
  <conditionalFormatting sqref="A73">
    <cfRule type="duplicateValues" dxfId="49" priority="45"/>
    <cfRule type="duplicateValues" dxfId="48" priority="44"/>
  </conditionalFormatting>
  <conditionalFormatting sqref="A102:A103">
    <cfRule type="duplicateValues" dxfId="47" priority="41"/>
    <cfRule type="duplicateValues" dxfId="46" priority="42"/>
  </conditionalFormatting>
  <conditionalFormatting sqref="A104">
    <cfRule type="duplicateValues" dxfId="45" priority="32"/>
    <cfRule type="duplicateValues" dxfId="44" priority="33"/>
  </conditionalFormatting>
  <conditionalFormatting sqref="A105">
    <cfRule type="duplicateValues" dxfId="43" priority="39"/>
    <cfRule type="duplicateValues" dxfId="42" priority="38"/>
  </conditionalFormatting>
  <conditionalFormatting sqref="A106">
    <cfRule type="duplicateValues" dxfId="41" priority="35"/>
    <cfRule type="duplicateValues" dxfId="40" priority="36"/>
  </conditionalFormatting>
  <conditionalFormatting sqref="A107:A108">
    <cfRule type="duplicateValues" dxfId="39" priority="26"/>
    <cfRule type="duplicateValues" dxfId="38" priority="27"/>
  </conditionalFormatting>
  <conditionalFormatting sqref="A109:A110">
    <cfRule type="duplicateValues" dxfId="37" priority="28"/>
  </conditionalFormatting>
  <conditionalFormatting sqref="A109:A111">
    <cfRule type="duplicateValues" dxfId="36" priority="74"/>
    <cfRule type="duplicateValues" dxfId="35" priority="75"/>
    <cfRule type="duplicateValues" dxfId="34" priority="73"/>
  </conditionalFormatting>
  <conditionalFormatting sqref="A231:A233">
    <cfRule type="duplicateValues" dxfId="33" priority="22"/>
    <cfRule type="duplicateValues" dxfId="32" priority="21"/>
  </conditionalFormatting>
  <conditionalFormatting sqref="A234:A270 A112:A230 A32:A68 A1 A72 A74:A101 A272:A322 A324:A335 A337:A346 A348:A361 A363 A365:A394 A396:A413 A415:A420 A422:A446 A449:A524 A526:A546 A548:A603 A607 A617:A650 A652:A663 A709 A665:A707 A711:A751 A753:A784 A786:A813 A816:A1048576">
    <cfRule type="duplicateValues" dxfId="31" priority="58"/>
    <cfRule type="duplicateValues" dxfId="30" priority="59"/>
  </conditionalFormatting>
  <conditionalFormatting sqref="A347">
    <cfRule type="duplicateValues" dxfId="29" priority="17"/>
    <cfRule type="duplicateValues" dxfId="28" priority="16"/>
  </conditionalFormatting>
  <conditionalFormatting sqref="A395">
    <cfRule type="duplicateValues" dxfId="27" priority="11"/>
    <cfRule type="duplicateValues" dxfId="26" priority="12"/>
  </conditionalFormatting>
  <conditionalFormatting sqref="A414">
    <cfRule type="duplicateValues" dxfId="25" priority="9"/>
    <cfRule type="duplicateValues" dxfId="24" priority="10"/>
  </conditionalFormatting>
  <conditionalFormatting sqref="A447:A448">
    <cfRule type="duplicateValues" dxfId="23" priority="5"/>
    <cfRule type="duplicateValues" dxfId="22" priority="6"/>
  </conditionalFormatting>
  <conditionalFormatting sqref="A547">
    <cfRule type="duplicateValues" dxfId="21" priority="1"/>
    <cfRule type="duplicateValues" dxfId="20" priority="2"/>
  </conditionalFormatting>
  <conditionalFormatting sqref="F2:F19">
    <cfRule type="duplicateValues" dxfId="19" priority="414"/>
  </conditionalFormatting>
  <conditionalFormatting sqref="F20:F31">
    <cfRule type="duplicateValues" dxfId="18" priority="402"/>
  </conditionalFormatting>
  <conditionalFormatting sqref="F69:F70">
    <cfRule type="duplicateValues" dxfId="17" priority="52"/>
  </conditionalFormatting>
  <conditionalFormatting sqref="F71">
    <cfRule type="duplicateValues" dxfId="16" priority="49"/>
  </conditionalFormatting>
  <conditionalFormatting sqref="F73">
    <cfRule type="duplicateValues" dxfId="15" priority="46"/>
  </conditionalFormatting>
  <conditionalFormatting sqref="F102:F103">
    <cfRule type="duplicateValues" dxfId="14" priority="43"/>
  </conditionalFormatting>
  <conditionalFormatting sqref="F104">
    <cfRule type="duplicateValues" dxfId="13" priority="34"/>
  </conditionalFormatting>
  <conditionalFormatting sqref="F105">
    <cfRule type="duplicateValues" dxfId="12" priority="40"/>
  </conditionalFormatting>
  <conditionalFormatting sqref="F106">
    <cfRule type="duplicateValues" dxfId="11" priority="37"/>
  </conditionalFormatting>
  <conditionalFormatting sqref="F107:F108">
    <cfRule type="duplicateValues" dxfId="10" priority="24"/>
  </conditionalFormatting>
  <conditionalFormatting sqref="F109:F111">
    <cfRule type="duplicateValues" dxfId="9" priority="83"/>
  </conditionalFormatting>
  <conditionalFormatting sqref="F231:F233">
    <cfRule type="duplicateValues" dxfId="8" priority="23"/>
  </conditionalFormatting>
  <conditionalFormatting sqref="F347">
    <cfRule type="duplicateValues" dxfId="7" priority="15"/>
  </conditionalFormatting>
  <conditionalFormatting sqref="F348">
    <cfRule type="duplicateValues" dxfId="6" priority="14"/>
  </conditionalFormatting>
  <conditionalFormatting sqref="F349">
    <cfRule type="duplicateValues" dxfId="5" priority="13"/>
  </conditionalFormatting>
  <conditionalFormatting sqref="F421">
    <cfRule type="duplicateValues" dxfId="4" priority="8"/>
  </conditionalFormatting>
  <conditionalFormatting sqref="F447:F448">
    <cfRule type="duplicateValues" dxfId="3" priority="7"/>
  </conditionalFormatting>
  <conditionalFormatting sqref="F525">
    <cfRule type="duplicateValues" dxfId="2" priority="4"/>
  </conditionalFormatting>
  <conditionalFormatting sqref="F547">
    <cfRule type="duplicateValues" dxfId="1" priority="3"/>
  </conditionalFormatting>
  <conditionalFormatting sqref="J778:J779 F234:F320 F112:F230 F32:F52 F1 F54:F68 F72 F74:F101 F322 F324:F335 F337:F346 F352:F357 F363 F365:F376 F378:F389 F392 F397 F399 F415:F416 F424:F437 F440:F446 F449:F524 F527:F528 F530:F532 F534 F539:F546 F548 F550 F555 F568:F575 F401:F413 F579:F580 F584:F587 F591 F595 F597 F602:F603 F605 F608:F609 F611 F613:F615 F617:F619 F635:F751 F753:F777 F780:F792 F794:F800 E801 F802:F809 F811:F813 F815:F1048576">
    <cfRule type="duplicateValues" dxfId="0" priority="60"/>
  </conditionalFormatting>
  <dataValidations count="1">
    <dataValidation type="list" allowBlank="1" showInputMessage="1" showErrorMessage="1" sqref="H104 I243 I241 I104:I105" xr:uid="{5A6BC5E9-4F9E-486F-B0EE-8782D6E1C024}">
      <formula1>"Abitibi-Témiscamingue, Bas-Saint-Laurent, Capitale-Nationale, Centre-du-Québec, Chaudière-Appalaches, Côte-Nord, Estrie, Gaspésie-Îles-de-la-Madeleine, Lanaudière, Laurentides, Laval, Mauricie, Montérégie, Montréal, Nord-du-Québec, Outaouais, Saguenay-LSJ"</formula1>
    </dataValidation>
  </dataValidation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5BF36-215F-4232-9DBF-A79B0CEF8989}">
  <dimension ref="A1:B9"/>
  <sheetViews>
    <sheetView workbookViewId="0">
      <selection activeCell="B22" sqref="B22"/>
    </sheetView>
  </sheetViews>
  <sheetFormatPr baseColWidth="10" defaultColWidth="8.85546875" defaultRowHeight="15"/>
  <cols>
    <col min="1" max="1" width="24" bestFit="1" customWidth="1"/>
    <col min="2" max="2" width="27.28515625" bestFit="1" customWidth="1"/>
    <col min="3" max="3" width="77.42578125" bestFit="1" customWidth="1"/>
  </cols>
  <sheetData>
    <row r="1" spans="1:2">
      <c r="A1" s="24" t="s">
        <v>4577</v>
      </c>
      <c r="B1" t="s">
        <v>4666</v>
      </c>
    </row>
    <row r="3" spans="1:2">
      <c r="A3" s="24" t="s">
        <v>3</v>
      </c>
      <c r="B3" s="24" t="s">
        <v>4</v>
      </c>
    </row>
    <row r="4" spans="1:2">
      <c r="A4" t="s">
        <v>75</v>
      </c>
      <c r="B4" t="s">
        <v>2275</v>
      </c>
    </row>
    <row r="5" spans="1:2">
      <c r="B5" t="s">
        <v>585</v>
      </c>
    </row>
    <row r="6" spans="1:2">
      <c r="B6" t="s">
        <v>5565</v>
      </c>
    </row>
    <row r="7" spans="1:2">
      <c r="B7" t="s">
        <v>1972</v>
      </c>
    </row>
    <row r="8" spans="1:2">
      <c r="A8" t="s">
        <v>8529</v>
      </c>
    </row>
    <row r="9" spans="1:2">
      <c r="A9" t="s">
        <v>8530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24086-6926-4B7D-8D6D-5E3F81E8272B}">
  <sheetPr filterMode="1"/>
  <dimension ref="A1:M224"/>
  <sheetViews>
    <sheetView workbookViewId="0">
      <pane ySplit="1" topLeftCell="A45" activePane="bottomLeft" state="frozen"/>
      <selection pane="bottomLeft" activeCell="E158" sqref="E158"/>
    </sheetView>
  </sheetViews>
  <sheetFormatPr baseColWidth="10" defaultColWidth="11.42578125" defaultRowHeight="15"/>
  <cols>
    <col min="1" max="1" width="25" customWidth="1"/>
    <col min="2" max="2" width="16.42578125" bestFit="1" customWidth="1"/>
    <col min="5" max="5" width="16.42578125" customWidth="1"/>
    <col min="6" max="6" width="25.42578125" customWidth="1"/>
    <col min="7" max="7" width="23.42578125" bestFit="1" customWidth="1"/>
    <col min="10" max="10" width="14.42578125" bestFit="1" customWidth="1"/>
  </cols>
  <sheetData>
    <row r="1" spans="1:13" s="308" customFormat="1" ht="30">
      <c r="A1" s="308" t="s">
        <v>8531</v>
      </c>
      <c r="B1" s="308" t="s">
        <v>8532</v>
      </c>
      <c r="C1" s="308" t="s">
        <v>8533</v>
      </c>
      <c r="D1" s="308" t="s">
        <v>8534</v>
      </c>
      <c r="E1" s="308" t="s">
        <v>3</v>
      </c>
      <c r="F1" s="308" t="s">
        <v>8535</v>
      </c>
      <c r="G1" s="308" t="s">
        <v>8536</v>
      </c>
      <c r="J1" s="308" t="s">
        <v>8532</v>
      </c>
      <c r="K1" s="308" t="s">
        <v>3</v>
      </c>
    </row>
    <row r="2" spans="1:13" hidden="1">
      <c r="A2" t="s">
        <v>8537</v>
      </c>
      <c r="B2" t="s">
        <v>8538</v>
      </c>
      <c r="C2" s="19">
        <v>45413</v>
      </c>
      <c r="D2" s="19">
        <v>45580</v>
      </c>
      <c r="E2" t="s">
        <v>654</v>
      </c>
      <c r="G2" t="s">
        <v>18</v>
      </c>
      <c r="J2" t="s">
        <v>8539</v>
      </c>
      <c r="L2" t="s">
        <v>8540</v>
      </c>
    </row>
    <row r="3" spans="1:13" ht="30" hidden="1">
      <c r="A3" t="s">
        <v>8541</v>
      </c>
      <c r="B3" t="s">
        <v>8539</v>
      </c>
      <c r="C3" s="19">
        <v>44197</v>
      </c>
      <c r="D3" s="19">
        <v>45581</v>
      </c>
      <c r="E3" s="20" t="s">
        <v>5423</v>
      </c>
      <c r="G3" t="s">
        <v>18</v>
      </c>
      <c r="J3" t="s">
        <v>8538</v>
      </c>
      <c r="K3" t="s">
        <v>4432</v>
      </c>
      <c r="L3" t="s">
        <v>8542</v>
      </c>
      <c r="M3" t="s">
        <v>18</v>
      </c>
    </row>
    <row r="4" spans="1:13" hidden="1">
      <c r="A4" t="s">
        <v>8541</v>
      </c>
      <c r="B4" t="s">
        <v>8539</v>
      </c>
      <c r="C4" s="19">
        <v>45292</v>
      </c>
      <c r="D4" s="19">
        <v>45593</v>
      </c>
      <c r="E4" t="s">
        <v>321</v>
      </c>
      <c r="J4" t="s">
        <v>8543</v>
      </c>
      <c r="K4" t="s">
        <v>8544</v>
      </c>
      <c r="L4" t="s">
        <v>8545</v>
      </c>
      <c r="M4" t="s">
        <v>25</v>
      </c>
    </row>
    <row r="5" spans="1:13" hidden="1">
      <c r="A5" t="s">
        <v>8541</v>
      </c>
      <c r="B5" t="s">
        <v>8539</v>
      </c>
      <c r="C5" s="19">
        <v>44927</v>
      </c>
      <c r="D5" s="19">
        <v>45291</v>
      </c>
      <c r="E5" t="s">
        <v>321</v>
      </c>
      <c r="F5" t="s">
        <v>890</v>
      </c>
      <c r="J5" t="s">
        <v>8546</v>
      </c>
      <c r="K5" t="s">
        <v>48</v>
      </c>
    </row>
    <row r="6" spans="1:13" hidden="1">
      <c r="A6" t="s">
        <v>8537</v>
      </c>
      <c r="B6" t="s">
        <v>8538</v>
      </c>
      <c r="C6" s="19">
        <v>44927</v>
      </c>
      <c r="D6" s="19">
        <v>45600</v>
      </c>
      <c r="F6" t="s">
        <v>6144</v>
      </c>
      <c r="G6" t="s">
        <v>18</v>
      </c>
      <c r="J6" t="s">
        <v>8547</v>
      </c>
      <c r="K6" t="s">
        <v>8548</v>
      </c>
    </row>
    <row r="7" spans="1:13" hidden="1">
      <c r="A7" t="s">
        <v>8549</v>
      </c>
      <c r="B7" t="s">
        <v>8539</v>
      </c>
      <c r="C7" s="19">
        <v>44197</v>
      </c>
      <c r="D7" s="19">
        <v>45601</v>
      </c>
      <c r="E7" t="s">
        <v>170</v>
      </c>
      <c r="F7" t="s">
        <v>171</v>
      </c>
      <c r="J7" t="s">
        <v>8550</v>
      </c>
      <c r="K7" t="s">
        <v>1516</v>
      </c>
    </row>
    <row r="8" spans="1:13" hidden="1">
      <c r="A8" t="s">
        <v>8549</v>
      </c>
      <c r="B8" t="s">
        <v>8539</v>
      </c>
      <c r="C8" s="19">
        <v>43466</v>
      </c>
      <c r="D8" s="19">
        <v>44561</v>
      </c>
      <c r="E8" t="s">
        <v>170</v>
      </c>
      <c r="J8" t="s">
        <v>8551</v>
      </c>
      <c r="K8" t="s">
        <v>408</v>
      </c>
    </row>
    <row r="9" spans="1:13" hidden="1">
      <c r="A9" t="s">
        <v>8549</v>
      </c>
      <c r="B9" t="s">
        <v>8539</v>
      </c>
      <c r="C9" s="19">
        <v>44927</v>
      </c>
      <c r="D9" s="19">
        <v>45609</v>
      </c>
      <c r="F9" t="s">
        <v>1031</v>
      </c>
      <c r="K9" t="s">
        <v>627</v>
      </c>
    </row>
    <row r="10" spans="1:13" hidden="1">
      <c r="A10" t="s">
        <v>8549</v>
      </c>
      <c r="B10" t="s">
        <v>8539</v>
      </c>
      <c r="C10" s="19">
        <v>45292</v>
      </c>
      <c r="D10" s="19">
        <v>45610</v>
      </c>
      <c r="E10" t="s">
        <v>4559</v>
      </c>
      <c r="K10" t="s">
        <v>8552</v>
      </c>
    </row>
    <row r="11" spans="1:13" hidden="1">
      <c r="A11" t="s">
        <v>8549</v>
      </c>
      <c r="B11" t="s">
        <v>8543</v>
      </c>
      <c r="C11" s="19">
        <v>44197</v>
      </c>
      <c r="D11" s="19">
        <v>45621</v>
      </c>
      <c r="F11" t="s">
        <v>8553</v>
      </c>
      <c r="K11" t="s">
        <v>50</v>
      </c>
    </row>
    <row r="12" spans="1:13" hidden="1">
      <c r="A12" t="s">
        <v>8549</v>
      </c>
      <c r="B12" t="s">
        <v>8543</v>
      </c>
      <c r="C12" s="19">
        <v>44927</v>
      </c>
      <c r="D12" s="19">
        <v>45621</v>
      </c>
      <c r="F12" t="s">
        <v>1958</v>
      </c>
      <c r="K12" t="s">
        <v>6143</v>
      </c>
    </row>
    <row r="13" spans="1:13" hidden="1">
      <c r="A13" t="s">
        <v>8549</v>
      </c>
      <c r="B13" t="s">
        <v>8539</v>
      </c>
      <c r="C13" s="19">
        <v>44562</v>
      </c>
      <c r="D13" s="19">
        <v>45623</v>
      </c>
      <c r="E13" t="s">
        <v>321</v>
      </c>
      <c r="F13" t="s">
        <v>1942</v>
      </c>
      <c r="K13" t="s">
        <v>922</v>
      </c>
    </row>
    <row r="14" spans="1:13" hidden="1">
      <c r="A14" t="s">
        <v>8549</v>
      </c>
      <c r="B14" t="s">
        <v>8539</v>
      </c>
      <c r="C14" s="19">
        <v>44562</v>
      </c>
      <c r="D14" s="19">
        <v>45623</v>
      </c>
      <c r="E14" t="s">
        <v>321</v>
      </c>
      <c r="F14" t="s">
        <v>890</v>
      </c>
      <c r="K14" t="s">
        <v>16</v>
      </c>
    </row>
    <row r="15" spans="1:13" hidden="1">
      <c r="A15" t="s">
        <v>8549</v>
      </c>
      <c r="B15" t="s">
        <v>8539</v>
      </c>
      <c r="C15" s="19">
        <v>45292</v>
      </c>
      <c r="D15" s="19">
        <v>45631</v>
      </c>
      <c r="E15" t="s">
        <v>2163</v>
      </c>
      <c r="K15" t="s">
        <v>8554</v>
      </c>
    </row>
    <row r="16" spans="1:13" hidden="1">
      <c r="A16" t="s">
        <v>8549</v>
      </c>
      <c r="B16" t="s">
        <v>8539</v>
      </c>
      <c r="C16" s="19">
        <v>44927</v>
      </c>
      <c r="D16" s="19">
        <v>45637</v>
      </c>
      <c r="E16" t="s">
        <v>160</v>
      </c>
      <c r="F16" t="s">
        <v>2388</v>
      </c>
      <c r="K16" t="s">
        <v>594</v>
      </c>
    </row>
    <row r="17" spans="1:11" hidden="1">
      <c r="A17" t="s">
        <v>8549</v>
      </c>
      <c r="B17" t="s">
        <v>8539</v>
      </c>
      <c r="C17" s="19">
        <v>44927</v>
      </c>
      <c r="D17" s="19">
        <v>45637</v>
      </c>
      <c r="F17" t="s">
        <v>6311</v>
      </c>
      <c r="K17" t="s">
        <v>258</v>
      </c>
    </row>
    <row r="18" spans="1:11" hidden="1">
      <c r="A18" t="s">
        <v>8549</v>
      </c>
      <c r="B18" t="s">
        <v>8539</v>
      </c>
      <c r="C18" s="19">
        <v>44927</v>
      </c>
      <c r="D18" s="19">
        <v>45649</v>
      </c>
      <c r="F18" t="s">
        <v>8555</v>
      </c>
      <c r="K18" t="s">
        <v>679</v>
      </c>
    </row>
    <row r="19" spans="1:11" hidden="1">
      <c r="A19" t="s">
        <v>8549</v>
      </c>
      <c r="B19" t="s">
        <v>8539</v>
      </c>
      <c r="C19" s="19">
        <v>44927</v>
      </c>
      <c r="D19" s="19">
        <v>45649</v>
      </c>
      <c r="F19" t="s">
        <v>8556</v>
      </c>
      <c r="K19" t="s">
        <v>3448</v>
      </c>
    </row>
    <row r="20" spans="1:11" hidden="1">
      <c r="A20" t="s">
        <v>8549</v>
      </c>
      <c r="B20" t="s">
        <v>8538</v>
      </c>
      <c r="C20" s="19">
        <v>44927</v>
      </c>
      <c r="D20" s="19">
        <v>45292</v>
      </c>
      <c r="E20" t="s">
        <v>2163</v>
      </c>
      <c r="K20" t="s">
        <v>8557</v>
      </c>
    </row>
    <row r="21" spans="1:11" hidden="1">
      <c r="A21" t="s">
        <v>8549</v>
      </c>
      <c r="B21" t="s">
        <v>8538</v>
      </c>
      <c r="C21" s="19">
        <v>45292</v>
      </c>
      <c r="D21" s="19">
        <v>45680</v>
      </c>
      <c r="E21" t="s">
        <v>48</v>
      </c>
      <c r="K21" t="s">
        <v>8558</v>
      </c>
    </row>
    <row r="22" spans="1:11" hidden="1">
      <c r="A22" t="s">
        <v>8559</v>
      </c>
      <c r="B22" t="s">
        <v>8538</v>
      </c>
      <c r="C22" s="19">
        <v>44562</v>
      </c>
      <c r="D22" s="19">
        <v>45663</v>
      </c>
      <c r="E22" t="s">
        <v>50</v>
      </c>
      <c r="G22" t="s">
        <v>18</v>
      </c>
      <c r="K22" t="s">
        <v>476</v>
      </c>
    </row>
    <row r="23" spans="1:11" hidden="1">
      <c r="C23" s="19"/>
      <c r="D23" s="19"/>
      <c r="E23" t="s">
        <v>24</v>
      </c>
      <c r="G23" t="s">
        <v>18</v>
      </c>
      <c r="K23" t="s">
        <v>2594</v>
      </c>
    </row>
    <row r="24" spans="1:11" hidden="1">
      <c r="C24" s="19"/>
      <c r="D24" s="19"/>
      <c r="E24" t="s">
        <v>49</v>
      </c>
      <c r="G24" t="s">
        <v>18</v>
      </c>
      <c r="K24" t="s">
        <v>602</v>
      </c>
    </row>
    <row r="25" spans="1:11" hidden="1">
      <c r="A25" t="s">
        <v>8559</v>
      </c>
      <c r="B25" t="s">
        <v>8539</v>
      </c>
      <c r="C25" s="19">
        <v>45474</v>
      </c>
      <c r="D25" s="19">
        <v>45700</v>
      </c>
      <c r="E25" t="s">
        <v>602</v>
      </c>
      <c r="G25" t="s">
        <v>18</v>
      </c>
      <c r="K25" t="s">
        <v>5423</v>
      </c>
    </row>
    <row r="26" spans="1:11" hidden="1">
      <c r="A26" t="s">
        <v>8549</v>
      </c>
      <c r="B26" t="s">
        <v>8543</v>
      </c>
      <c r="C26" s="19">
        <v>45566</v>
      </c>
      <c r="D26" s="19">
        <v>45727</v>
      </c>
      <c r="E26" t="s">
        <v>654</v>
      </c>
      <c r="K26" t="s">
        <v>8560</v>
      </c>
    </row>
    <row r="27" spans="1:11" hidden="1">
      <c r="A27" t="s">
        <v>8537</v>
      </c>
      <c r="B27" t="s">
        <v>8538</v>
      </c>
      <c r="C27" s="19">
        <v>45597</v>
      </c>
      <c r="D27" s="19">
        <v>45765</v>
      </c>
      <c r="F27" t="s">
        <v>515</v>
      </c>
      <c r="K27" t="s">
        <v>8561</v>
      </c>
    </row>
    <row r="28" spans="1:11" hidden="1">
      <c r="A28" t="s">
        <v>8537</v>
      </c>
      <c r="B28" t="s">
        <v>8538</v>
      </c>
      <c r="C28" s="19">
        <v>45597</v>
      </c>
      <c r="D28" s="19">
        <v>45765</v>
      </c>
      <c r="F28" t="s">
        <v>8562</v>
      </c>
      <c r="K28" t="s">
        <v>556</v>
      </c>
    </row>
    <row r="29" spans="1:11" hidden="1">
      <c r="A29" t="s">
        <v>8537</v>
      </c>
      <c r="B29" t="s">
        <v>8538</v>
      </c>
      <c r="C29" s="19">
        <v>45597</v>
      </c>
      <c r="D29" s="19">
        <v>45765</v>
      </c>
      <c r="F29" t="s">
        <v>8563</v>
      </c>
      <c r="K29" t="s">
        <v>8564</v>
      </c>
    </row>
    <row r="30" spans="1:11" hidden="1">
      <c r="A30" t="s">
        <v>8537</v>
      </c>
      <c r="B30" t="s">
        <v>8538</v>
      </c>
      <c r="C30" s="19">
        <v>45597</v>
      </c>
      <c r="D30" s="19">
        <v>45765</v>
      </c>
      <c r="F30" t="s">
        <v>7484</v>
      </c>
      <c r="K30" t="s">
        <v>44</v>
      </c>
    </row>
    <row r="31" spans="1:11" hidden="1">
      <c r="A31" t="s">
        <v>8537</v>
      </c>
      <c r="B31" t="s">
        <v>8538</v>
      </c>
      <c r="C31" s="19">
        <v>45663</v>
      </c>
      <c r="D31" s="19">
        <v>45769</v>
      </c>
      <c r="E31" t="s">
        <v>50</v>
      </c>
      <c r="K31" t="s">
        <v>8565</v>
      </c>
    </row>
    <row r="32" spans="1:11" hidden="1">
      <c r="A32" t="s">
        <v>8537</v>
      </c>
      <c r="B32" t="s">
        <v>8551</v>
      </c>
      <c r="C32" s="19">
        <v>45663</v>
      </c>
      <c r="D32" s="19">
        <v>45769</v>
      </c>
      <c r="E32" t="s">
        <v>50</v>
      </c>
      <c r="K32" t="s">
        <v>8566</v>
      </c>
    </row>
    <row r="33" spans="1:11" hidden="1">
      <c r="A33" t="s">
        <v>8537</v>
      </c>
      <c r="B33" t="s">
        <v>8538</v>
      </c>
      <c r="C33" s="19">
        <v>45108</v>
      </c>
      <c r="D33" s="19">
        <v>45773</v>
      </c>
      <c r="E33" t="s">
        <v>201</v>
      </c>
      <c r="K33" t="s">
        <v>8567</v>
      </c>
    </row>
    <row r="34" spans="1:11" hidden="1">
      <c r="A34" t="s">
        <v>8537</v>
      </c>
      <c r="B34" t="s">
        <v>8543</v>
      </c>
      <c r="C34" s="19">
        <v>45108</v>
      </c>
      <c r="D34" s="19">
        <v>45773</v>
      </c>
      <c r="E34" t="s">
        <v>201</v>
      </c>
      <c r="K34" t="s">
        <v>2163</v>
      </c>
    </row>
    <row r="35" spans="1:11" hidden="1">
      <c r="A35" t="s">
        <v>8537</v>
      </c>
      <c r="B35" t="s">
        <v>8538</v>
      </c>
      <c r="C35" s="19">
        <v>45703</v>
      </c>
      <c r="D35" s="19">
        <v>45773</v>
      </c>
      <c r="E35" t="s">
        <v>654</v>
      </c>
      <c r="K35" t="s">
        <v>4559</v>
      </c>
    </row>
    <row r="36" spans="1:11" hidden="1">
      <c r="A36" t="s">
        <v>8568</v>
      </c>
      <c r="B36" t="s">
        <v>8543</v>
      </c>
      <c r="C36" s="19">
        <v>45292</v>
      </c>
      <c r="D36" s="19">
        <v>45620</v>
      </c>
      <c r="E36" s="128" t="s">
        <v>223</v>
      </c>
      <c r="K36" t="s">
        <v>8569</v>
      </c>
    </row>
    <row r="37" spans="1:11" hidden="1">
      <c r="A37" t="s">
        <v>8549</v>
      </c>
      <c r="B37" t="s">
        <v>8539</v>
      </c>
      <c r="C37" s="19">
        <v>45444</v>
      </c>
      <c r="D37" s="19">
        <v>45782</v>
      </c>
      <c r="E37" t="s">
        <v>4911</v>
      </c>
      <c r="K37" t="s">
        <v>8570</v>
      </c>
    </row>
    <row r="38" spans="1:11" hidden="1">
      <c r="A38" t="s">
        <v>8549</v>
      </c>
      <c r="B38" t="s">
        <v>8539</v>
      </c>
      <c r="C38" s="19">
        <v>45444</v>
      </c>
      <c r="D38" s="19">
        <v>45782</v>
      </c>
      <c r="E38" t="s">
        <v>8558</v>
      </c>
      <c r="K38" t="s">
        <v>8571</v>
      </c>
    </row>
    <row r="39" spans="1:11" hidden="1">
      <c r="A39" t="s">
        <v>8572</v>
      </c>
      <c r="B39" t="s">
        <v>8539</v>
      </c>
      <c r="C39" s="19">
        <v>45292</v>
      </c>
      <c r="D39" s="19">
        <v>45784</v>
      </c>
      <c r="E39" t="s">
        <v>321</v>
      </c>
      <c r="F39" t="s">
        <v>8573</v>
      </c>
      <c r="K39" t="s">
        <v>4416</v>
      </c>
    </row>
    <row r="40" spans="1:11" hidden="1">
      <c r="A40" t="s">
        <v>8549</v>
      </c>
      <c r="B40" t="s">
        <v>8539</v>
      </c>
      <c r="C40" s="19">
        <v>45610</v>
      </c>
      <c r="D40" s="19">
        <v>45792</v>
      </c>
      <c r="E40" t="s">
        <v>321</v>
      </c>
      <c r="F40" t="s">
        <v>7788</v>
      </c>
      <c r="K40" t="s">
        <v>1075</v>
      </c>
    </row>
    <row r="41" spans="1:11" hidden="1">
      <c r="A41" t="s">
        <v>8549</v>
      </c>
      <c r="B41" t="s">
        <v>8543</v>
      </c>
      <c r="C41" s="19">
        <v>45292</v>
      </c>
      <c r="D41" s="19">
        <v>45798</v>
      </c>
      <c r="E41" t="s">
        <v>8574</v>
      </c>
      <c r="F41" t="s">
        <v>8575</v>
      </c>
      <c r="K41" t="s">
        <v>8576</v>
      </c>
    </row>
    <row r="42" spans="1:11" hidden="1">
      <c r="A42" t="s">
        <v>8549</v>
      </c>
      <c r="B42" t="s">
        <v>8543</v>
      </c>
      <c r="C42" s="19">
        <v>45292</v>
      </c>
      <c r="D42" s="19">
        <v>45799</v>
      </c>
      <c r="E42" t="s">
        <v>2520</v>
      </c>
      <c r="F42" t="s">
        <v>8577</v>
      </c>
      <c r="K42" t="s">
        <v>8578</v>
      </c>
    </row>
    <row r="43" spans="1:11" hidden="1">
      <c r="A43" t="s">
        <v>8537</v>
      </c>
      <c r="B43" t="s">
        <v>8539</v>
      </c>
      <c r="C43" s="19">
        <v>45658</v>
      </c>
      <c r="D43" s="19">
        <v>45836</v>
      </c>
      <c r="E43" t="s">
        <v>8579</v>
      </c>
      <c r="G43" t="s">
        <v>25</v>
      </c>
      <c r="K43" t="s">
        <v>58</v>
      </c>
    </row>
    <row r="44" spans="1:11" hidden="1">
      <c r="A44" t="s">
        <v>8537</v>
      </c>
      <c r="B44" t="s">
        <v>8538</v>
      </c>
      <c r="C44" s="19">
        <v>45292</v>
      </c>
      <c r="D44" s="19">
        <v>45658</v>
      </c>
      <c r="E44" t="s">
        <v>8579</v>
      </c>
      <c r="G44" t="s">
        <v>18</v>
      </c>
      <c r="K44" t="s">
        <v>611</v>
      </c>
    </row>
    <row r="45" spans="1:11">
      <c r="A45" t="s">
        <v>8549</v>
      </c>
      <c r="B45" t="s">
        <v>8539</v>
      </c>
      <c r="C45" s="19">
        <v>45658</v>
      </c>
      <c r="D45" s="19">
        <v>45847</v>
      </c>
      <c r="E45" t="s">
        <v>16</v>
      </c>
      <c r="G45" t="s">
        <v>25</v>
      </c>
      <c r="K45" t="s">
        <v>46</v>
      </c>
    </row>
    <row r="46" spans="1:11" hidden="1">
      <c r="A46" t="s">
        <v>8537</v>
      </c>
      <c r="B46" t="s">
        <v>8538</v>
      </c>
      <c r="C46" s="19">
        <v>45292</v>
      </c>
      <c r="D46" s="19">
        <v>45860</v>
      </c>
      <c r="F46" t="s">
        <v>8580</v>
      </c>
      <c r="G46" t="s">
        <v>18</v>
      </c>
      <c r="K46" t="s">
        <v>8574</v>
      </c>
    </row>
    <row r="47" spans="1:11" hidden="1">
      <c r="A47" t="s">
        <v>8537</v>
      </c>
      <c r="B47" t="s">
        <v>8539</v>
      </c>
      <c r="C47" s="19">
        <v>45292</v>
      </c>
      <c r="D47" s="19">
        <v>45860</v>
      </c>
      <c r="F47" t="s">
        <v>8581</v>
      </c>
      <c r="G47" t="s">
        <v>25</v>
      </c>
      <c r="K47" t="s">
        <v>160</v>
      </c>
    </row>
    <row r="48" spans="1:11" hidden="1">
      <c r="A48" t="s">
        <v>8537</v>
      </c>
      <c r="B48" t="s">
        <v>8539</v>
      </c>
      <c r="C48" s="19">
        <v>44927</v>
      </c>
      <c r="D48" s="19">
        <v>45860</v>
      </c>
      <c r="F48" t="s">
        <v>5507</v>
      </c>
      <c r="G48" t="s">
        <v>25</v>
      </c>
      <c r="K48" t="s">
        <v>8582</v>
      </c>
    </row>
    <row r="49" spans="1:11" hidden="1">
      <c r="A49" t="s">
        <v>8537</v>
      </c>
      <c r="B49" t="s">
        <v>8539</v>
      </c>
      <c r="C49" s="19">
        <v>45292</v>
      </c>
      <c r="D49" s="19">
        <v>45860</v>
      </c>
      <c r="F49" t="s">
        <v>8583</v>
      </c>
      <c r="G49" t="s">
        <v>25</v>
      </c>
      <c r="K49" t="s">
        <v>74</v>
      </c>
    </row>
    <row r="50" spans="1:11" hidden="1">
      <c r="A50" t="s">
        <v>8537</v>
      </c>
      <c r="B50" t="s">
        <v>8538</v>
      </c>
      <c r="C50" s="19">
        <v>44562</v>
      </c>
      <c r="D50" s="19">
        <v>45292</v>
      </c>
      <c r="F50" t="s">
        <v>8580</v>
      </c>
      <c r="G50" t="s">
        <v>18</v>
      </c>
      <c r="K50" t="s">
        <v>65</v>
      </c>
    </row>
    <row r="51" spans="1:11" hidden="1">
      <c r="A51" t="s">
        <v>8537</v>
      </c>
      <c r="B51" t="s">
        <v>8538</v>
      </c>
      <c r="C51" s="19">
        <v>44562</v>
      </c>
      <c r="D51" s="19">
        <v>45292</v>
      </c>
      <c r="F51" t="s">
        <v>8581</v>
      </c>
      <c r="G51" t="s">
        <v>18</v>
      </c>
      <c r="K51" t="s">
        <v>8584</v>
      </c>
    </row>
    <row r="52" spans="1:11" hidden="1">
      <c r="A52" t="s">
        <v>8537</v>
      </c>
      <c r="B52" t="s">
        <v>8538</v>
      </c>
      <c r="C52" s="19">
        <v>44562</v>
      </c>
      <c r="D52" s="19">
        <v>45292</v>
      </c>
      <c r="F52" t="s">
        <v>8583</v>
      </c>
      <c r="G52" t="s">
        <v>18</v>
      </c>
      <c r="K52" t="s">
        <v>24</v>
      </c>
    </row>
    <row r="53" spans="1:11" hidden="1">
      <c r="A53" t="s">
        <v>8549</v>
      </c>
      <c r="B53" t="s">
        <v>8539</v>
      </c>
      <c r="C53" s="19">
        <v>45474</v>
      </c>
      <c r="D53" s="19">
        <v>45881</v>
      </c>
      <c r="E53" t="s">
        <v>8557</v>
      </c>
      <c r="F53" t="s">
        <v>8585</v>
      </c>
      <c r="G53" t="s">
        <v>25</v>
      </c>
      <c r="K53" t="s">
        <v>8579</v>
      </c>
    </row>
    <row r="54" spans="1:11" hidden="1">
      <c r="A54" t="s">
        <v>8537</v>
      </c>
      <c r="B54" t="s">
        <v>8543</v>
      </c>
      <c r="C54" s="19"/>
      <c r="D54" s="19"/>
      <c r="E54" t="s">
        <v>2520</v>
      </c>
      <c r="K54" t="s">
        <v>8586</v>
      </c>
    </row>
    <row r="55" spans="1:11" hidden="1">
      <c r="A55" t="s">
        <v>8537</v>
      </c>
      <c r="B55" t="s">
        <v>8543</v>
      </c>
      <c r="C55" s="19"/>
      <c r="D55" s="19"/>
      <c r="F55" t="s">
        <v>8587</v>
      </c>
      <c r="K55" t="s">
        <v>192</v>
      </c>
    </row>
    <row r="56" spans="1:11" hidden="1">
      <c r="A56" t="s">
        <v>8537</v>
      </c>
      <c r="B56" t="s">
        <v>8543</v>
      </c>
      <c r="C56" s="19">
        <v>44562</v>
      </c>
      <c r="D56" s="19">
        <v>45884</v>
      </c>
      <c r="E56" t="s">
        <v>8565</v>
      </c>
      <c r="H56" s="291" t="s">
        <v>8588</v>
      </c>
      <c r="K56" t="s">
        <v>8589</v>
      </c>
    </row>
    <row r="57" spans="1:11" hidden="1">
      <c r="A57" t="s">
        <v>8537</v>
      </c>
      <c r="B57" t="s">
        <v>8543</v>
      </c>
      <c r="C57" s="19">
        <v>44562</v>
      </c>
      <c r="D57" s="19">
        <v>45884</v>
      </c>
      <c r="E57" t="s">
        <v>5423</v>
      </c>
      <c r="H57" s="291" t="s">
        <v>8588</v>
      </c>
      <c r="K57" t="s">
        <v>8590</v>
      </c>
    </row>
    <row r="58" spans="1:11" hidden="1">
      <c r="A58" t="s">
        <v>8537</v>
      </c>
      <c r="B58" t="s">
        <v>8543</v>
      </c>
      <c r="C58" s="19">
        <v>44562</v>
      </c>
      <c r="D58" s="19">
        <v>45884</v>
      </c>
      <c r="E58" t="s">
        <v>258</v>
      </c>
      <c r="H58" s="291" t="s">
        <v>8588</v>
      </c>
      <c r="K58" t="s">
        <v>515</v>
      </c>
    </row>
    <row r="59" spans="1:11" hidden="1">
      <c r="A59" t="s">
        <v>8537</v>
      </c>
      <c r="B59" t="s">
        <v>8543</v>
      </c>
      <c r="C59" s="19">
        <v>44927</v>
      </c>
      <c r="D59" s="19">
        <v>45884</v>
      </c>
      <c r="E59" t="s">
        <v>679</v>
      </c>
      <c r="H59" s="291" t="s">
        <v>8588</v>
      </c>
      <c r="K59" t="s">
        <v>8591</v>
      </c>
    </row>
    <row r="60" spans="1:11" hidden="1">
      <c r="A60" t="s">
        <v>8537</v>
      </c>
      <c r="B60" t="s">
        <v>8543</v>
      </c>
      <c r="C60" s="19">
        <v>44927</v>
      </c>
      <c r="D60" s="19">
        <v>45884</v>
      </c>
      <c r="E60" t="s">
        <v>8576</v>
      </c>
      <c r="H60" s="291" t="s">
        <v>8588</v>
      </c>
      <c r="K60" t="s">
        <v>8592</v>
      </c>
    </row>
    <row r="61" spans="1:11" hidden="1">
      <c r="A61" t="s">
        <v>8537</v>
      </c>
      <c r="B61" t="s">
        <v>8543</v>
      </c>
      <c r="C61" s="19">
        <v>44927</v>
      </c>
      <c r="D61" s="19">
        <v>45884</v>
      </c>
      <c r="E61" t="s">
        <v>8561</v>
      </c>
      <c r="H61" s="291" t="s">
        <v>8588</v>
      </c>
      <c r="K61" t="s">
        <v>8593</v>
      </c>
    </row>
    <row r="62" spans="1:11" hidden="1">
      <c r="A62" t="s">
        <v>8537</v>
      </c>
      <c r="B62" t="s">
        <v>8543</v>
      </c>
      <c r="C62" s="19">
        <v>44927</v>
      </c>
      <c r="D62" s="19">
        <v>45884</v>
      </c>
      <c r="E62" t="s">
        <v>8578</v>
      </c>
      <c r="H62" s="291" t="s">
        <v>8588</v>
      </c>
      <c r="K62" t="s">
        <v>223</v>
      </c>
    </row>
    <row r="63" spans="1:11" hidden="1">
      <c r="A63" t="s">
        <v>8537</v>
      </c>
      <c r="B63" t="s">
        <v>8543</v>
      </c>
      <c r="C63" s="19">
        <v>44927</v>
      </c>
      <c r="D63" s="19">
        <v>45884</v>
      </c>
      <c r="E63" t="s">
        <v>1352</v>
      </c>
      <c r="H63" s="291" t="s">
        <v>8588</v>
      </c>
      <c r="K63" t="s">
        <v>321</v>
      </c>
    </row>
    <row r="64" spans="1:11" hidden="1">
      <c r="A64" t="s">
        <v>8549</v>
      </c>
      <c r="B64" t="s">
        <v>8543</v>
      </c>
      <c r="C64" s="19">
        <v>44927</v>
      </c>
      <c r="D64" s="19">
        <v>45888</v>
      </c>
      <c r="E64" t="s">
        <v>4911</v>
      </c>
      <c r="K64" t="s">
        <v>170</v>
      </c>
    </row>
    <row r="65" spans="1:11" hidden="1">
      <c r="A65" t="s">
        <v>8537</v>
      </c>
      <c r="B65" t="s">
        <v>8539</v>
      </c>
      <c r="C65" s="19">
        <v>43831</v>
      </c>
      <c r="D65" s="19">
        <v>45890</v>
      </c>
      <c r="F65" t="s">
        <v>388</v>
      </c>
      <c r="K65" t="s">
        <v>4726</v>
      </c>
    </row>
    <row r="66" spans="1:11" hidden="1">
      <c r="A66" t="s">
        <v>8537</v>
      </c>
      <c r="B66" t="s">
        <v>8539</v>
      </c>
      <c r="C66" s="19">
        <v>43831</v>
      </c>
      <c r="D66" s="19">
        <v>45890</v>
      </c>
      <c r="F66" t="s">
        <v>4811</v>
      </c>
      <c r="K66" t="s">
        <v>8594</v>
      </c>
    </row>
    <row r="67" spans="1:11" hidden="1">
      <c r="A67" t="s">
        <v>8537</v>
      </c>
      <c r="B67" t="s">
        <v>8539</v>
      </c>
      <c r="C67" s="19">
        <v>43831</v>
      </c>
      <c r="D67" s="19">
        <v>45890</v>
      </c>
      <c r="F67" t="s">
        <v>8595</v>
      </c>
      <c r="K67" t="s">
        <v>8596</v>
      </c>
    </row>
    <row r="68" spans="1:11" hidden="1">
      <c r="A68" t="s">
        <v>8537</v>
      </c>
      <c r="B68" t="s">
        <v>8539</v>
      </c>
      <c r="C68" s="19">
        <v>43831</v>
      </c>
      <c r="D68" s="19">
        <v>45890</v>
      </c>
      <c r="E68" t="s">
        <v>1075</v>
      </c>
      <c r="K68" t="s">
        <v>1352</v>
      </c>
    </row>
    <row r="69" spans="1:11" hidden="1">
      <c r="A69" t="s">
        <v>8537</v>
      </c>
      <c r="B69" t="s">
        <v>8539</v>
      </c>
      <c r="C69" s="19">
        <v>43831</v>
      </c>
      <c r="D69" s="19">
        <v>45890</v>
      </c>
      <c r="F69" t="s">
        <v>8597</v>
      </c>
      <c r="K69" t="s">
        <v>2520</v>
      </c>
    </row>
    <row r="70" spans="1:11" hidden="1">
      <c r="A70" t="s">
        <v>8537</v>
      </c>
      <c r="B70" t="s">
        <v>8539</v>
      </c>
      <c r="C70" s="19">
        <v>43831</v>
      </c>
      <c r="D70" s="19">
        <v>45890</v>
      </c>
      <c r="F70" t="s">
        <v>8598</v>
      </c>
      <c r="K70" t="s">
        <v>1597</v>
      </c>
    </row>
    <row r="71" spans="1:11" hidden="1">
      <c r="A71" t="s">
        <v>8537</v>
      </c>
      <c r="B71" t="s">
        <v>8538</v>
      </c>
      <c r="C71" s="19">
        <v>43831</v>
      </c>
      <c r="D71" s="19">
        <v>44197</v>
      </c>
      <c r="E71" t="s">
        <v>192</v>
      </c>
      <c r="G71" t="s">
        <v>18</v>
      </c>
      <c r="K71" t="s">
        <v>8599</v>
      </c>
    </row>
    <row r="72" spans="1:11" hidden="1">
      <c r="A72" t="s">
        <v>8537</v>
      </c>
      <c r="B72" t="s">
        <v>8538</v>
      </c>
      <c r="C72" s="19">
        <v>44197</v>
      </c>
      <c r="D72" s="19">
        <v>45890</v>
      </c>
      <c r="E72" t="s">
        <v>2560</v>
      </c>
      <c r="G72" t="s">
        <v>18</v>
      </c>
      <c r="K72" t="s">
        <v>29</v>
      </c>
    </row>
    <row r="73" spans="1:11" hidden="1">
      <c r="A73" t="s">
        <v>8537</v>
      </c>
      <c r="B73" t="s">
        <v>8538</v>
      </c>
      <c r="C73" s="19">
        <v>44197</v>
      </c>
      <c r="D73" s="19">
        <v>45890</v>
      </c>
      <c r="E73" t="s">
        <v>4917</v>
      </c>
      <c r="G73" t="s">
        <v>18</v>
      </c>
      <c r="K73" t="s">
        <v>747</v>
      </c>
    </row>
    <row r="74" spans="1:11" hidden="1">
      <c r="A74" t="s">
        <v>8537</v>
      </c>
      <c r="B74" t="s">
        <v>8538</v>
      </c>
      <c r="C74" s="19">
        <v>44562</v>
      </c>
      <c r="D74" s="19">
        <v>45979</v>
      </c>
      <c r="E74" t="s">
        <v>46</v>
      </c>
      <c r="G74" t="s">
        <v>18</v>
      </c>
      <c r="K74" t="s">
        <v>328</v>
      </c>
    </row>
    <row r="75" spans="1:11" hidden="1">
      <c r="A75" t="s">
        <v>8537</v>
      </c>
      <c r="B75" t="s">
        <v>8538</v>
      </c>
      <c r="C75" s="19">
        <v>45658</v>
      </c>
      <c r="D75" s="19">
        <v>45893</v>
      </c>
      <c r="E75" t="s">
        <v>3448</v>
      </c>
      <c r="G75" t="s">
        <v>18</v>
      </c>
      <c r="K75" t="s">
        <v>2445</v>
      </c>
    </row>
    <row r="76" spans="1:11" hidden="1">
      <c r="A76" t="s">
        <v>8537</v>
      </c>
      <c r="B76" t="s">
        <v>8538</v>
      </c>
      <c r="C76" s="19">
        <v>45658</v>
      </c>
      <c r="D76" s="19">
        <v>45893</v>
      </c>
      <c r="E76" t="s">
        <v>58</v>
      </c>
      <c r="G76" t="s">
        <v>18</v>
      </c>
      <c r="K76" t="s">
        <v>8600</v>
      </c>
    </row>
    <row r="77" spans="1:11" hidden="1">
      <c r="A77" t="s">
        <v>8537</v>
      </c>
      <c r="B77" t="s">
        <v>8538</v>
      </c>
      <c r="C77" s="19">
        <v>45658</v>
      </c>
      <c r="D77" s="19">
        <v>45893</v>
      </c>
      <c r="E77" t="s">
        <v>8591</v>
      </c>
      <c r="G77" t="s">
        <v>18</v>
      </c>
      <c r="K77" t="s">
        <v>654</v>
      </c>
    </row>
    <row r="78" spans="1:11" hidden="1">
      <c r="A78" t="s">
        <v>8537</v>
      </c>
      <c r="B78" t="s">
        <v>8538</v>
      </c>
      <c r="C78" s="19">
        <v>45658</v>
      </c>
      <c r="D78" s="19">
        <v>45979</v>
      </c>
      <c r="E78" t="s">
        <v>8592</v>
      </c>
      <c r="G78" t="s">
        <v>18</v>
      </c>
      <c r="K78" t="s">
        <v>201</v>
      </c>
    </row>
    <row r="79" spans="1:11" hidden="1">
      <c r="A79" t="s">
        <v>8537</v>
      </c>
      <c r="B79" t="s">
        <v>8539</v>
      </c>
      <c r="C79" s="19">
        <v>44562</v>
      </c>
      <c r="D79" s="19">
        <v>45893</v>
      </c>
      <c r="E79" t="s">
        <v>46</v>
      </c>
      <c r="K79" t="s">
        <v>69</v>
      </c>
    </row>
    <row r="80" spans="1:11" hidden="1">
      <c r="A80" t="s">
        <v>8549</v>
      </c>
      <c r="B80" t="s">
        <v>8539</v>
      </c>
      <c r="C80" s="19">
        <v>45658</v>
      </c>
      <c r="D80" s="19">
        <v>45893</v>
      </c>
      <c r="E80" t="s">
        <v>46</v>
      </c>
      <c r="G80" t="s">
        <v>8545</v>
      </c>
      <c r="K80" t="s">
        <v>8601</v>
      </c>
    </row>
    <row r="81" spans="1:11" hidden="1">
      <c r="A81" t="s">
        <v>8549</v>
      </c>
      <c r="B81" t="s">
        <v>8539</v>
      </c>
      <c r="C81" s="19">
        <v>45658</v>
      </c>
      <c r="D81" s="19">
        <v>45903</v>
      </c>
      <c r="E81" t="s">
        <v>50</v>
      </c>
      <c r="K81" t="s">
        <v>49</v>
      </c>
    </row>
    <row r="82" spans="1:11" hidden="1">
      <c r="A82" t="s">
        <v>8549</v>
      </c>
      <c r="B82" t="s">
        <v>8539</v>
      </c>
      <c r="C82" s="19">
        <v>45658</v>
      </c>
      <c r="D82" s="19">
        <v>45911</v>
      </c>
      <c r="E82" t="s">
        <v>29</v>
      </c>
      <c r="K82" t="s">
        <v>4917</v>
      </c>
    </row>
    <row r="83" spans="1:11" hidden="1">
      <c r="A83" t="s">
        <v>8537</v>
      </c>
      <c r="B83" t="s">
        <v>8539</v>
      </c>
      <c r="C83" s="19">
        <v>45631</v>
      </c>
      <c r="D83" s="19">
        <v>45914</v>
      </c>
      <c r="E83" t="s">
        <v>2163</v>
      </c>
      <c r="G83" t="s">
        <v>25</v>
      </c>
      <c r="K83" t="s">
        <v>2560</v>
      </c>
    </row>
    <row r="84" spans="1:11" hidden="1">
      <c r="A84" t="s">
        <v>8537</v>
      </c>
      <c r="B84" t="s">
        <v>8543</v>
      </c>
      <c r="C84" s="19">
        <v>45292</v>
      </c>
      <c r="D84" s="19">
        <v>45631</v>
      </c>
      <c r="E84" t="s">
        <v>2163</v>
      </c>
      <c r="K84" t="s">
        <v>8602</v>
      </c>
    </row>
    <row r="85" spans="1:11" hidden="1">
      <c r="A85" t="s">
        <v>8549</v>
      </c>
      <c r="B85" t="s">
        <v>8543</v>
      </c>
      <c r="C85" s="19">
        <v>44927</v>
      </c>
      <c r="D85" s="19">
        <v>45915</v>
      </c>
      <c r="E85" t="s">
        <v>29</v>
      </c>
      <c r="F85" t="s">
        <v>8603</v>
      </c>
      <c r="K85" t="s">
        <v>53</v>
      </c>
    </row>
    <row r="86" spans="1:11" hidden="1">
      <c r="A86" t="s">
        <v>8549</v>
      </c>
      <c r="B86" t="s">
        <v>8543</v>
      </c>
      <c r="C86" s="19">
        <v>45627</v>
      </c>
      <c r="D86" s="19">
        <v>45923</v>
      </c>
      <c r="E86" t="s">
        <v>223</v>
      </c>
      <c r="K86" t="s">
        <v>8604</v>
      </c>
    </row>
    <row r="87" spans="1:11" hidden="1">
      <c r="A87" t="s">
        <v>8549</v>
      </c>
      <c r="B87" t="s">
        <v>8543</v>
      </c>
      <c r="C87" s="19">
        <v>45809</v>
      </c>
      <c r="D87" s="19">
        <v>45944</v>
      </c>
      <c r="E87" t="s">
        <v>8565</v>
      </c>
      <c r="G87" t="s">
        <v>25</v>
      </c>
      <c r="K87" t="s">
        <v>4911</v>
      </c>
    </row>
    <row r="88" spans="1:11" hidden="1">
      <c r="A88" t="s">
        <v>8549</v>
      </c>
      <c r="B88" t="s">
        <v>8538</v>
      </c>
      <c r="C88" s="19">
        <v>45292</v>
      </c>
      <c r="D88" s="19">
        <v>45946</v>
      </c>
      <c r="E88" t="s">
        <v>8565</v>
      </c>
      <c r="G88" t="s">
        <v>18</v>
      </c>
      <c r="K88" t="s">
        <v>29</v>
      </c>
    </row>
    <row r="89" spans="1:11" hidden="1">
      <c r="A89" t="s">
        <v>8537</v>
      </c>
      <c r="B89" t="s">
        <v>8543</v>
      </c>
      <c r="C89" s="19">
        <v>44562</v>
      </c>
      <c r="D89" s="19">
        <v>45474</v>
      </c>
      <c r="F89" t="s">
        <v>4042</v>
      </c>
    </row>
    <row r="90" spans="1:11" hidden="1">
      <c r="A90" t="s">
        <v>8537</v>
      </c>
      <c r="B90" t="s">
        <v>8543</v>
      </c>
      <c r="C90" s="19">
        <v>44562</v>
      </c>
      <c r="D90" s="19">
        <v>45474</v>
      </c>
      <c r="F90" t="s">
        <v>700</v>
      </c>
    </row>
    <row r="91" spans="1:11" hidden="1">
      <c r="A91" t="s">
        <v>8537</v>
      </c>
      <c r="B91" t="s">
        <v>8543</v>
      </c>
      <c r="C91" s="19">
        <v>44562</v>
      </c>
      <c r="D91" s="19">
        <v>45474</v>
      </c>
      <c r="F91" t="s">
        <v>577</v>
      </c>
    </row>
    <row r="92" spans="1:11" hidden="1">
      <c r="A92" t="s">
        <v>8537</v>
      </c>
      <c r="B92" t="s">
        <v>8543</v>
      </c>
      <c r="C92" s="19">
        <v>44562</v>
      </c>
      <c r="D92" s="19">
        <v>45474</v>
      </c>
      <c r="F92" t="s">
        <v>1290</v>
      </c>
    </row>
    <row r="93" spans="1:11" hidden="1">
      <c r="A93" t="s">
        <v>8537</v>
      </c>
      <c r="C93" s="19">
        <v>44562</v>
      </c>
      <c r="D93" s="19">
        <v>45474</v>
      </c>
      <c r="E93" t="s">
        <v>69</v>
      </c>
    </row>
    <row r="94" spans="1:11" hidden="1">
      <c r="A94" t="s">
        <v>8537</v>
      </c>
      <c r="C94" s="19">
        <v>44562</v>
      </c>
      <c r="D94" s="19">
        <v>45474</v>
      </c>
      <c r="E94" t="s">
        <v>53</v>
      </c>
    </row>
    <row r="95" spans="1:11" hidden="1">
      <c r="A95" t="s">
        <v>8537</v>
      </c>
      <c r="C95" s="19">
        <v>44562</v>
      </c>
      <c r="D95" s="19">
        <v>45474</v>
      </c>
      <c r="E95" t="s">
        <v>65</v>
      </c>
    </row>
    <row r="96" spans="1:11" hidden="1">
      <c r="A96" t="s">
        <v>8549</v>
      </c>
      <c r="B96" t="s">
        <v>8538</v>
      </c>
      <c r="C96" s="19">
        <v>44927</v>
      </c>
      <c r="D96" s="19">
        <v>45954</v>
      </c>
      <c r="E96" t="s">
        <v>611</v>
      </c>
      <c r="F96" t="s">
        <v>8605</v>
      </c>
    </row>
    <row r="97" spans="1:10" hidden="1">
      <c r="A97" t="s">
        <v>8549</v>
      </c>
      <c r="B97" t="s">
        <v>8543</v>
      </c>
      <c r="C97" s="19">
        <v>44927</v>
      </c>
      <c r="D97" s="19">
        <v>45960</v>
      </c>
      <c r="E97" t="s">
        <v>654</v>
      </c>
      <c r="F97" t="s">
        <v>1448</v>
      </c>
      <c r="J97" t="s">
        <v>8606</v>
      </c>
    </row>
    <row r="98" spans="1:10" hidden="1">
      <c r="A98" t="s">
        <v>8537</v>
      </c>
      <c r="B98" t="s">
        <v>8538</v>
      </c>
      <c r="C98" s="19">
        <v>45890</v>
      </c>
      <c r="D98" s="19">
        <v>45964</v>
      </c>
      <c r="E98" t="s">
        <v>1075</v>
      </c>
      <c r="G98" t="s">
        <v>18</v>
      </c>
    </row>
    <row r="99" spans="1:10" hidden="1">
      <c r="A99" t="s">
        <v>8537</v>
      </c>
      <c r="B99" t="s">
        <v>8538</v>
      </c>
      <c r="C99" s="19">
        <v>45890</v>
      </c>
      <c r="D99" s="19">
        <v>45964</v>
      </c>
      <c r="E99" t="s">
        <v>2560</v>
      </c>
      <c r="G99" t="s">
        <v>18</v>
      </c>
    </row>
    <row r="100" spans="1:10" hidden="1">
      <c r="A100" t="s">
        <v>8537</v>
      </c>
      <c r="B100" t="s">
        <v>8543</v>
      </c>
      <c r="C100" s="19">
        <v>45292</v>
      </c>
      <c r="D100" s="19">
        <v>45965</v>
      </c>
      <c r="E100" t="s">
        <v>2560</v>
      </c>
    </row>
    <row r="101" spans="1:10" hidden="1">
      <c r="A101" t="s">
        <v>8537</v>
      </c>
      <c r="B101" t="s">
        <v>8543</v>
      </c>
      <c r="C101" s="19">
        <v>45292</v>
      </c>
      <c r="D101" s="19">
        <v>45965</v>
      </c>
      <c r="E101" t="s">
        <v>1075</v>
      </c>
    </row>
    <row r="102" spans="1:10" hidden="1">
      <c r="A102" t="s">
        <v>8537</v>
      </c>
      <c r="B102" t="s">
        <v>8538</v>
      </c>
      <c r="C102" s="19">
        <v>44562</v>
      </c>
      <c r="D102" s="19">
        <v>45292</v>
      </c>
      <c r="E102" t="s">
        <v>8579</v>
      </c>
      <c r="G102" t="s">
        <v>18</v>
      </c>
    </row>
    <row r="103" spans="1:10" hidden="1">
      <c r="A103" t="s">
        <v>8549</v>
      </c>
      <c r="B103" t="s">
        <v>8539</v>
      </c>
      <c r="C103" s="19">
        <v>44927</v>
      </c>
      <c r="D103" s="19">
        <v>45969</v>
      </c>
      <c r="E103" t="s">
        <v>408</v>
      </c>
      <c r="F103" t="s">
        <v>8607</v>
      </c>
    </row>
    <row r="104" spans="1:10" hidden="1">
      <c r="A104" t="s">
        <v>8537</v>
      </c>
      <c r="B104" t="s">
        <v>8538</v>
      </c>
      <c r="C104" s="19">
        <v>45292</v>
      </c>
      <c r="D104" s="19">
        <v>45979</v>
      </c>
      <c r="F104" t="s">
        <v>2195</v>
      </c>
      <c r="G104" t="s">
        <v>18</v>
      </c>
    </row>
    <row r="105" spans="1:10" hidden="1">
      <c r="A105" t="s">
        <v>8537</v>
      </c>
      <c r="B105" t="s">
        <v>8538</v>
      </c>
      <c r="C105" s="19">
        <v>44927</v>
      </c>
      <c r="D105" s="19">
        <v>45979</v>
      </c>
      <c r="F105" t="s">
        <v>3064</v>
      </c>
      <c r="G105" t="s">
        <v>18</v>
      </c>
    </row>
    <row r="106" spans="1:10" hidden="1">
      <c r="A106" t="s">
        <v>8549</v>
      </c>
      <c r="B106" t="s">
        <v>8538</v>
      </c>
      <c r="C106" s="19">
        <v>45292</v>
      </c>
      <c r="D106" s="19">
        <v>45962</v>
      </c>
      <c r="E106" t="s">
        <v>4559</v>
      </c>
    </row>
    <row r="107" spans="1:10" hidden="1">
      <c r="A107" t="s">
        <v>8537</v>
      </c>
      <c r="B107" t="s">
        <v>8543</v>
      </c>
      <c r="C107" s="19">
        <v>45292</v>
      </c>
      <c r="D107" s="19">
        <v>45982</v>
      </c>
      <c r="F107" t="s">
        <v>8608</v>
      </c>
      <c r="J107" t="s">
        <v>8609</v>
      </c>
    </row>
    <row r="108" spans="1:10" hidden="1">
      <c r="A108" t="s">
        <v>8537</v>
      </c>
      <c r="B108" t="s">
        <v>8543</v>
      </c>
      <c r="C108" s="19">
        <v>45292</v>
      </c>
      <c r="D108" s="19">
        <v>45982</v>
      </c>
      <c r="F108" t="s">
        <v>8610</v>
      </c>
      <c r="J108" t="s">
        <v>8609</v>
      </c>
    </row>
    <row r="109" spans="1:10" hidden="1">
      <c r="A109" t="s">
        <v>8537</v>
      </c>
      <c r="B109" t="s">
        <v>8543</v>
      </c>
      <c r="C109" s="19">
        <v>45292</v>
      </c>
      <c r="D109" s="19">
        <v>45982</v>
      </c>
      <c r="F109" t="s">
        <v>8611</v>
      </c>
      <c r="J109" t="s">
        <v>8609</v>
      </c>
    </row>
    <row r="110" spans="1:10" hidden="1">
      <c r="A110" t="s">
        <v>8537</v>
      </c>
      <c r="B110" t="s">
        <v>8543</v>
      </c>
      <c r="C110" s="19">
        <v>45292</v>
      </c>
      <c r="D110" s="19">
        <v>45982</v>
      </c>
      <c r="F110" t="s">
        <v>8612</v>
      </c>
      <c r="J110" t="s">
        <v>8609</v>
      </c>
    </row>
    <row r="111" spans="1:10" hidden="1">
      <c r="A111" t="s">
        <v>8537</v>
      </c>
      <c r="B111" t="s">
        <v>8543</v>
      </c>
      <c r="C111" s="19">
        <v>45292</v>
      </c>
      <c r="D111" s="19">
        <v>45982</v>
      </c>
      <c r="F111" t="s">
        <v>8613</v>
      </c>
      <c r="J111" t="s">
        <v>8609</v>
      </c>
    </row>
    <row r="112" spans="1:10" hidden="1">
      <c r="A112" t="s">
        <v>8537</v>
      </c>
      <c r="B112" t="s">
        <v>8543</v>
      </c>
      <c r="C112" s="19">
        <v>45292</v>
      </c>
      <c r="D112" s="19">
        <v>45982</v>
      </c>
      <c r="F112" t="s">
        <v>8341</v>
      </c>
      <c r="J112" t="s">
        <v>8609</v>
      </c>
    </row>
    <row r="113" spans="1:10" hidden="1">
      <c r="A113" t="s">
        <v>8537</v>
      </c>
      <c r="B113" t="s">
        <v>8543</v>
      </c>
      <c r="C113" s="19">
        <v>45292</v>
      </c>
      <c r="D113" s="19">
        <v>45982</v>
      </c>
      <c r="F113" t="s">
        <v>4228</v>
      </c>
      <c r="J113" t="s">
        <v>8609</v>
      </c>
    </row>
    <row r="114" spans="1:10" hidden="1">
      <c r="A114" t="s">
        <v>8537</v>
      </c>
      <c r="B114" t="s">
        <v>8543</v>
      </c>
      <c r="C114" s="19">
        <v>45778</v>
      </c>
      <c r="D114" s="19">
        <v>45986</v>
      </c>
      <c r="F114" t="s">
        <v>8614</v>
      </c>
    </row>
    <row r="115" spans="1:10" hidden="1">
      <c r="A115" t="s">
        <v>8537</v>
      </c>
      <c r="B115" t="s">
        <v>8543</v>
      </c>
      <c r="C115" s="19">
        <v>45778</v>
      </c>
      <c r="D115" s="19">
        <v>45986</v>
      </c>
      <c r="F115" s="328" t="s">
        <v>2835</v>
      </c>
    </row>
    <row r="116" spans="1:10" hidden="1">
      <c r="A116" t="s">
        <v>8537</v>
      </c>
      <c r="B116" t="s">
        <v>8543</v>
      </c>
      <c r="C116" s="19">
        <v>45778</v>
      </c>
      <c r="D116" s="19">
        <v>45986</v>
      </c>
      <c r="F116" s="328" t="s">
        <v>3154</v>
      </c>
    </row>
    <row r="117" spans="1:10" hidden="1">
      <c r="A117" t="s">
        <v>8537</v>
      </c>
      <c r="B117" t="s">
        <v>8543</v>
      </c>
      <c r="C117" s="19">
        <v>45778</v>
      </c>
      <c r="D117" s="19">
        <v>45986</v>
      </c>
      <c r="F117" s="328" t="s">
        <v>8615</v>
      </c>
    </row>
    <row r="118" spans="1:10" hidden="1">
      <c r="A118" t="s">
        <v>8537</v>
      </c>
      <c r="B118" t="s">
        <v>8543</v>
      </c>
      <c r="C118" s="19">
        <v>45778</v>
      </c>
      <c r="D118" s="19">
        <v>45986</v>
      </c>
      <c r="F118" s="328" t="s">
        <v>2158</v>
      </c>
    </row>
    <row r="119" spans="1:10" hidden="1">
      <c r="A119" t="s">
        <v>8537</v>
      </c>
      <c r="B119" t="s">
        <v>8543</v>
      </c>
      <c r="C119" s="19">
        <v>45778</v>
      </c>
      <c r="D119" s="19">
        <v>45986</v>
      </c>
      <c r="F119" s="328" t="s">
        <v>3484</v>
      </c>
    </row>
    <row r="120" spans="1:10" hidden="1">
      <c r="A120" t="s">
        <v>8549</v>
      </c>
      <c r="B120" t="s">
        <v>8538</v>
      </c>
      <c r="C120" s="19">
        <v>45292</v>
      </c>
      <c r="D120" s="19">
        <v>45658</v>
      </c>
      <c r="F120" s="328" t="s">
        <v>29</v>
      </c>
    </row>
    <row r="121" spans="1:10" hidden="1">
      <c r="A121" t="s">
        <v>8549</v>
      </c>
      <c r="B121" t="s">
        <v>8538</v>
      </c>
      <c r="C121" s="19">
        <v>45292</v>
      </c>
      <c r="D121" s="19">
        <v>45986</v>
      </c>
      <c r="F121" s="328" t="s">
        <v>223</v>
      </c>
    </row>
    <row r="122" spans="1:10">
      <c r="A122" t="s">
        <v>8537</v>
      </c>
      <c r="B122" t="s">
        <v>8543</v>
      </c>
      <c r="C122" s="19">
        <v>45292</v>
      </c>
      <c r="D122" s="19">
        <v>45658</v>
      </c>
      <c r="E122" t="s">
        <v>16</v>
      </c>
    </row>
    <row r="123" spans="1:10">
      <c r="A123" t="s">
        <v>8537</v>
      </c>
      <c r="B123" t="s">
        <v>8543</v>
      </c>
      <c r="C123" s="19">
        <v>45847</v>
      </c>
      <c r="D123" s="19">
        <v>45986</v>
      </c>
      <c r="E123" t="s">
        <v>16</v>
      </c>
    </row>
    <row r="124" spans="1:10" hidden="1">
      <c r="A124" t="s">
        <v>8537</v>
      </c>
      <c r="B124" t="s">
        <v>8543</v>
      </c>
      <c r="C124" s="19">
        <v>45292</v>
      </c>
      <c r="D124" s="19">
        <v>45986</v>
      </c>
      <c r="E124" t="s">
        <v>49</v>
      </c>
    </row>
    <row r="125" spans="1:10" hidden="1">
      <c r="A125" t="s">
        <v>8537</v>
      </c>
      <c r="B125" t="s">
        <v>8543</v>
      </c>
      <c r="C125" s="19">
        <v>45658</v>
      </c>
      <c r="D125" s="19">
        <v>45986</v>
      </c>
      <c r="E125" t="s">
        <v>722</v>
      </c>
    </row>
    <row r="126" spans="1:10" hidden="1">
      <c r="A126" t="s">
        <v>8549</v>
      </c>
      <c r="B126" t="s">
        <v>8538</v>
      </c>
      <c r="C126" s="19">
        <v>44927</v>
      </c>
      <c r="D126" s="19">
        <v>46006</v>
      </c>
      <c r="E126" t="s">
        <v>223</v>
      </c>
    </row>
    <row r="127" spans="1:10" hidden="1">
      <c r="A127" t="s">
        <v>8549</v>
      </c>
      <c r="B127" t="s">
        <v>8538</v>
      </c>
      <c r="C127" s="19">
        <v>44927</v>
      </c>
      <c r="D127" s="19">
        <v>45107</v>
      </c>
      <c r="E127" t="s">
        <v>29</v>
      </c>
      <c r="G127" t="s">
        <v>18</v>
      </c>
    </row>
    <row r="128" spans="1:10" hidden="1">
      <c r="A128" t="s">
        <v>8549</v>
      </c>
      <c r="B128" t="s">
        <v>8616</v>
      </c>
      <c r="C128" s="19">
        <v>45809</v>
      </c>
      <c r="D128" s="19">
        <v>45994</v>
      </c>
      <c r="E128" t="s">
        <v>29</v>
      </c>
      <c r="J128" t="s">
        <v>8617</v>
      </c>
    </row>
    <row r="129" spans="1:7" hidden="1">
      <c r="A129" t="s">
        <v>8537</v>
      </c>
      <c r="B129" t="s">
        <v>8543</v>
      </c>
      <c r="C129" s="19">
        <v>44562</v>
      </c>
      <c r="D129" s="19">
        <v>45996</v>
      </c>
      <c r="E129" t="s">
        <v>2157</v>
      </c>
      <c r="G129" t="s">
        <v>8542</v>
      </c>
    </row>
    <row r="130" spans="1:7" hidden="1">
      <c r="A130" t="s">
        <v>8537</v>
      </c>
      <c r="B130" t="s">
        <v>8543</v>
      </c>
      <c r="C130" s="19">
        <v>44562</v>
      </c>
      <c r="D130" s="19">
        <v>45996</v>
      </c>
      <c r="E130" t="s">
        <v>8618</v>
      </c>
      <c r="G130" t="s">
        <v>8542</v>
      </c>
    </row>
    <row r="131" spans="1:7" hidden="1">
      <c r="A131" t="s">
        <v>8537</v>
      </c>
      <c r="B131" t="s">
        <v>8543</v>
      </c>
      <c r="C131" s="19">
        <v>45658</v>
      </c>
      <c r="D131" s="19">
        <v>45996</v>
      </c>
      <c r="E131" t="s">
        <v>2157</v>
      </c>
    </row>
    <row r="132" spans="1:7" hidden="1">
      <c r="A132" t="s">
        <v>8537</v>
      </c>
      <c r="B132" t="s">
        <v>8543</v>
      </c>
      <c r="C132" s="19">
        <v>45658</v>
      </c>
      <c r="D132" s="19">
        <v>45999</v>
      </c>
      <c r="E132" t="s">
        <v>4911</v>
      </c>
      <c r="G132" t="s">
        <v>8542</v>
      </c>
    </row>
    <row r="133" spans="1:7" hidden="1">
      <c r="A133" t="s">
        <v>8549</v>
      </c>
      <c r="B133" t="s">
        <v>8539</v>
      </c>
      <c r="C133" s="19">
        <v>45078</v>
      </c>
      <c r="D133" s="19">
        <v>45999</v>
      </c>
      <c r="E133" t="s">
        <v>1597</v>
      </c>
    </row>
    <row r="134" spans="1:7" hidden="1">
      <c r="A134" t="s">
        <v>8549</v>
      </c>
      <c r="B134" t="s">
        <v>8538</v>
      </c>
      <c r="C134" s="19">
        <v>44562</v>
      </c>
      <c r="D134" s="19">
        <v>46001</v>
      </c>
      <c r="E134" t="s">
        <v>3448</v>
      </c>
      <c r="F134" t="s">
        <v>8619</v>
      </c>
    </row>
    <row r="135" spans="1:7" hidden="1">
      <c r="A135" t="s">
        <v>8549</v>
      </c>
      <c r="B135" t="s">
        <v>8538</v>
      </c>
      <c r="C135" s="19">
        <v>44562</v>
      </c>
      <c r="D135" s="19">
        <v>46001</v>
      </c>
      <c r="E135" t="s">
        <v>3448</v>
      </c>
      <c r="F135" t="s">
        <v>8620</v>
      </c>
    </row>
    <row r="136" spans="1:7" hidden="1">
      <c r="A136" t="s">
        <v>8549</v>
      </c>
      <c r="B136" t="s">
        <v>8616</v>
      </c>
      <c r="C136" s="19">
        <v>45809</v>
      </c>
      <c r="D136" s="19">
        <v>46007</v>
      </c>
      <c r="E136" t="s">
        <v>53</v>
      </c>
    </row>
    <row r="137" spans="1:7" hidden="1">
      <c r="A137" t="s">
        <v>8549</v>
      </c>
      <c r="B137" t="s">
        <v>8538</v>
      </c>
      <c r="C137" s="19">
        <v>44927</v>
      </c>
      <c r="D137" s="19">
        <v>46007</v>
      </c>
      <c r="E137" t="s">
        <v>53</v>
      </c>
      <c r="F137" t="s">
        <v>5013</v>
      </c>
      <c r="G137" t="s">
        <v>8545</v>
      </c>
    </row>
    <row r="138" spans="1:7" hidden="1">
      <c r="A138" t="s">
        <v>8549</v>
      </c>
      <c r="B138" t="s">
        <v>8538</v>
      </c>
      <c r="C138" s="19">
        <v>44927</v>
      </c>
      <c r="D138" s="19">
        <v>46007</v>
      </c>
      <c r="E138" t="s">
        <v>53</v>
      </c>
      <c r="F138" t="s">
        <v>8621</v>
      </c>
      <c r="G138" t="s">
        <v>8545</v>
      </c>
    </row>
    <row r="139" spans="1:7" hidden="1">
      <c r="A139" s="255" t="s">
        <v>8549</v>
      </c>
      <c r="B139" s="255" t="s">
        <v>8538</v>
      </c>
      <c r="C139" s="409">
        <v>44927</v>
      </c>
      <c r="D139" s="409">
        <v>46007</v>
      </c>
      <c r="E139" s="255" t="s">
        <v>53</v>
      </c>
      <c r="F139" s="255" t="s">
        <v>8622</v>
      </c>
      <c r="G139" s="255" t="s">
        <v>8545</v>
      </c>
    </row>
    <row r="140" spans="1:7" hidden="1">
      <c r="A140" s="255" t="s">
        <v>8549</v>
      </c>
      <c r="B140" s="255" t="s">
        <v>8538</v>
      </c>
      <c r="C140" s="409">
        <v>44927</v>
      </c>
      <c r="D140" s="409">
        <v>46007</v>
      </c>
      <c r="E140" s="255" t="s">
        <v>53</v>
      </c>
      <c r="F140" s="255" t="s">
        <v>54</v>
      </c>
      <c r="G140" s="255" t="s">
        <v>8545</v>
      </c>
    </row>
    <row r="141" spans="1:7" hidden="1">
      <c r="A141" s="255" t="s">
        <v>8549</v>
      </c>
      <c r="B141" s="255" t="s">
        <v>8538</v>
      </c>
      <c r="C141" s="409">
        <v>44927</v>
      </c>
      <c r="D141" s="409">
        <v>46007</v>
      </c>
      <c r="E141" s="255" t="s">
        <v>53</v>
      </c>
      <c r="F141" s="255" t="s">
        <v>8623</v>
      </c>
      <c r="G141" s="255" t="s">
        <v>8545</v>
      </c>
    </row>
    <row r="142" spans="1:7" hidden="1">
      <c r="A142" s="255" t="s">
        <v>8549</v>
      </c>
      <c r="B142" s="255" t="s">
        <v>8538</v>
      </c>
      <c r="C142" s="409">
        <v>44927</v>
      </c>
      <c r="D142" s="409">
        <v>46007</v>
      </c>
      <c r="E142" s="255" t="s">
        <v>53</v>
      </c>
      <c r="F142" s="255" t="s">
        <v>8624</v>
      </c>
      <c r="G142" s="255" t="s">
        <v>8545</v>
      </c>
    </row>
    <row r="143" spans="1:7" hidden="1">
      <c r="A143" s="255" t="s">
        <v>8549</v>
      </c>
      <c r="B143" s="255" t="s">
        <v>8538</v>
      </c>
      <c r="C143" s="409">
        <v>44927</v>
      </c>
      <c r="D143" s="409">
        <v>46007</v>
      </c>
      <c r="E143" s="255" t="s">
        <v>53</v>
      </c>
      <c r="F143" s="255" t="s">
        <v>8625</v>
      </c>
    </row>
    <row r="144" spans="1:7" hidden="1">
      <c r="A144" s="255" t="s">
        <v>8549</v>
      </c>
      <c r="B144" s="255" t="s">
        <v>8538</v>
      </c>
      <c r="C144" s="409">
        <v>44927</v>
      </c>
      <c r="D144" s="409">
        <v>46007</v>
      </c>
      <c r="E144" s="255" t="s">
        <v>53</v>
      </c>
      <c r="F144" s="255" t="s">
        <v>8626</v>
      </c>
    </row>
    <row r="145" spans="1:10" hidden="1">
      <c r="A145" s="255" t="s">
        <v>8549</v>
      </c>
      <c r="B145" s="255" t="s">
        <v>8538</v>
      </c>
      <c r="C145" s="409">
        <v>44927</v>
      </c>
      <c r="D145" s="409">
        <v>46007</v>
      </c>
      <c r="E145" s="255" t="s">
        <v>53</v>
      </c>
      <c r="F145" s="255" t="s">
        <v>8627</v>
      </c>
    </row>
    <row r="146" spans="1:10" hidden="1">
      <c r="A146" s="255" t="s">
        <v>8549</v>
      </c>
      <c r="B146" s="255" t="s">
        <v>8538</v>
      </c>
      <c r="C146" s="409">
        <v>44927</v>
      </c>
      <c r="D146" s="409">
        <v>46007</v>
      </c>
      <c r="E146" s="255" t="s">
        <v>53</v>
      </c>
      <c r="F146" s="255" t="s">
        <v>8424</v>
      </c>
    </row>
    <row r="147" spans="1:10" hidden="1">
      <c r="A147" s="255" t="s">
        <v>8549</v>
      </c>
      <c r="B147" s="255" t="s">
        <v>8538</v>
      </c>
      <c r="C147" s="409">
        <v>44927</v>
      </c>
      <c r="D147" s="409">
        <v>46007</v>
      </c>
      <c r="E147" s="255" t="s">
        <v>53</v>
      </c>
      <c r="F147" s="255" t="s">
        <v>1963</v>
      </c>
    </row>
    <row r="148" spans="1:10" hidden="1">
      <c r="A148" s="255" t="s">
        <v>8549</v>
      </c>
      <c r="B148" s="255" t="s">
        <v>8538</v>
      </c>
      <c r="C148" s="409">
        <v>44927</v>
      </c>
      <c r="D148" s="409">
        <v>46007</v>
      </c>
      <c r="E148" s="255" t="s">
        <v>50</v>
      </c>
      <c r="F148" s="255" t="s">
        <v>1153</v>
      </c>
      <c r="J148" t="s">
        <v>8617</v>
      </c>
    </row>
    <row r="149" spans="1:10" hidden="1">
      <c r="A149" s="255" t="s">
        <v>8549</v>
      </c>
      <c r="B149" s="255" t="s">
        <v>8538</v>
      </c>
      <c r="C149" s="409">
        <v>44927</v>
      </c>
      <c r="D149" s="409">
        <v>46007</v>
      </c>
      <c r="E149" s="255" t="s">
        <v>50</v>
      </c>
      <c r="F149" s="255" t="s">
        <v>72</v>
      </c>
      <c r="J149" t="s">
        <v>8617</v>
      </c>
    </row>
    <row r="150" spans="1:10" hidden="1">
      <c r="A150" s="255" t="s">
        <v>8549</v>
      </c>
      <c r="B150" s="255" t="s">
        <v>8538</v>
      </c>
      <c r="C150" s="409">
        <v>44927</v>
      </c>
      <c r="D150" s="409">
        <v>46007</v>
      </c>
      <c r="E150" s="255" t="s">
        <v>50</v>
      </c>
      <c r="F150" s="255" t="s">
        <v>8628</v>
      </c>
      <c r="G150" s="255"/>
      <c r="H150" s="255"/>
      <c r="I150" s="255"/>
      <c r="J150" s="255" t="s">
        <v>8617</v>
      </c>
    </row>
    <row r="151" spans="1:10" hidden="1">
      <c r="A151" s="255" t="s">
        <v>8549</v>
      </c>
      <c r="B151" s="255" t="s">
        <v>8538</v>
      </c>
      <c r="C151" s="409">
        <v>44927</v>
      </c>
      <c r="D151" s="409">
        <v>46007</v>
      </c>
      <c r="E151" s="255" t="s">
        <v>50</v>
      </c>
      <c r="F151" s="255" t="s">
        <v>8629</v>
      </c>
      <c r="G151" s="255"/>
      <c r="H151" s="255"/>
      <c r="I151" s="255"/>
      <c r="J151" s="255" t="s">
        <v>8617</v>
      </c>
    </row>
    <row r="152" spans="1:10" hidden="1">
      <c r="A152" s="255" t="s">
        <v>8549</v>
      </c>
      <c r="B152" s="255" t="s">
        <v>8538</v>
      </c>
      <c r="C152" s="409">
        <v>44927</v>
      </c>
      <c r="D152" s="409">
        <v>46007</v>
      </c>
      <c r="E152" s="255" t="s">
        <v>50</v>
      </c>
      <c r="F152" s="255" t="s">
        <v>8630</v>
      </c>
      <c r="G152" s="255"/>
      <c r="H152" s="255"/>
      <c r="I152" s="255"/>
      <c r="J152" s="255" t="s">
        <v>8617</v>
      </c>
    </row>
    <row r="153" spans="1:10" hidden="1">
      <c r="A153" s="255" t="s">
        <v>8549</v>
      </c>
      <c r="B153" s="255" t="s">
        <v>8538</v>
      </c>
      <c r="C153" s="409">
        <v>44927</v>
      </c>
      <c r="D153" s="409">
        <v>46007</v>
      </c>
      <c r="E153" s="255" t="s">
        <v>50</v>
      </c>
      <c r="F153" s="255" t="s">
        <v>8631</v>
      </c>
      <c r="G153" s="255"/>
      <c r="H153" s="255"/>
      <c r="I153" s="255"/>
      <c r="J153" s="255" t="s">
        <v>8617</v>
      </c>
    </row>
    <row r="154" spans="1:10" hidden="1">
      <c r="A154" s="255" t="s">
        <v>8549</v>
      </c>
      <c r="B154" s="255" t="s">
        <v>8538</v>
      </c>
      <c r="C154" s="409">
        <v>44927</v>
      </c>
      <c r="D154" s="409">
        <v>46007</v>
      </c>
      <c r="E154" s="255" t="s">
        <v>50</v>
      </c>
      <c r="F154" s="255" t="s">
        <v>8632</v>
      </c>
      <c r="G154" s="255"/>
      <c r="H154" s="255"/>
      <c r="I154" s="255"/>
      <c r="J154" s="255" t="s">
        <v>8617</v>
      </c>
    </row>
    <row r="155" spans="1:10" hidden="1">
      <c r="A155" s="255" t="s">
        <v>8549</v>
      </c>
      <c r="B155" s="255" t="s">
        <v>8538</v>
      </c>
      <c r="C155" s="409">
        <v>44927</v>
      </c>
      <c r="D155" s="409">
        <v>46007</v>
      </c>
      <c r="E155" s="255" t="s">
        <v>50</v>
      </c>
      <c r="F155" s="255" t="s">
        <v>8633</v>
      </c>
      <c r="G155" s="255"/>
      <c r="H155" s="255"/>
      <c r="I155" s="255"/>
      <c r="J155" s="255" t="s">
        <v>8617</v>
      </c>
    </row>
    <row r="156" spans="1:10" hidden="1">
      <c r="A156" s="255" t="s">
        <v>8549</v>
      </c>
      <c r="B156" s="255" t="s">
        <v>8538</v>
      </c>
      <c r="C156" s="19">
        <v>45292</v>
      </c>
      <c r="D156" s="19">
        <v>45657</v>
      </c>
      <c r="E156" s="255" t="s">
        <v>602</v>
      </c>
    </row>
    <row r="157" spans="1:10" hidden="1">
      <c r="A157" t="s">
        <v>8537</v>
      </c>
      <c r="B157" s="255" t="s">
        <v>8538</v>
      </c>
      <c r="C157" s="19">
        <v>45609</v>
      </c>
      <c r="D157" s="19">
        <v>46024</v>
      </c>
      <c r="E157" t="s">
        <v>160</v>
      </c>
      <c r="G157" t="s">
        <v>8540</v>
      </c>
    </row>
    <row r="158" spans="1:10">
      <c r="A158" t="s">
        <v>8537</v>
      </c>
      <c r="B158" t="s">
        <v>8538</v>
      </c>
      <c r="C158" s="19">
        <v>45666</v>
      </c>
      <c r="D158" s="19">
        <v>46022</v>
      </c>
      <c r="E158" t="s">
        <v>16</v>
      </c>
    </row>
    <row r="159" spans="1:10" hidden="1">
      <c r="A159" t="s">
        <v>8537</v>
      </c>
      <c r="B159" t="s">
        <v>8543</v>
      </c>
      <c r="C159" s="19">
        <v>45969</v>
      </c>
      <c r="D159" t="s">
        <v>8634</v>
      </c>
      <c r="E159" t="s">
        <v>408</v>
      </c>
    </row>
    <row r="160" spans="1:10" hidden="1">
      <c r="A160" t="s">
        <v>8549</v>
      </c>
      <c r="B160" s="255" t="s">
        <v>8538</v>
      </c>
      <c r="C160" s="19">
        <v>45658</v>
      </c>
      <c r="D160" s="19">
        <v>46022</v>
      </c>
      <c r="E160" t="s">
        <v>8635</v>
      </c>
      <c r="F160" t="s">
        <v>201</v>
      </c>
    </row>
    <row r="161" spans="1:10" hidden="1">
      <c r="A161" t="s">
        <v>8549</v>
      </c>
      <c r="B161" s="255" t="s">
        <v>8538</v>
      </c>
      <c r="C161" s="19">
        <v>45658</v>
      </c>
      <c r="D161" s="19">
        <v>46022</v>
      </c>
      <c r="E161" t="s">
        <v>654</v>
      </c>
    </row>
    <row r="162" spans="1:10" hidden="1">
      <c r="A162" s="255" t="s">
        <v>8549</v>
      </c>
      <c r="B162" s="255" t="s">
        <v>8538</v>
      </c>
      <c r="C162" s="409">
        <v>45658</v>
      </c>
      <c r="D162" s="409">
        <v>46022</v>
      </c>
      <c r="E162" s="255" t="s">
        <v>8635</v>
      </c>
      <c r="F162" s="255" t="s">
        <v>3946</v>
      </c>
    </row>
    <row r="163" spans="1:10" hidden="1">
      <c r="A163" s="255" t="s">
        <v>8549</v>
      </c>
      <c r="B163" s="255" t="s">
        <v>8538</v>
      </c>
      <c r="C163" s="409">
        <v>45658</v>
      </c>
      <c r="D163" s="409">
        <v>46022</v>
      </c>
      <c r="E163" s="255" t="s">
        <v>8565</v>
      </c>
      <c r="F163" s="255" t="s">
        <v>8636</v>
      </c>
    </row>
    <row r="164" spans="1:10" hidden="1">
      <c r="A164" s="255" t="s">
        <v>8549</v>
      </c>
      <c r="B164" s="255" t="s">
        <v>8538</v>
      </c>
      <c r="C164" s="409">
        <v>45658</v>
      </c>
      <c r="D164" s="409">
        <v>46022</v>
      </c>
      <c r="E164" s="255" t="s">
        <v>8565</v>
      </c>
      <c r="F164" s="255" t="s">
        <v>8637</v>
      </c>
    </row>
    <row r="165" spans="1:10" hidden="1">
      <c r="A165" s="255" t="s">
        <v>8549</v>
      </c>
      <c r="B165" s="255" t="s">
        <v>8543</v>
      </c>
      <c r="C165" s="409">
        <v>45658</v>
      </c>
      <c r="D165" s="409">
        <v>46022</v>
      </c>
      <c r="E165" s="255" t="s">
        <v>8635</v>
      </c>
      <c r="F165" s="255" t="s">
        <v>4203</v>
      </c>
    </row>
    <row r="166" spans="1:10" hidden="1">
      <c r="A166" s="255" t="s">
        <v>8549</v>
      </c>
      <c r="B166" s="255" t="s">
        <v>8543</v>
      </c>
      <c r="C166" s="409">
        <v>45658</v>
      </c>
      <c r="D166" s="409">
        <v>46022</v>
      </c>
      <c r="E166" s="255" t="s">
        <v>8635</v>
      </c>
      <c r="F166" s="255" t="s">
        <v>8638</v>
      </c>
    </row>
    <row r="167" spans="1:10" hidden="1">
      <c r="A167" s="255" t="s">
        <v>8549</v>
      </c>
      <c r="B167" s="255" t="s">
        <v>8543</v>
      </c>
      <c r="C167" s="409">
        <v>45658</v>
      </c>
      <c r="D167" s="409">
        <v>46022</v>
      </c>
      <c r="E167" s="255" t="s">
        <v>8635</v>
      </c>
      <c r="F167" s="255" t="s">
        <v>8639</v>
      </c>
    </row>
    <row r="168" spans="1:10" hidden="1">
      <c r="A168" s="255" t="s">
        <v>8549</v>
      </c>
      <c r="B168" s="255" t="s">
        <v>8538</v>
      </c>
      <c r="C168" s="409">
        <v>45658</v>
      </c>
      <c r="D168" s="409">
        <v>46022</v>
      </c>
      <c r="E168" s="255" t="s">
        <v>8635</v>
      </c>
      <c r="F168" s="255" t="s">
        <v>3946</v>
      </c>
    </row>
    <row r="169" spans="1:10" hidden="1">
      <c r="A169" s="255" t="s">
        <v>8549</v>
      </c>
      <c r="B169" s="255" t="s">
        <v>8538</v>
      </c>
      <c r="C169" s="409">
        <v>45658</v>
      </c>
      <c r="D169" s="409">
        <v>46022</v>
      </c>
      <c r="E169" s="255" t="s">
        <v>8565</v>
      </c>
      <c r="F169" s="255" t="s">
        <v>8637</v>
      </c>
    </row>
    <row r="170" spans="1:10" hidden="1">
      <c r="A170" s="255" t="s">
        <v>8549</v>
      </c>
      <c r="B170" s="255" t="s">
        <v>8539</v>
      </c>
      <c r="C170" s="409">
        <v>45658</v>
      </c>
      <c r="D170" s="409">
        <v>46022</v>
      </c>
      <c r="E170" s="255" t="s">
        <v>476</v>
      </c>
    </row>
    <row r="171" spans="1:10" hidden="1">
      <c r="A171" s="255" t="s">
        <v>8549</v>
      </c>
      <c r="B171" s="255" t="s">
        <v>8538</v>
      </c>
      <c r="C171" s="19">
        <v>45911</v>
      </c>
      <c r="D171" s="19">
        <v>46045</v>
      </c>
      <c r="E171" s="255" t="s">
        <v>29</v>
      </c>
    </row>
    <row r="172" spans="1:10" hidden="1">
      <c r="A172" s="255" t="s">
        <v>8549</v>
      </c>
      <c r="B172" s="255" t="s">
        <v>8538</v>
      </c>
      <c r="C172" s="19">
        <v>45292</v>
      </c>
      <c r="D172" s="19">
        <v>46050</v>
      </c>
      <c r="E172" s="255" t="s">
        <v>258</v>
      </c>
    </row>
    <row r="173" spans="1:10" hidden="1">
      <c r="A173" s="255" t="s">
        <v>8549</v>
      </c>
      <c r="B173" s="255" t="s">
        <v>8538</v>
      </c>
      <c r="C173" s="19">
        <v>45292</v>
      </c>
      <c r="D173" s="19">
        <v>46050</v>
      </c>
      <c r="E173" s="255" t="s">
        <v>8640</v>
      </c>
    </row>
    <row r="174" spans="1:10" hidden="1">
      <c r="A174" s="255" t="s">
        <v>8549</v>
      </c>
      <c r="B174" s="255" t="s">
        <v>8538</v>
      </c>
      <c r="C174" s="409">
        <v>44927</v>
      </c>
      <c r="D174" s="409">
        <v>46050</v>
      </c>
      <c r="E174" s="255" t="s">
        <v>258</v>
      </c>
      <c r="J174" t="s">
        <v>8545</v>
      </c>
    </row>
    <row r="175" spans="1:10" hidden="1">
      <c r="A175" s="255" t="s">
        <v>8549</v>
      </c>
      <c r="B175" s="255" t="s">
        <v>8538</v>
      </c>
      <c r="C175" s="409">
        <v>44927</v>
      </c>
      <c r="D175" s="409">
        <v>46050</v>
      </c>
      <c r="E175" s="255" t="s">
        <v>8640</v>
      </c>
      <c r="F175" s="255" t="s">
        <v>680</v>
      </c>
      <c r="J175" t="s">
        <v>8545</v>
      </c>
    </row>
    <row r="176" spans="1:10" hidden="1">
      <c r="A176" s="255" t="s">
        <v>8549</v>
      </c>
      <c r="B176" s="255" t="s">
        <v>8538</v>
      </c>
      <c r="C176" s="409">
        <v>44927</v>
      </c>
      <c r="D176" s="409">
        <v>46050</v>
      </c>
      <c r="E176" s="255" t="s">
        <v>5423</v>
      </c>
      <c r="F176" s="255"/>
      <c r="J176" t="s">
        <v>8545</v>
      </c>
    </row>
    <row r="177" spans="1:6" hidden="1">
      <c r="A177" s="255" t="s">
        <v>8549</v>
      </c>
      <c r="B177" s="255" t="s">
        <v>8538</v>
      </c>
      <c r="C177" s="409">
        <v>44927</v>
      </c>
      <c r="D177" s="409">
        <v>46050</v>
      </c>
      <c r="E177" s="255" t="s">
        <v>5423</v>
      </c>
      <c r="F177" s="255" t="s">
        <v>8641</v>
      </c>
    </row>
    <row r="178" spans="1:6" hidden="1">
      <c r="A178" s="255" t="s">
        <v>8549</v>
      </c>
      <c r="B178" s="255" t="s">
        <v>8538</v>
      </c>
      <c r="C178" s="409">
        <v>44927</v>
      </c>
      <c r="D178" s="409">
        <v>46050</v>
      </c>
      <c r="E178" s="255" t="s">
        <v>5423</v>
      </c>
      <c r="F178" s="255" t="s">
        <v>231</v>
      </c>
    </row>
    <row r="179" spans="1:6" hidden="1">
      <c r="A179" s="255" t="s">
        <v>8549</v>
      </c>
      <c r="B179" s="255" t="s">
        <v>8538</v>
      </c>
      <c r="C179" s="409">
        <v>44927</v>
      </c>
      <c r="D179" s="409">
        <v>46050</v>
      </c>
      <c r="E179" s="255" t="s">
        <v>5423</v>
      </c>
      <c r="F179" s="255" t="s">
        <v>8642</v>
      </c>
    </row>
    <row r="180" spans="1:6" hidden="1">
      <c r="A180" s="255" t="s">
        <v>8549</v>
      </c>
      <c r="B180" s="255" t="s">
        <v>8538</v>
      </c>
      <c r="C180" s="409">
        <v>44927</v>
      </c>
      <c r="D180" s="409">
        <v>46050</v>
      </c>
      <c r="E180" s="255" t="s">
        <v>5423</v>
      </c>
      <c r="F180" s="255" t="s">
        <v>8643</v>
      </c>
    </row>
    <row r="181" spans="1:6" hidden="1">
      <c r="A181" s="255" t="s">
        <v>8549</v>
      </c>
      <c r="B181" s="255" t="s">
        <v>8538</v>
      </c>
      <c r="C181" s="409">
        <v>44927</v>
      </c>
      <c r="D181" s="409">
        <v>46050</v>
      </c>
      <c r="E181" s="255" t="s">
        <v>5423</v>
      </c>
      <c r="F181" s="255" t="s">
        <v>4346</v>
      </c>
    </row>
    <row r="182" spans="1:6" hidden="1">
      <c r="A182" s="255" t="s">
        <v>8549</v>
      </c>
      <c r="B182" s="255" t="s">
        <v>8539</v>
      </c>
      <c r="C182" s="19">
        <v>45870</v>
      </c>
      <c r="D182" s="19">
        <v>46056</v>
      </c>
      <c r="E182" s="255" t="s">
        <v>1352</v>
      </c>
      <c r="F182" s="255" t="s">
        <v>8644</v>
      </c>
    </row>
    <row r="183" spans="1:6" hidden="1">
      <c r="A183" s="255" t="s">
        <v>8549</v>
      </c>
      <c r="B183" s="255" t="s">
        <v>8539</v>
      </c>
      <c r="C183" s="19">
        <v>45870</v>
      </c>
      <c r="D183" s="19">
        <v>46056</v>
      </c>
      <c r="E183" s="255" t="s">
        <v>1352</v>
      </c>
      <c r="F183" s="255" t="s">
        <v>8645</v>
      </c>
    </row>
    <row r="184" spans="1:6" hidden="1">
      <c r="A184" s="255" t="s">
        <v>8549</v>
      </c>
      <c r="B184" s="255" t="s">
        <v>8539</v>
      </c>
      <c r="C184" s="409">
        <v>44927</v>
      </c>
      <c r="D184" s="409">
        <v>46056</v>
      </c>
      <c r="E184" s="255" t="s">
        <v>2594</v>
      </c>
      <c r="F184" s="255" t="s">
        <v>8646</v>
      </c>
    </row>
    <row r="185" spans="1:6" hidden="1">
      <c r="A185" s="255" t="s">
        <v>8549</v>
      </c>
      <c r="B185" s="255" t="s">
        <v>8539</v>
      </c>
      <c r="C185" s="19">
        <v>45870</v>
      </c>
      <c r="D185" s="19">
        <v>46056</v>
      </c>
      <c r="E185" s="255" t="s">
        <v>1352</v>
      </c>
      <c r="F185" s="255" t="s">
        <v>8647</v>
      </c>
    </row>
    <row r="186" spans="1:6" hidden="1">
      <c r="A186" s="255" t="s">
        <v>8549</v>
      </c>
      <c r="B186" s="255" t="s">
        <v>8539</v>
      </c>
      <c r="C186" s="409">
        <v>44927</v>
      </c>
      <c r="D186" s="409">
        <v>46056</v>
      </c>
      <c r="E186" s="255" t="s">
        <v>2594</v>
      </c>
      <c r="F186" s="255" t="s">
        <v>8648</v>
      </c>
    </row>
    <row r="187" spans="1:6" hidden="1">
      <c r="A187" s="255" t="s">
        <v>8549</v>
      </c>
      <c r="B187" s="255" t="s">
        <v>8616</v>
      </c>
      <c r="C187" s="409">
        <v>44927</v>
      </c>
      <c r="D187" s="409">
        <v>45658</v>
      </c>
      <c r="E187" s="255" t="s">
        <v>50</v>
      </c>
      <c r="F187" s="255"/>
    </row>
    <row r="188" spans="1:6" hidden="1">
      <c r="A188" s="255" t="s">
        <v>8549</v>
      </c>
      <c r="B188" s="255" t="s">
        <v>8539</v>
      </c>
      <c r="C188" s="19">
        <v>45292</v>
      </c>
      <c r="D188" s="19">
        <v>46059</v>
      </c>
      <c r="E188" s="255" t="s">
        <v>2445</v>
      </c>
    </row>
    <row r="189" spans="1:6" hidden="1">
      <c r="A189" s="255" t="s">
        <v>8549</v>
      </c>
      <c r="B189" s="255" t="s">
        <v>8538</v>
      </c>
      <c r="C189" s="19">
        <v>45658</v>
      </c>
      <c r="D189" s="19">
        <v>46099</v>
      </c>
      <c r="E189" s="255" t="s">
        <v>747</v>
      </c>
    </row>
    <row r="190" spans="1:6" hidden="1">
      <c r="A190" t="s">
        <v>8537</v>
      </c>
      <c r="B190" t="s">
        <v>8543</v>
      </c>
      <c r="C190" s="19">
        <v>45839</v>
      </c>
      <c r="D190" s="19">
        <v>46082</v>
      </c>
      <c r="E190" t="s">
        <v>75</v>
      </c>
    </row>
    <row r="191" spans="1:6" hidden="1">
      <c r="A191" s="255" t="s">
        <v>8549</v>
      </c>
      <c r="B191" s="255" t="s">
        <v>8539</v>
      </c>
      <c r="C191" s="19">
        <v>44927</v>
      </c>
      <c r="D191" s="19">
        <v>45737</v>
      </c>
      <c r="E191" s="255" t="s">
        <v>8649</v>
      </c>
    </row>
    <row r="192" spans="1:6" hidden="1">
      <c r="A192" t="s">
        <v>8537</v>
      </c>
      <c r="B192" s="255" t="s">
        <v>8539</v>
      </c>
      <c r="C192" s="19">
        <v>45658</v>
      </c>
      <c r="D192" s="19">
        <v>46111</v>
      </c>
      <c r="E192" t="s">
        <v>8650</v>
      </c>
    </row>
    <row r="193" spans="1:6" hidden="1">
      <c r="A193" s="255" t="s">
        <v>8549</v>
      </c>
      <c r="B193" s="255" t="s">
        <v>8539</v>
      </c>
      <c r="C193" s="19">
        <v>45658</v>
      </c>
      <c r="D193" s="19">
        <v>46111</v>
      </c>
      <c r="E193" t="s">
        <v>8558</v>
      </c>
    </row>
    <row r="194" spans="1:6" hidden="1">
      <c r="B194" s="255" t="s">
        <v>8539</v>
      </c>
      <c r="C194" s="19">
        <v>45658</v>
      </c>
      <c r="D194" s="19">
        <v>46111</v>
      </c>
      <c r="E194" t="s">
        <v>1516</v>
      </c>
    </row>
    <row r="195" spans="1:6" hidden="1">
      <c r="A195" s="255" t="s">
        <v>8549</v>
      </c>
      <c r="B195" s="255" t="s">
        <v>8539</v>
      </c>
      <c r="C195" s="19">
        <v>45658</v>
      </c>
      <c r="D195" s="19">
        <v>46055</v>
      </c>
      <c r="E195" t="s">
        <v>8651</v>
      </c>
    </row>
    <row r="196" spans="1:6" hidden="1">
      <c r="A196" t="s">
        <v>8537</v>
      </c>
      <c r="B196" t="s">
        <v>8539</v>
      </c>
      <c r="C196" s="19">
        <v>46023</v>
      </c>
      <c r="D196" s="19">
        <v>46128</v>
      </c>
      <c r="E196" t="s">
        <v>201</v>
      </c>
    </row>
    <row r="197" spans="1:6" hidden="1">
      <c r="A197" t="s">
        <v>8537</v>
      </c>
      <c r="B197" t="s">
        <v>8539</v>
      </c>
      <c r="C197" s="19">
        <v>45773</v>
      </c>
      <c r="D197" s="19">
        <v>46128</v>
      </c>
      <c r="E197" t="s">
        <v>201</v>
      </c>
      <c r="F197" s="255" t="s">
        <v>3946</v>
      </c>
    </row>
    <row r="198" spans="1:6" hidden="1">
      <c r="A198" t="s">
        <v>8537</v>
      </c>
      <c r="B198" t="s">
        <v>8539</v>
      </c>
      <c r="C198" s="19">
        <v>45962</v>
      </c>
      <c r="D198" s="19">
        <v>46128</v>
      </c>
      <c r="E198" t="s">
        <v>654</v>
      </c>
    </row>
    <row r="199" spans="1:6" hidden="1">
      <c r="A199" t="s">
        <v>8549</v>
      </c>
      <c r="B199" t="s">
        <v>8539</v>
      </c>
      <c r="C199" s="19">
        <v>45658</v>
      </c>
      <c r="D199" s="19">
        <v>46139</v>
      </c>
      <c r="E199" t="s">
        <v>170</v>
      </c>
    </row>
    <row r="200" spans="1:6" hidden="1">
      <c r="A200" t="s">
        <v>8549</v>
      </c>
      <c r="B200" t="s">
        <v>8539</v>
      </c>
      <c r="C200" s="19">
        <v>45658</v>
      </c>
      <c r="D200" s="19">
        <v>46139</v>
      </c>
      <c r="E200" t="s">
        <v>8652</v>
      </c>
    </row>
    <row r="201" spans="1:6" hidden="1">
      <c r="A201" t="s">
        <v>8549</v>
      </c>
      <c r="B201" t="s">
        <v>8539</v>
      </c>
      <c r="C201" s="19">
        <v>45658</v>
      </c>
      <c r="D201" s="19">
        <v>46139</v>
      </c>
      <c r="E201" t="s">
        <v>8653</v>
      </c>
    </row>
    <row r="202" spans="1:6" hidden="1">
      <c r="A202" t="s">
        <v>8549</v>
      </c>
      <c r="B202" t="s">
        <v>8539</v>
      </c>
      <c r="C202" s="19">
        <v>45658</v>
      </c>
      <c r="D202" s="19">
        <v>46139</v>
      </c>
      <c r="E202" t="s">
        <v>1295</v>
      </c>
    </row>
    <row r="203" spans="1:6" hidden="1">
      <c r="A203" t="s">
        <v>8549</v>
      </c>
      <c r="B203" t="s">
        <v>8539</v>
      </c>
      <c r="C203" s="19">
        <v>44197</v>
      </c>
      <c r="D203" s="19">
        <v>45658</v>
      </c>
      <c r="E203" t="s">
        <v>170</v>
      </c>
    </row>
    <row r="204" spans="1:6" hidden="1">
      <c r="A204" t="s">
        <v>8549</v>
      </c>
      <c r="B204" t="s">
        <v>8539</v>
      </c>
      <c r="C204" s="19">
        <v>45658</v>
      </c>
      <c r="D204" s="19">
        <v>46139</v>
      </c>
      <c r="E204" t="s">
        <v>4312</v>
      </c>
    </row>
    <row r="205" spans="1:6" hidden="1">
      <c r="A205" t="s">
        <v>8549</v>
      </c>
      <c r="B205" t="s">
        <v>8539</v>
      </c>
      <c r="C205" s="19">
        <v>45658</v>
      </c>
      <c r="D205" s="19">
        <v>46139</v>
      </c>
      <c r="E205" t="s">
        <v>5423</v>
      </c>
    </row>
    <row r="206" spans="1:6" hidden="1">
      <c r="A206" t="s">
        <v>8537</v>
      </c>
      <c r="B206" t="s">
        <v>5150</v>
      </c>
      <c r="C206" s="19">
        <v>45962</v>
      </c>
      <c r="D206" s="19">
        <v>46143</v>
      </c>
      <c r="E206" t="s">
        <v>4559</v>
      </c>
    </row>
    <row r="207" spans="1:6" hidden="1">
      <c r="A207" t="s">
        <v>8654</v>
      </c>
      <c r="B207" t="s">
        <v>8655</v>
      </c>
      <c r="C207" s="19">
        <v>45870</v>
      </c>
      <c r="D207" s="19">
        <v>46143</v>
      </c>
      <c r="E207" t="s">
        <v>74</v>
      </c>
    </row>
    <row r="208" spans="1:6" hidden="1">
      <c r="A208" t="s">
        <v>8549</v>
      </c>
      <c r="B208" t="s">
        <v>8655</v>
      </c>
      <c r="C208" s="19">
        <v>46057</v>
      </c>
      <c r="D208" s="19">
        <v>46156</v>
      </c>
      <c r="E208" t="s">
        <v>1352</v>
      </c>
    </row>
    <row r="209" spans="1:7" hidden="1">
      <c r="A209" t="s">
        <v>8549</v>
      </c>
      <c r="B209" t="s">
        <v>5150</v>
      </c>
      <c r="C209" s="19">
        <v>45292</v>
      </c>
      <c r="D209" s="19">
        <v>45658</v>
      </c>
      <c r="E209" t="s">
        <v>8332</v>
      </c>
    </row>
    <row r="210" spans="1:7" hidden="1">
      <c r="A210" t="s">
        <v>8549</v>
      </c>
      <c r="B210" t="s">
        <v>8655</v>
      </c>
      <c r="C210" s="19">
        <v>45658</v>
      </c>
      <c r="D210" s="19">
        <v>46023</v>
      </c>
      <c r="E210" t="s">
        <v>1352</v>
      </c>
      <c r="G210" t="s">
        <v>8540</v>
      </c>
    </row>
    <row r="211" spans="1:7" hidden="1">
      <c r="A211" t="s">
        <v>8654</v>
      </c>
      <c r="B211" t="s">
        <v>8655</v>
      </c>
      <c r="C211" s="19">
        <v>44562</v>
      </c>
      <c r="D211" s="19">
        <v>46164</v>
      </c>
      <c r="E211" t="s">
        <v>4767</v>
      </c>
      <c r="G211" t="s">
        <v>8540</v>
      </c>
    </row>
    <row r="212" spans="1:7" hidden="1">
      <c r="A212" t="s">
        <v>8654</v>
      </c>
      <c r="B212" t="s">
        <v>8655</v>
      </c>
      <c r="C212" s="19">
        <v>45292</v>
      </c>
      <c r="D212" s="19">
        <v>46164</v>
      </c>
      <c r="E212" t="s">
        <v>4432</v>
      </c>
      <c r="G212" t="s">
        <v>8540</v>
      </c>
    </row>
    <row r="213" spans="1:7" hidden="1">
      <c r="A213" t="s">
        <v>8654</v>
      </c>
      <c r="B213" t="s">
        <v>8655</v>
      </c>
      <c r="C213" s="19">
        <v>45292</v>
      </c>
      <c r="D213" s="19">
        <v>46164</v>
      </c>
      <c r="E213" t="s">
        <v>8086</v>
      </c>
      <c r="F213" s="352" t="s">
        <v>8086</v>
      </c>
      <c r="G213" t="s">
        <v>8540</v>
      </c>
    </row>
    <row r="214" spans="1:7" hidden="1">
      <c r="A214" t="s">
        <v>8654</v>
      </c>
      <c r="B214" t="s">
        <v>8655</v>
      </c>
      <c r="C214" s="19">
        <v>45658</v>
      </c>
      <c r="D214" s="19">
        <v>46164</v>
      </c>
      <c r="E214" t="s">
        <v>4767</v>
      </c>
    </row>
    <row r="215" spans="1:7" hidden="1">
      <c r="A215" t="s">
        <v>8654</v>
      </c>
      <c r="B215" t="s">
        <v>8655</v>
      </c>
      <c r="C215" s="19">
        <v>46023</v>
      </c>
      <c r="D215" s="19">
        <v>46167</v>
      </c>
      <c r="E215" t="s">
        <v>4432</v>
      </c>
    </row>
    <row r="216" spans="1:7" hidden="1">
      <c r="A216" t="s">
        <v>8654</v>
      </c>
      <c r="B216" t="s">
        <v>5150</v>
      </c>
      <c r="C216" s="19">
        <v>44927</v>
      </c>
      <c r="D216" s="19">
        <v>45658</v>
      </c>
      <c r="E216" t="s">
        <v>4767</v>
      </c>
    </row>
    <row r="217" spans="1:7" hidden="1">
      <c r="A217" t="s">
        <v>8549</v>
      </c>
      <c r="B217" t="s">
        <v>5150</v>
      </c>
      <c r="C217" s="19">
        <v>45748</v>
      </c>
      <c r="D217" s="19">
        <v>46168</v>
      </c>
      <c r="E217" t="s">
        <v>2520</v>
      </c>
      <c r="G217" t="s">
        <v>8540</v>
      </c>
    </row>
    <row r="218" spans="1:7" hidden="1">
      <c r="A218" t="s">
        <v>8654</v>
      </c>
      <c r="B218" t="s">
        <v>8655</v>
      </c>
      <c r="C218" s="19">
        <v>43101</v>
      </c>
      <c r="D218" s="19">
        <v>46169</v>
      </c>
      <c r="F218" t="s">
        <v>4454</v>
      </c>
    </row>
    <row r="219" spans="1:7" hidden="1">
      <c r="A219" t="s">
        <v>8654</v>
      </c>
      <c r="B219" t="s">
        <v>8655</v>
      </c>
      <c r="C219" s="19">
        <v>43101</v>
      </c>
      <c r="D219" s="19">
        <v>46169</v>
      </c>
      <c r="F219" t="s">
        <v>4459</v>
      </c>
    </row>
    <row r="220" spans="1:7" hidden="1">
      <c r="A220" t="s">
        <v>8654</v>
      </c>
      <c r="B220" t="s">
        <v>8543</v>
      </c>
      <c r="C220" s="19">
        <v>45292</v>
      </c>
      <c r="D220" s="19">
        <v>46170</v>
      </c>
      <c r="E220" t="s">
        <v>321</v>
      </c>
    </row>
    <row r="221" spans="1:7" hidden="1">
      <c r="A221" t="s">
        <v>8654</v>
      </c>
      <c r="B221" t="s">
        <v>8543</v>
      </c>
      <c r="C221" s="19">
        <v>43101</v>
      </c>
      <c r="D221" s="19">
        <v>45292</v>
      </c>
      <c r="E221" t="s">
        <v>321</v>
      </c>
      <c r="F221" t="s">
        <v>4499</v>
      </c>
    </row>
    <row r="222" spans="1:7" hidden="1">
      <c r="A222" t="s">
        <v>8549</v>
      </c>
      <c r="B222" t="s">
        <v>8655</v>
      </c>
      <c r="C222" s="19">
        <v>45658</v>
      </c>
      <c r="D222" s="19">
        <v>46178</v>
      </c>
      <c r="E222" t="s">
        <v>65</v>
      </c>
    </row>
    <row r="223" spans="1:7" hidden="1">
      <c r="A223" t="s">
        <v>8654</v>
      </c>
      <c r="B223" t="s">
        <v>8543</v>
      </c>
      <c r="C223" s="19">
        <v>45986</v>
      </c>
      <c r="D223" s="19">
        <v>46189</v>
      </c>
      <c r="E223" t="s">
        <v>4559</v>
      </c>
    </row>
    <row r="224" spans="1:7">
      <c r="A224" t="s">
        <v>8656</v>
      </c>
      <c r="B224" t="s">
        <v>8539</v>
      </c>
      <c r="C224" s="19">
        <v>46023</v>
      </c>
      <c r="D224" s="19">
        <v>46190</v>
      </c>
      <c r="E224" t="s">
        <v>16</v>
      </c>
    </row>
  </sheetData>
  <autoFilter ref="A1:L223" xr:uid="{A1524086-6926-4B7D-8D6D-5E3F81E8272B}">
    <filterColumn colId="4">
      <filters>
        <filter val="Bellechasse"/>
      </filters>
    </filterColumn>
  </autoFilter>
  <dataValidations count="6">
    <dataValidation type="list" allowBlank="1" showInputMessage="1" showErrorMessage="1" sqref="B2:B31 B80:B84 B33:B35" xr:uid="{A3383BC4-0D74-4B1F-9568-C8D478B84AC8}">
      <formula1>$J$2:$J$7</formula1>
    </dataValidation>
    <dataValidation type="list" allowBlank="1" showInputMessage="1" showErrorMessage="1" sqref="G2:G79" xr:uid="{9C090B8B-B504-4C47-BF40-B825BC85FC5A}">
      <formula1>$L$2:$L$3</formula1>
    </dataValidation>
    <dataValidation type="list" allowBlank="1" showInputMessage="1" showErrorMessage="1" sqref="B32 B122:B125 B114:B119 B36:B79" xr:uid="{9C0B619D-661B-4640-AEC7-F69800858588}">
      <formula1>$J$2:$J$8</formula1>
    </dataValidation>
    <dataValidation type="list" allowBlank="1" showInputMessage="1" showErrorMessage="1" sqref="E2:E32 E103:E112 E98:E101 E64:E81 E157 E159" xr:uid="{D046CEFD-F904-4AA3-9896-35C371B2FAEA}">
      <formula1>$K$3:$K$87</formula1>
    </dataValidation>
    <dataValidation type="list" allowBlank="1" showInputMessage="1" showErrorMessage="1" sqref="E33:E63 E102" xr:uid="{D65233A9-69E9-42BD-9C16-BE4F59EA1FD7}">
      <formula1>$K$2:$K$87</formula1>
    </dataValidation>
    <dataValidation type="list" allowBlank="1" showInputMessage="1" showErrorMessage="1" sqref="G80:G138 G143:G149 G156:G289" xr:uid="{923E9572-A913-4011-8459-302D1AC6527D}">
      <formula1>$L$2:$L$4</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DF6C5227B404D40B0941F02E855E939" ma:contentTypeVersion="16" ma:contentTypeDescription="Crée un document." ma:contentTypeScope="" ma:versionID="16dcd327018651a4042a2f4b3efe23bb">
  <xsd:schema xmlns:xsd="http://www.w3.org/2001/XMLSchema" xmlns:xs="http://www.w3.org/2001/XMLSchema" xmlns:p="http://schemas.microsoft.com/office/2006/metadata/properties" xmlns:ns2="b04527ba-349b-4317-8016-fb12992538d7" xmlns:ns3="d2a872e4-c198-4fb7-b0b5-41a5610b3336" targetNamespace="http://schemas.microsoft.com/office/2006/metadata/properties" ma:root="true" ma:fieldsID="a646813714ce0b95ad8fa2f765646af5" ns2:_="" ns3:_="">
    <xsd:import namespace="b04527ba-349b-4317-8016-fb12992538d7"/>
    <xsd:import namespace="d2a872e4-c198-4fb7-b0b5-41a5610b3336"/>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2:MediaLengthInSeconds" minOccurs="0"/>
                <xsd:element ref="ns3:SharedWithUsers" minOccurs="0"/>
                <xsd:element ref="ns3:SharedWithDetails" minOccurs="0"/>
                <xsd:element ref="ns2:MediaServiceObjectDetectorVersions" minOccurs="0"/>
                <xsd:element ref="ns2:MediaServiceSearchProperties" minOccurs="0"/>
                <xsd:element ref="ns2:commentair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4527ba-349b-4317-8016-fb12992538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Balises d’images" ma:readOnly="false" ma:fieldId="{5cf76f15-5ced-4ddc-b409-7134ff3c332f}" ma:taxonomyMulti="true" ma:sspId="9b48bc12-f2c9-4b74-8d91-380910fb66e8" ma:termSetId="09814cd3-568e-fe90-9814-8d621ff8fb84" ma:anchorId="fba54fb3-c3e1-fe81-a776-ca4b69148c4d" ma:open="true" ma:isKeyword="false">
      <xsd:complexType>
        <xsd:sequence>
          <xsd:element ref="pc:Terms" minOccurs="0" maxOccurs="1"/>
        </xsd:sequence>
      </xsd:complex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commentaire" ma:index="23" nillable="true" ma:displayName="commentaire" ma:format="Dropdown" ma:internalName="commentair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2a872e4-c198-4fb7-b0b5-41a5610b333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9ee096d5-738e-416a-8857-62ef2d0cd63e}" ma:internalName="TaxCatchAll" ma:showField="CatchAllData" ma:web="d2a872e4-c198-4fb7-b0b5-41a5610b3336">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04527ba-349b-4317-8016-fb12992538d7">
      <Terms xmlns="http://schemas.microsoft.com/office/infopath/2007/PartnerControls"/>
    </lcf76f155ced4ddcb4097134ff3c332f>
    <TaxCatchAll xmlns="d2a872e4-c198-4fb7-b0b5-41a5610b3336" xsi:nil="true"/>
    <commentaire xmlns="b04527ba-349b-4317-8016-fb12992538d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C02BF20-8007-4E18-BED5-E833FAF166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4527ba-349b-4317-8016-fb12992538d7"/>
    <ds:schemaRef ds:uri="d2a872e4-c198-4fb7-b0b5-41a5610b33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06C3569-5F91-43C8-AA8B-4D9C534A9657}">
  <ds:schemaRefs>
    <ds:schemaRef ds:uri="http://schemas.microsoft.com/office/2006/metadata/properties"/>
    <ds:schemaRef ds:uri="http://schemas.microsoft.com/office/infopath/2007/PartnerControls"/>
    <ds:schemaRef ds:uri="b04527ba-349b-4317-8016-fb12992538d7"/>
    <ds:schemaRef ds:uri="d2a872e4-c198-4fb7-b0b5-41a5610b3336"/>
  </ds:schemaRefs>
</ds:datastoreItem>
</file>

<file path=customXml/itemProps3.xml><?xml version="1.0" encoding="utf-8"?>
<ds:datastoreItem xmlns:ds="http://schemas.openxmlformats.org/officeDocument/2006/customXml" ds:itemID="{8B78B1B5-BBD2-4EBE-8A1E-4F3E3417EC3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Bois</vt:lpstr>
      <vt:lpstr>Terre</vt:lpstr>
      <vt:lpstr>Feuil1</vt:lpstr>
      <vt:lpstr>Registre des recherches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Simon Audoire</dc:creator>
  <cp:keywords/>
  <dc:description/>
  <cp:lastModifiedBy>Simon Audoire</cp:lastModifiedBy>
  <cp:revision/>
  <dcterms:created xsi:type="dcterms:W3CDTF">2023-02-23T20:24:39Z</dcterms:created>
  <dcterms:modified xsi:type="dcterms:W3CDTF">2026-06-19T12:46:22Z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0x0101004DF6C5227B404D40B0941F02E855E939</vt:lpwstr>
  </property>
  <property fmtid="{D5CDD505-2E9C-101B-9397-08002B2CF9AE}" pid="3" name="MediaServiceImageTags">
    <vt:lpwstr/>
  </property>
</Properties>
</file>